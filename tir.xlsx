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AV\Dropbox\XAV coffee works\XAV Revenue\Excels\1403\تابستان 1403\04 - تیر\"/>
    </mc:Choice>
  </mc:AlternateContent>
  <xr:revisionPtr revIDLastSave="0" documentId="13_ncr:1_{BEB3EC70-0B59-4709-846B-4070B6F00E5D}" xr6:coauthVersionLast="47" xr6:coauthVersionMax="47" xr10:uidLastSave="{00000000-0000-0000-0000-000000000000}"/>
  <bookViews>
    <workbookView xWindow="11424" yWindow="0" windowWidth="11712" windowHeight="12336" tabRatio="960" activeTab="8" xr2:uid="{9962D0E0-7775-4D62-A43C-A604698B71A2}"/>
  </bookViews>
  <sheets>
    <sheet name="2" sheetId="1" r:id="rId1"/>
    <sheet name="3" sheetId="2" r:id="rId2"/>
    <sheet name="4" sheetId="3" r:id="rId3"/>
    <sheet name="6" sheetId="4" r:id="rId4"/>
    <sheet name="7" sheetId="5" r:id="rId5"/>
    <sheet name="9" sheetId="6" r:id="rId6"/>
    <sheet name="10" sheetId="7" r:id="rId7"/>
    <sheet name="11" sheetId="8" r:id="rId8"/>
    <sheet name="12" sheetId="9" r:id="rId9"/>
    <sheet name="13" sheetId="10" r:id="rId10"/>
    <sheet name="14" sheetId="11" r:id="rId11"/>
    <sheet name="16" sheetId="12" r:id="rId12"/>
    <sheet name="17" sheetId="13" r:id="rId13"/>
    <sheet name="18" sheetId="14" r:id="rId14"/>
    <sheet name="19" sheetId="15" r:id="rId15"/>
    <sheet name="20" sheetId="16" r:id="rId16"/>
    <sheet name="21" sheetId="17" r:id="rId17"/>
    <sheet name="23" sheetId="18" r:id="rId18"/>
    <sheet name="24" sheetId="19" r:id="rId19"/>
    <sheet name="27" sheetId="20" r:id="rId20"/>
    <sheet name="28" sheetId="21" r:id="rId21"/>
    <sheet name="30" sheetId="22" r:id="rId22"/>
    <sheet name="31" sheetId="23" r:id="rId23"/>
  </sheets>
  <externalReferences>
    <externalReference r:id="rId24"/>
    <externalReference r:id="rId25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Z36" i="9" l="1"/>
  <c r="X36" i="9"/>
  <c r="T36" i="9"/>
  <c r="S36" i="9"/>
  <c r="V36" i="9"/>
  <c r="W36" i="9"/>
  <c r="Q36" i="9"/>
  <c r="X32" i="8"/>
  <c r="Z32" i="8" s="1"/>
  <c r="V32" i="8"/>
  <c r="W32" i="8" s="1"/>
  <c r="T32" i="8"/>
  <c r="S32" i="8"/>
  <c r="Q32" i="8"/>
  <c r="K32" i="8"/>
  <c r="AH12" i="8"/>
  <c r="AH13" i="8"/>
  <c r="AH14" i="8"/>
  <c r="AH15" i="8"/>
  <c r="AH16" i="8"/>
  <c r="AH17" i="8"/>
  <c r="AH18" i="8"/>
  <c r="AH19" i="8"/>
  <c r="AH20" i="8"/>
  <c r="AH21" i="8"/>
  <c r="AH22" i="8"/>
  <c r="AH23" i="8"/>
  <c r="AH24" i="8"/>
  <c r="AH25" i="8"/>
  <c r="AH26" i="8"/>
  <c r="AH27" i="8"/>
  <c r="AH28" i="8"/>
  <c r="AH29" i="8"/>
  <c r="AH30" i="8"/>
  <c r="AH31" i="8"/>
  <c r="AH32" i="8"/>
  <c r="AH33" i="8"/>
  <c r="AH34" i="8"/>
  <c r="AH35" i="8"/>
  <c r="AH36" i="8"/>
  <c r="AH37" i="8"/>
  <c r="AH38" i="8"/>
  <c r="AH39" i="8"/>
  <c r="AH40" i="8"/>
  <c r="AH41" i="8"/>
  <c r="AH42" i="8"/>
  <c r="AH43" i="8"/>
  <c r="AH44" i="8"/>
  <c r="AH45" i="8"/>
  <c r="AH46" i="8"/>
  <c r="AH47" i="8"/>
  <c r="AH48" i="8"/>
  <c r="AH49" i="8"/>
  <c r="AH50" i="8"/>
  <c r="AH51" i="8"/>
  <c r="AH52" i="8"/>
  <c r="AH53" i="8"/>
  <c r="AH54" i="8"/>
  <c r="AH55" i="8"/>
  <c r="AH56" i="8"/>
  <c r="AH57" i="8"/>
  <c r="AH58" i="8"/>
  <c r="AH59" i="8"/>
  <c r="AH60" i="8"/>
  <c r="AH61" i="8"/>
  <c r="AH62" i="8"/>
  <c r="AH63" i="8"/>
  <c r="AH64" i="8"/>
  <c r="AH65" i="8"/>
  <c r="AH66" i="8"/>
  <c r="AH67" i="8"/>
  <c r="AH68" i="8"/>
  <c r="AH69" i="8"/>
  <c r="AH70" i="8"/>
  <c r="AH71" i="8"/>
  <c r="AH72" i="8"/>
  <c r="AH73" i="8"/>
  <c r="AH74" i="8"/>
  <c r="AH75" i="8"/>
  <c r="AH76" i="8"/>
  <c r="AH77" i="8"/>
  <c r="AH78" i="8"/>
  <c r="AH79" i="8"/>
  <c r="AH80" i="8"/>
  <c r="AH81" i="8"/>
  <c r="AH82" i="8"/>
  <c r="AH83" i="8"/>
  <c r="AH84" i="8"/>
  <c r="AH85" i="8"/>
  <c r="AH86" i="8"/>
  <c r="AH87" i="8"/>
  <c r="AH88" i="8"/>
  <c r="AH89" i="8"/>
  <c r="AH90" i="8"/>
  <c r="AH91" i="8"/>
  <c r="AH92" i="8"/>
  <c r="AH93" i="8"/>
  <c r="AH94" i="8"/>
  <c r="AH95" i="8"/>
  <c r="AH96" i="8"/>
  <c r="AH97" i="8"/>
  <c r="AH98" i="8"/>
  <c r="AH99" i="8"/>
  <c r="AH100" i="8"/>
  <c r="AH101" i="8"/>
  <c r="AH102" i="8"/>
  <c r="AH103" i="8"/>
  <c r="AH104" i="8"/>
  <c r="AH105" i="8"/>
  <c r="AH106" i="8"/>
  <c r="AH107" i="8"/>
  <c r="AH108" i="8"/>
  <c r="AH109" i="8"/>
  <c r="AH110" i="8"/>
  <c r="AH111" i="8"/>
  <c r="AH112" i="8"/>
  <c r="AH113" i="8"/>
  <c r="AH114" i="8"/>
  <c r="AH115" i="8"/>
  <c r="AH116" i="8"/>
  <c r="AH117" i="8"/>
  <c r="AH118" i="8"/>
  <c r="AH119" i="8"/>
  <c r="AH120" i="8"/>
  <c r="AH121" i="8"/>
  <c r="AH122" i="8"/>
  <c r="AH123" i="8"/>
  <c r="AH124" i="8"/>
  <c r="AH125" i="8"/>
  <c r="AH126" i="8"/>
  <c r="AH127" i="8"/>
  <c r="AH128" i="8"/>
  <c r="AH129" i="8"/>
  <c r="AH130" i="8"/>
  <c r="AH131" i="8"/>
  <c r="AH132" i="8"/>
  <c r="AH133" i="8"/>
  <c r="AH134" i="8"/>
  <c r="AH135" i="8"/>
  <c r="AH136" i="8"/>
  <c r="AH137" i="8"/>
  <c r="AH138" i="8"/>
  <c r="AH139" i="8"/>
  <c r="AH140" i="8"/>
  <c r="AH141" i="8"/>
  <c r="AH142" i="8"/>
  <c r="AH143" i="8"/>
  <c r="AH144" i="8"/>
  <c r="AH145" i="8"/>
  <c r="AH146" i="8"/>
  <c r="AH147" i="8"/>
  <c r="AH148" i="8"/>
  <c r="AH149" i="8"/>
  <c r="AH150" i="8"/>
  <c r="AH151" i="8"/>
  <c r="AH152" i="8"/>
  <c r="AH153" i="8"/>
  <c r="AH154" i="8"/>
  <c r="AH155" i="8"/>
  <c r="AH156" i="8"/>
  <c r="AH157" i="8"/>
  <c r="AH158" i="8"/>
  <c r="AH159" i="8"/>
  <c r="AH160" i="8"/>
  <c r="AH161" i="8"/>
  <c r="AH162" i="8"/>
  <c r="AH163" i="8"/>
  <c r="AH164" i="8"/>
  <c r="AH165" i="8"/>
  <c r="AH166" i="8"/>
  <c r="AH167" i="8"/>
  <c r="AH168" i="8"/>
  <c r="AH169" i="8"/>
  <c r="AH170" i="8"/>
  <c r="AH171" i="8"/>
  <c r="AH172" i="8"/>
  <c r="AH173" i="8"/>
  <c r="AH174" i="8"/>
  <c r="AH175" i="8"/>
  <c r="AH176" i="8"/>
  <c r="AH177" i="8"/>
  <c r="AH178" i="8"/>
  <c r="AH179" i="8"/>
  <c r="AH180" i="8"/>
  <c r="AH181" i="8"/>
  <c r="AH182" i="8"/>
  <c r="AH183" i="8"/>
  <c r="AH184" i="8"/>
  <c r="AH185" i="8"/>
  <c r="AH186" i="8"/>
  <c r="AH187" i="8"/>
  <c r="AH188" i="8"/>
  <c r="AH189" i="8"/>
  <c r="AH190" i="8"/>
  <c r="AH191" i="8"/>
  <c r="AH192" i="8"/>
  <c r="AH193" i="8"/>
  <c r="AH194" i="8"/>
  <c r="AH195" i="8"/>
  <c r="AH196" i="8"/>
  <c r="AH197" i="8"/>
  <c r="AH198" i="8"/>
  <c r="AH199" i="8"/>
  <c r="AH200" i="8"/>
  <c r="T200" i="11"/>
  <c r="S200" i="11"/>
  <c r="Q200" i="11"/>
  <c r="T199" i="11"/>
  <c r="S199" i="11"/>
  <c r="Q199" i="11"/>
  <c r="T198" i="11"/>
  <c r="S198" i="11"/>
  <c r="Q198" i="11"/>
  <c r="T197" i="11"/>
  <c r="S197" i="11"/>
  <c r="Q197" i="11"/>
  <c r="T196" i="11"/>
  <c r="S196" i="11"/>
  <c r="Q196" i="11"/>
  <c r="T195" i="11"/>
  <c r="S195" i="11"/>
  <c r="Q195" i="11"/>
  <c r="T194" i="11"/>
  <c r="S194" i="11"/>
  <c r="Q194" i="11"/>
  <c r="T193" i="11"/>
  <c r="S193" i="11"/>
  <c r="Q193" i="11"/>
  <c r="T192" i="11"/>
  <c r="S192" i="11"/>
  <c r="Q192" i="11"/>
  <c r="T191" i="11"/>
  <c r="S191" i="11"/>
  <c r="Q191" i="11"/>
  <c r="T190" i="11"/>
  <c r="S190" i="11"/>
  <c r="Q190" i="11"/>
  <c r="T189" i="11"/>
  <c r="S189" i="11"/>
  <c r="Q189" i="11"/>
  <c r="T188" i="11"/>
  <c r="S188" i="11"/>
  <c r="Q188" i="11"/>
  <c r="T187" i="11"/>
  <c r="S187" i="11"/>
  <c r="Q187" i="11"/>
  <c r="T186" i="11"/>
  <c r="S186" i="11"/>
  <c r="Q186" i="11"/>
  <c r="T185" i="11"/>
  <c r="S185" i="11"/>
  <c r="Q185" i="11"/>
  <c r="T184" i="11"/>
  <c r="S184" i="11"/>
  <c r="Q184" i="11"/>
  <c r="T183" i="11"/>
  <c r="S183" i="11"/>
  <c r="Q183" i="11"/>
  <c r="T182" i="11"/>
  <c r="S182" i="11"/>
  <c r="Q182" i="11"/>
  <c r="T181" i="11"/>
  <c r="S181" i="11"/>
  <c r="Q181" i="11"/>
  <c r="T180" i="11"/>
  <c r="S180" i="11"/>
  <c r="Q180" i="11"/>
  <c r="T179" i="11"/>
  <c r="S179" i="11"/>
  <c r="Q179" i="11"/>
  <c r="T178" i="11"/>
  <c r="S178" i="11"/>
  <c r="Q178" i="11"/>
  <c r="T177" i="11"/>
  <c r="S177" i="11"/>
  <c r="Q177" i="11"/>
  <c r="T176" i="11"/>
  <c r="S176" i="11"/>
  <c r="Q176" i="11"/>
  <c r="T175" i="11"/>
  <c r="S175" i="11"/>
  <c r="Q175" i="11"/>
  <c r="T174" i="11"/>
  <c r="S174" i="11"/>
  <c r="Q174" i="11"/>
  <c r="T173" i="11"/>
  <c r="S173" i="11"/>
  <c r="Q173" i="11"/>
  <c r="T172" i="11"/>
  <c r="S172" i="11"/>
  <c r="Q172" i="11"/>
  <c r="T171" i="11"/>
  <c r="S171" i="11"/>
  <c r="Q171" i="11"/>
  <c r="T170" i="11"/>
  <c r="S170" i="11"/>
  <c r="Q170" i="11"/>
  <c r="T169" i="11"/>
  <c r="S169" i="11"/>
  <c r="Q169" i="11"/>
  <c r="T168" i="11"/>
  <c r="S168" i="11"/>
  <c r="Q168" i="11"/>
  <c r="T167" i="11"/>
  <c r="S167" i="11"/>
  <c r="Q167" i="11"/>
  <c r="T166" i="11"/>
  <c r="S166" i="11"/>
  <c r="Q166" i="11"/>
  <c r="T165" i="11"/>
  <c r="S165" i="11"/>
  <c r="Q165" i="11"/>
  <c r="T164" i="11"/>
  <c r="S164" i="11"/>
  <c r="Q164" i="11"/>
  <c r="T163" i="11"/>
  <c r="S163" i="11"/>
  <c r="Q163" i="11"/>
  <c r="T162" i="11"/>
  <c r="S162" i="11"/>
  <c r="Q162" i="11"/>
  <c r="T161" i="11"/>
  <c r="S161" i="11"/>
  <c r="Q161" i="11"/>
  <c r="T160" i="11"/>
  <c r="S160" i="11"/>
  <c r="Q160" i="11"/>
  <c r="T159" i="11"/>
  <c r="S159" i="11"/>
  <c r="Q159" i="11"/>
  <c r="T158" i="11"/>
  <c r="S158" i="11"/>
  <c r="Q158" i="11"/>
  <c r="T157" i="11"/>
  <c r="S157" i="11"/>
  <c r="Q157" i="11"/>
  <c r="T156" i="11"/>
  <c r="S156" i="11"/>
  <c r="Q156" i="11"/>
  <c r="T155" i="11"/>
  <c r="S155" i="11"/>
  <c r="Q155" i="11"/>
  <c r="T154" i="11"/>
  <c r="S154" i="11"/>
  <c r="Q154" i="11"/>
  <c r="T153" i="11"/>
  <c r="S153" i="11"/>
  <c r="Q153" i="11"/>
  <c r="T152" i="11"/>
  <c r="S152" i="11"/>
  <c r="Q152" i="11"/>
  <c r="T151" i="11"/>
  <c r="S151" i="11"/>
  <c r="Q151" i="11"/>
  <c r="T150" i="11"/>
  <c r="S150" i="11"/>
  <c r="Q150" i="11"/>
  <c r="T149" i="11"/>
  <c r="S149" i="11"/>
  <c r="Q149" i="11"/>
  <c r="T148" i="11"/>
  <c r="S148" i="11"/>
  <c r="Q148" i="11"/>
  <c r="T147" i="11"/>
  <c r="S147" i="11"/>
  <c r="Q147" i="11"/>
  <c r="T146" i="11"/>
  <c r="S146" i="11"/>
  <c r="Q146" i="11"/>
  <c r="T145" i="11"/>
  <c r="S145" i="11"/>
  <c r="Q145" i="11"/>
  <c r="T144" i="11"/>
  <c r="S144" i="11"/>
  <c r="Q144" i="11"/>
  <c r="T143" i="11"/>
  <c r="S143" i="11"/>
  <c r="Q143" i="11"/>
  <c r="T142" i="11"/>
  <c r="S142" i="11"/>
  <c r="Q142" i="11"/>
  <c r="T141" i="11"/>
  <c r="S141" i="11"/>
  <c r="Q141" i="11"/>
  <c r="T140" i="11"/>
  <c r="S140" i="11"/>
  <c r="Q140" i="11"/>
  <c r="T139" i="11"/>
  <c r="S139" i="11"/>
  <c r="Q139" i="11"/>
  <c r="T138" i="11"/>
  <c r="S138" i="11"/>
  <c r="Q138" i="11"/>
  <c r="T137" i="11"/>
  <c r="S137" i="11"/>
  <c r="Q137" i="11"/>
  <c r="T136" i="11"/>
  <c r="S136" i="11"/>
  <c r="Q136" i="11"/>
  <c r="T135" i="11"/>
  <c r="S135" i="11"/>
  <c r="Q135" i="11"/>
  <c r="T134" i="11"/>
  <c r="S134" i="11"/>
  <c r="Q134" i="11"/>
  <c r="T133" i="11"/>
  <c r="S133" i="11"/>
  <c r="Q133" i="11"/>
  <c r="T132" i="11"/>
  <c r="S132" i="11"/>
  <c r="Q132" i="11"/>
  <c r="T131" i="11"/>
  <c r="S131" i="11"/>
  <c r="Q131" i="11"/>
  <c r="T130" i="11"/>
  <c r="S130" i="11"/>
  <c r="Q130" i="11"/>
  <c r="T129" i="11"/>
  <c r="S129" i="11"/>
  <c r="Q129" i="11"/>
  <c r="T128" i="11"/>
  <c r="S128" i="11"/>
  <c r="Q128" i="11"/>
  <c r="T127" i="11"/>
  <c r="S127" i="11"/>
  <c r="Q127" i="11"/>
  <c r="T126" i="11"/>
  <c r="S126" i="11"/>
  <c r="Q126" i="11"/>
  <c r="T125" i="11"/>
  <c r="S125" i="11"/>
  <c r="Q125" i="11"/>
  <c r="T124" i="11"/>
  <c r="S124" i="11"/>
  <c r="Q124" i="11"/>
  <c r="T123" i="11"/>
  <c r="S123" i="11"/>
  <c r="Q123" i="11"/>
  <c r="T122" i="11"/>
  <c r="S122" i="11"/>
  <c r="Q122" i="11"/>
  <c r="T121" i="11"/>
  <c r="S121" i="11"/>
  <c r="Q121" i="11"/>
  <c r="T120" i="11"/>
  <c r="S120" i="11"/>
  <c r="Q120" i="11"/>
  <c r="T119" i="11"/>
  <c r="S119" i="11"/>
  <c r="Q119" i="11"/>
  <c r="T118" i="11"/>
  <c r="S118" i="11"/>
  <c r="Q118" i="11"/>
  <c r="T117" i="11"/>
  <c r="S117" i="11"/>
  <c r="Q117" i="11"/>
  <c r="T116" i="11"/>
  <c r="S116" i="11"/>
  <c r="Q116" i="11"/>
  <c r="T115" i="11"/>
  <c r="S115" i="11"/>
  <c r="Q115" i="11"/>
  <c r="T114" i="11"/>
  <c r="S114" i="11"/>
  <c r="Q114" i="11"/>
  <c r="T113" i="11"/>
  <c r="S113" i="11"/>
  <c r="Q113" i="11"/>
  <c r="T112" i="11"/>
  <c r="S112" i="11"/>
  <c r="Q112" i="11"/>
  <c r="T111" i="11"/>
  <c r="S111" i="11"/>
  <c r="Q111" i="11"/>
  <c r="T110" i="11"/>
  <c r="S110" i="11"/>
  <c r="Q110" i="11"/>
  <c r="T109" i="11"/>
  <c r="S109" i="11"/>
  <c r="Q109" i="11"/>
  <c r="T108" i="11"/>
  <c r="S108" i="11"/>
  <c r="Q108" i="11"/>
  <c r="T107" i="11"/>
  <c r="S107" i="11"/>
  <c r="Q107" i="11"/>
  <c r="T106" i="11"/>
  <c r="S106" i="11"/>
  <c r="Q106" i="11"/>
  <c r="T105" i="11"/>
  <c r="S105" i="11"/>
  <c r="Q105" i="11"/>
  <c r="T104" i="11"/>
  <c r="S104" i="11"/>
  <c r="Q104" i="11"/>
  <c r="T103" i="11"/>
  <c r="S103" i="11"/>
  <c r="Q103" i="11"/>
  <c r="T102" i="11"/>
  <c r="S102" i="11"/>
  <c r="Q102" i="11"/>
  <c r="T101" i="11"/>
  <c r="S101" i="11"/>
  <c r="Q101" i="11"/>
  <c r="T100" i="11"/>
  <c r="S100" i="11"/>
  <c r="Q100" i="11"/>
  <c r="T99" i="11"/>
  <c r="S99" i="11"/>
  <c r="Q99" i="11"/>
  <c r="T98" i="11"/>
  <c r="S98" i="11"/>
  <c r="Q98" i="11"/>
  <c r="T97" i="11"/>
  <c r="S97" i="11"/>
  <c r="Q97" i="11"/>
  <c r="T96" i="11"/>
  <c r="S96" i="11"/>
  <c r="Q96" i="11"/>
  <c r="T95" i="11"/>
  <c r="S95" i="11"/>
  <c r="Q95" i="11"/>
  <c r="T94" i="11"/>
  <c r="S94" i="11"/>
  <c r="Q94" i="11"/>
  <c r="T93" i="11"/>
  <c r="S93" i="11"/>
  <c r="Q93" i="11"/>
  <c r="T92" i="11"/>
  <c r="S92" i="11"/>
  <c r="Q92" i="11"/>
  <c r="T91" i="11"/>
  <c r="S91" i="11"/>
  <c r="Q91" i="11"/>
  <c r="T90" i="11"/>
  <c r="S90" i="11"/>
  <c r="Q90" i="11"/>
  <c r="T89" i="11"/>
  <c r="S89" i="11"/>
  <c r="Q89" i="11"/>
  <c r="T88" i="11"/>
  <c r="S88" i="11"/>
  <c r="Q88" i="11"/>
  <c r="T87" i="11"/>
  <c r="S87" i="11"/>
  <c r="Q87" i="11"/>
  <c r="T86" i="11"/>
  <c r="S86" i="11"/>
  <c r="Q86" i="11"/>
  <c r="T85" i="11"/>
  <c r="S85" i="11"/>
  <c r="Q85" i="11"/>
  <c r="T84" i="11"/>
  <c r="S84" i="11"/>
  <c r="Q84" i="11"/>
  <c r="T83" i="11"/>
  <c r="S83" i="11"/>
  <c r="Q83" i="11"/>
  <c r="T82" i="11"/>
  <c r="S82" i="11"/>
  <c r="Q82" i="11"/>
  <c r="T81" i="11"/>
  <c r="S81" i="11"/>
  <c r="Q81" i="11"/>
  <c r="T80" i="11"/>
  <c r="S80" i="11"/>
  <c r="Q80" i="11"/>
  <c r="T79" i="11"/>
  <c r="S79" i="11"/>
  <c r="Q79" i="11"/>
  <c r="T78" i="11"/>
  <c r="S78" i="11"/>
  <c r="Q78" i="11"/>
  <c r="T77" i="11"/>
  <c r="S77" i="11"/>
  <c r="Q77" i="11"/>
  <c r="T76" i="11"/>
  <c r="S76" i="11"/>
  <c r="Q76" i="11"/>
  <c r="T75" i="11"/>
  <c r="S75" i="11"/>
  <c r="Q75" i="11"/>
  <c r="T74" i="11"/>
  <c r="S74" i="11"/>
  <c r="Q74" i="11"/>
  <c r="T73" i="11"/>
  <c r="S73" i="11"/>
  <c r="Q73" i="11"/>
  <c r="T72" i="11"/>
  <c r="S72" i="11"/>
  <c r="Q72" i="11"/>
  <c r="T71" i="11"/>
  <c r="S71" i="11"/>
  <c r="Q71" i="11"/>
  <c r="T70" i="11"/>
  <c r="S70" i="11"/>
  <c r="Q70" i="11"/>
  <c r="T69" i="11"/>
  <c r="S69" i="11"/>
  <c r="Q69" i="11"/>
  <c r="T68" i="11"/>
  <c r="S68" i="11"/>
  <c r="Q68" i="11"/>
  <c r="T67" i="11"/>
  <c r="S67" i="11"/>
  <c r="Q67" i="11"/>
  <c r="T66" i="11"/>
  <c r="S66" i="11"/>
  <c r="Q66" i="11"/>
  <c r="T65" i="11"/>
  <c r="S65" i="11"/>
  <c r="Q65" i="11"/>
  <c r="T64" i="11"/>
  <c r="S64" i="11"/>
  <c r="Q64" i="11"/>
  <c r="T63" i="11"/>
  <c r="S63" i="11"/>
  <c r="Q63" i="11"/>
  <c r="T62" i="11"/>
  <c r="S62" i="11"/>
  <c r="Q62" i="11"/>
  <c r="T61" i="11"/>
  <c r="S61" i="11"/>
  <c r="Q61" i="11"/>
  <c r="T60" i="11"/>
  <c r="S60" i="11"/>
  <c r="Q60" i="11"/>
  <c r="T59" i="11"/>
  <c r="S59" i="11"/>
  <c r="Q59" i="11"/>
  <c r="T58" i="11"/>
  <c r="S58" i="11"/>
  <c r="Q58" i="11"/>
  <c r="T57" i="11"/>
  <c r="S57" i="11"/>
  <c r="Q57" i="11"/>
  <c r="T56" i="11"/>
  <c r="S56" i="11"/>
  <c r="Q56" i="11"/>
  <c r="T55" i="11"/>
  <c r="S55" i="11"/>
  <c r="Q55" i="11"/>
  <c r="T54" i="11"/>
  <c r="S54" i="11"/>
  <c r="Q54" i="11"/>
  <c r="T53" i="11"/>
  <c r="S53" i="11"/>
  <c r="Q53" i="11"/>
  <c r="T52" i="11"/>
  <c r="S52" i="11"/>
  <c r="Q52" i="11"/>
  <c r="T51" i="11"/>
  <c r="S51" i="11"/>
  <c r="Q51" i="11"/>
  <c r="T50" i="11"/>
  <c r="S50" i="11"/>
  <c r="Q50" i="11"/>
  <c r="T49" i="11"/>
  <c r="S49" i="11"/>
  <c r="Q49" i="11"/>
  <c r="T48" i="11"/>
  <c r="S48" i="11"/>
  <c r="Q48" i="11"/>
  <c r="T47" i="11"/>
  <c r="S47" i="11"/>
  <c r="Q47" i="11"/>
  <c r="T46" i="11"/>
  <c r="S46" i="11"/>
  <c r="Q46" i="11"/>
  <c r="T45" i="11"/>
  <c r="S45" i="11"/>
  <c r="Q45" i="11"/>
  <c r="T44" i="11"/>
  <c r="S44" i="11"/>
  <c r="Q44" i="11"/>
  <c r="T43" i="11"/>
  <c r="S43" i="11"/>
  <c r="Q43" i="11"/>
  <c r="T42" i="11"/>
  <c r="S42" i="11"/>
  <c r="Q42" i="11"/>
  <c r="T41" i="11"/>
  <c r="S41" i="11"/>
  <c r="Q41" i="11"/>
  <c r="T40" i="11"/>
  <c r="S40" i="11"/>
  <c r="Q40" i="11"/>
  <c r="T39" i="11"/>
  <c r="S39" i="11"/>
  <c r="Q39" i="11"/>
  <c r="T38" i="11"/>
  <c r="S38" i="11"/>
  <c r="Q38" i="11"/>
  <c r="T37" i="11"/>
  <c r="S37" i="11"/>
  <c r="Q37" i="11"/>
  <c r="T36" i="11"/>
  <c r="S36" i="11"/>
  <c r="Q36" i="11"/>
  <c r="T35" i="11"/>
  <c r="S35" i="11"/>
  <c r="Q35" i="11"/>
  <c r="T34" i="11"/>
  <c r="S34" i="11"/>
  <c r="Q34" i="11"/>
  <c r="T33" i="11"/>
  <c r="S33" i="11"/>
  <c r="Q33" i="11"/>
  <c r="T32" i="11"/>
  <c r="S32" i="11"/>
  <c r="Q32" i="11"/>
  <c r="T31" i="11"/>
  <c r="S31" i="11"/>
  <c r="Q31" i="11"/>
  <c r="T30" i="11"/>
  <c r="S30" i="11"/>
  <c r="Q30" i="11"/>
  <c r="T29" i="11"/>
  <c r="S29" i="11"/>
  <c r="Q29" i="11"/>
  <c r="T28" i="11"/>
  <c r="S28" i="11"/>
  <c r="Q28" i="11"/>
  <c r="T27" i="11"/>
  <c r="S27" i="11"/>
  <c r="Q27" i="11"/>
  <c r="T26" i="11"/>
  <c r="S26" i="11"/>
  <c r="Q26" i="11"/>
  <c r="T25" i="11"/>
  <c r="S25" i="11"/>
  <c r="Q25" i="11"/>
  <c r="T24" i="11"/>
  <c r="S24" i="11"/>
  <c r="Q24" i="11"/>
  <c r="T23" i="11"/>
  <c r="S23" i="11"/>
  <c r="Q23" i="11"/>
  <c r="T22" i="11"/>
  <c r="S22" i="11"/>
  <c r="Q22" i="11"/>
  <c r="T21" i="11"/>
  <c r="S21" i="11"/>
  <c r="Q21" i="11"/>
  <c r="T20" i="11"/>
  <c r="S20" i="11"/>
  <c r="Q20" i="11"/>
  <c r="T19" i="11"/>
  <c r="S19" i="11"/>
  <c r="Q19" i="11"/>
  <c r="T18" i="11"/>
  <c r="S18" i="11"/>
  <c r="Q18" i="11"/>
  <c r="T17" i="11"/>
  <c r="S17" i="11"/>
  <c r="Q17" i="11"/>
  <c r="T16" i="11"/>
  <c r="S16" i="11"/>
  <c r="Q16" i="11"/>
  <c r="T15" i="11"/>
  <c r="S15" i="11"/>
  <c r="Q15" i="11"/>
  <c r="T14" i="11"/>
  <c r="S14" i="11"/>
  <c r="Q14" i="11"/>
  <c r="T13" i="11"/>
  <c r="S13" i="11"/>
  <c r="Q13" i="11"/>
  <c r="T12" i="11"/>
  <c r="S12" i="11"/>
  <c r="Q12" i="11"/>
  <c r="T11" i="11"/>
  <c r="S11" i="11"/>
  <c r="Q11" i="11"/>
  <c r="T10" i="11"/>
  <c r="S10" i="11"/>
  <c r="Q10" i="11"/>
  <c r="T9" i="11"/>
  <c r="S9" i="11"/>
  <c r="Q9" i="11"/>
  <c r="T8" i="11"/>
  <c r="S8" i="11"/>
  <c r="Q8" i="11"/>
  <c r="T7" i="11"/>
  <c r="S7" i="11"/>
  <c r="Q7" i="11"/>
  <c r="T6" i="11"/>
  <c r="S6" i="11"/>
  <c r="Q6" i="11"/>
  <c r="T5" i="11"/>
  <c r="S5" i="11"/>
  <c r="Q5" i="11"/>
  <c r="T4" i="11"/>
  <c r="S4" i="11"/>
  <c r="Q4" i="11"/>
  <c r="T3" i="11"/>
  <c r="S3" i="11"/>
  <c r="Q3" i="11"/>
  <c r="T2" i="11"/>
  <c r="S2" i="11"/>
  <c r="Q2" i="11"/>
  <c r="T200" i="10"/>
  <c r="S200" i="10"/>
  <c r="Q200" i="10"/>
  <c r="T199" i="10"/>
  <c r="S199" i="10"/>
  <c r="Q199" i="10"/>
  <c r="T198" i="10"/>
  <c r="S198" i="10"/>
  <c r="Q198" i="10"/>
  <c r="T197" i="10"/>
  <c r="S197" i="10"/>
  <c r="Q197" i="10"/>
  <c r="T196" i="10"/>
  <c r="S196" i="10"/>
  <c r="Q196" i="10"/>
  <c r="T195" i="10"/>
  <c r="S195" i="10"/>
  <c r="Q195" i="10"/>
  <c r="T194" i="10"/>
  <c r="S194" i="10"/>
  <c r="Q194" i="10"/>
  <c r="T193" i="10"/>
  <c r="S193" i="10"/>
  <c r="Q193" i="10"/>
  <c r="T192" i="10"/>
  <c r="S192" i="10"/>
  <c r="Q192" i="10"/>
  <c r="T191" i="10"/>
  <c r="S191" i="10"/>
  <c r="Q191" i="10"/>
  <c r="T190" i="10"/>
  <c r="S190" i="10"/>
  <c r="Q190" i="10"/>
  <c r="T189" i="10"/>
  <c r="S189" i="10"/>
  <c r="Q189" i="10"/>
  <c r="T188" i="10"/>
  <c r="S188" i="10"/>
  <c r="Q188" i="10"/>
  <c r="T187" i="10"/>
  <c r="S187" i="10"/>
  <c r="Q187" i="10"/>
  <c r="T186" i="10"/>
  <c r="S186" i="10"/>
  <c r="Q186" i="10"/>
  <c r="T185" i="10"/>
  <c r="S185" i="10"/>
  <c r="Q185" i="10"/>
  <c r="T184" i="10"/>
  <c r="S184" i="10"/>
  <c r="Q184" i="10"/>
  <c r="T183" i="10"/>
  <c r="S183" i="10"/>
  <c r="Q183" i="10"/>
  <c r="T182" i="10"/>
  <c r="S182" i="10"/>
  <c r="Q182" i="10"/>
  <c r="T181" i="10"/>
  <c r="S181" i="10"/>
  <c r="Q181" i="10"/>
  <c r="T180" i="10"/>
  <c r="S180" i="10"/>
  <c r="Q180" i="10"/>
  <c r="T179" i="10"/>
  <c r="S179" i="10"/>
  <c r="Q179" i="10"/>
  <c r="T178" i="10"/>
  <c r="S178" i="10"/>
  <c r="Q178" i="10"/>
  <c r="T177" i="10"/>
  <c r="S177" i="10"/>
  <c r="Q177" i="10"/>
  <c r="T176" i="10"/>
  <c r="S176" i="10"/>
  <c r="Q176" i="10"/>
  <c r="T175" i="10"/>
  <c r="S175" i="10"/>
  <c r="Q175" i="10"/>
  <c r="T174" i="10"/>
  <c r="S174" i="10"/>
  <c r="Q174" i="10"/>
  <c r="T173" i="10"/>
  <c r="S173" i="10"/>
  <c r="Q173" i="10"/>
  <c r="T172" i="10"/>
  <c r="S172" i="10"/>
  <c r="Q172" i="10"/>
  <c r="T171" i="10"/>
  <c r="S171" i="10"/>
  <c r="Q171" i="10"/>
  <c r="T170" i="10"/>
  <c r="S170" i="10"/>
  <c r="Q170" i="10"/>
  <c r="T169" i="10"/>
  <c r="S169" i="10"/>
  <c r="Q169" i="10"/>
  <c r="T168" i="10"/>
  <c r="S168" i="10"/>
  <c r="Q168" i="10"/>
  <c r="T167" i="10"/>
  <c r="S167" i="10"/>
  <c r="Q167" i="10"/>
  <c r="T166" i="10"/>
  <c r="S166" i="10"/>
  <c r="Q166" i="10"/>
  <c r="T165" i="10"/>
  <c r="S165" i="10"/>
  <c r="Q165" i="10"/>
  <c r="T164" i="10"/>
  <c r="S164" i="10"/>
  <c r="Q164" i="10"/>
  <c r="T163" i="10"/>
  <c r="S163" i="10"/>
  <c r="Q163" i="10"/>
  <c r="T162" i="10"/>
  <c r="S162" i="10"/>
  <c r="Q162" i="10"/>
  <c r="T161" i="10"/>
  <c r="S161" i="10"/>
  <c r="Q161" i="10"/>
  <c r="T160" i="10"/>
  <c r="S160" i="10"/>
  <c r="Q160" i="10"/>
  <c r="T159" i="10"/>
  <c r="S159" i="10"/>
  <c r="Q159" i="10"/>
  <c r="T158" i="10"/>
  <c r="S158" i="10"/>
  <c r="Q158" i="10"/>
  <c r="T157" i="10"/>
  <c r="S157" i="10"/>
  <c r="Q157" i="10"/>
  <c r="T156" i="10"/>
  <c r="S156" i="10"/>
  <c r="Q156" i="10"/>
  <c r="T155" i="10"/>
  <c r="S155" i="10"/>
  <c r="Q155" i="10"/>
  <c r="T154" i="10"/>
  <c r="S154" i="10"/>
  <c r="Q154" i="10"/>
  <c r="T153" i="10"/>
  <c r="S153" i="10"/>
  <c r="Q153" i="10"/>
  <c r="T152" i="10"/>
  <c r="S152" i="10"/>
  <c r="Q152" i="10"/>
  <c r="T151" i="10"/>
  <c r="S151" i="10"/>
  <c r="Q151" i="10"/>
  <c r="T150" i="10"/>
  <c r="S150" i="10"/>
  <c r="Q150" i="10"/>
  <c r="T149" i="10"/>
  <c r="S149" i="10"/>
  <c r="Q149" i="10"/>
  <c r="T148" i="10"/>
  <c r="S148" i="10"/>
  <c r="Q148" i="10"/>
  <c r="T147" i="10"/>
  <c r="S147" i="10"/>
  <c r="Q147" i="10"/>
  <c r="T146" i="10"/>
  <c r="S146" i="10"/>
  <c r="Q146" i="10"/>
  <c r="T145" i="10"/>
  <c r="S145" i="10"/>
  <c r="Q145" i="10"/>
  <c r="T144" i="10"/>
  <c r="S144" i="10"/>
  <c r="Q144" i="10"/>
  <c r="T143" i="10"/>
  <c r="S143" i="10"/>
  <c r="Q143" i="10"/>
  <c r="T142" i="10"/>
  <c r="S142" i="10"/>
  <c r="Q142" i="10"/>
  <c r="T141" i="10"/>
  <c r="S141" i="10"/>
  <c r="Q141" i="10"/>
  <c r="T140" i="10"/>
  <c r="S140" i="10"/>
  <c r="Q140" i="10"/>
  <c r="T139" i="10"/>
  <c r="S139" i="10"/>
  <c r="Q139" i="10"/>
  <c r="T138" i="10"/>
  <c r="S138" i="10"/>
  <c r="Q138" i="10"/>
  <c r="T137" i="10"/>
  <c r="S137" i="10"/>
  <c r="Q137" i="10"/>
  <c r="T136" i="10"/>
  <c r="S136" i="10"/>
  <c r="Q136" i="10"/>
  <c r="T135" i="10"/>
  <c r="S135" i="10"/>
  <c r="Q135" i="10"/>
  <c r="T134" i="10"/>
  <c r="S134" i="10"/>
  <c r="Q134" i="10"/>
  <c r="T133" i="10"/>
  <c r="S133" i="10"/>
  <c r="Q133" i="10"/>
  <c r="T132" i="10"/>
  <c r="S132" i="10"/>
  <c r="Q132" i="10"/>
  <c r="T131" i="10"/>
  <c r="S131" i="10"/>
  <c r="Q131" i="10"/>
  <c r="T130" i="10"/>
  <c r="S130" i="10"/>
  <c r="Q130" i="10"/>
  <c r="T129" i="10"/>
  <c r="S129" i="10"/>
  <c r="Q129" i="10"/>
  <c r="T128" i="10"/>
  <c r="S128" i="10"/>
  <c r="Q128" i="10"/>
  <c r="T127" i="10"/>
  <c r="S127" i="10"/>
  <c r="Q127" i="10"/>
  <c r="T126" i="10"/>
  <c r="S126" i="10"/>
  <c r="Q126" i="10"/>
  <c r="T125" i="10"/>
  <c r="S125" i="10"/>
  <c r="Q125" i="10"/>
  <c r="T124" i="10"/>
  <c r="S124" i="10"/>
  <c r="Q124" i="10"/>
  <c r="T123" i="10"/>
  <c r="S123" i="10"/>
  <c r="Q123" i="10"/>
  <c r="T122" i="10"/>
  <c r="S122" i="10"/>
  <c r="Q122" i="10"/>
  <c r="T121" i="10"/>
  <c r="S121" i="10"/>
  <c r="Q121" i="10"/>
  <c r="T120" i="10"/>
  <c r="S120" i="10"/>
  <c r="Q120" i="10"/>
  <c r="T119" i="10"/>
  <c r="S119" i="10"/>
  <c r="Q119" i="10"/>
  <c r="T118" i="10"/>
  <c r="S118" i="10"/>
  <c r="Q118" i="10"/>
  <c r="T117" i="10"/>
  <c r="S117" i="10"/>
  <c r="Q117" i="10"/>
  <c r="T116" i="10"/>
  <c r="S116" i="10"/>
  <c r="Q116" i="10"/>
  <c r="T115" i="10"/>
  <c r="S115" i="10"/>
  <c r="Q115" i="10"/>
  <c r="T114" i="10"/>
  <c r="S114" i="10"/>
  <c r="Q114" i="10"/>
  <c r="T113" i="10"/>
  <c r="S113" i="10"/>
  <c r="Q113" i="10"/>
  <c r="T112" i="10"/>
  <c r="S112" i="10"/>
  <c r="Q112" i="10"/>
  <c r="T111" i="10"/>
  <c r="S111" i="10"/>
  <c r="Q111" i="10"/>
  <c r="T110" i="10"/>
  <c r="S110" i="10"/>
  <c r="Q110" i="10"/>
  <c r="T109" i="10"/>
  <c r="S109" i="10"/>
  <c r="Q109" i="10"/>
  <c r="T108" i="10"/>
  <c r="S108" i="10"/>
  <c r="Q108" i="10"/>
  <c r="T107" i="10"/>
  <c r="S107" i="10"/>
  <c r="Q107" i="10"/>
  <c r="T106" i="10"/>
  <c r="S106" i="10"/>
  <c r="Q106" i="10"/>
  <c r="T105" i="10"/>
  <c r="S105" i="10"/>
  <c r="Q105" i="10"/>
  <c r="T104" i="10"/>
  <c r="S104" i="10"/>
  <c r="Q104" i="10"/>
  <c r="T103" i="10"/>
  <c r="S103" i="10"/>
  <c r="Q103" i="10"/>
  <c r="T102" i="10"/>
  <c r="S102" i="10"/>
  <c r="Q102" i="10"/>
  <c r="T101" i="10"/>
  <c r="S101" i="10"/>
  <c r="Q101" i="10"/>
  <c r="T100" i="10"/>
  <c r="S100" i="10"/>
  <c r="Q100" i="10"/>
  <c r="T99" i="10"/>
  <c r="S99" i="10"/>
  <c r="Q99" i="10"/>
  <c r="T98" i="10"/>
  <c r="S98" i="10"/>
  <c r="Q98" i="10"/>
  <c r="T97" i="10"/>
  <c r="S97" i="10"/>
  <c r="Q97" i="10"/>
  <c r="T96" i="10"/>
  <c r="S96" i="10"/>
  <c r="Q96" i="10"/>
  <c r="T95" i="10"/>
  <c r="S95" i="10"/>
  <c r="Q95" i="10"/>
  <c r="T94" i="10"/>
  <c r="S94" i="10"/>
  <c r="Q94" i="10"/>
  <c r="T93" i="10"/>
  <c r="S93" i="10"/>
  <c r="Q93" i="10"/>
  <c r="T92" i="10"/>
  <c r="S92" i="10"/>
  <c r="Q92" i="10"/>
  <c r="T91" i="10"/>
  <c r="S91" i="10"/>
  <c r="Q91" i="10"/>
  <c r="T90" i="10"/>
  <c r="S90" i="10"/>
  <c r="Q90" i="10"/>
  <c r="T89" i="10"/>
  <c r="S89" i="10"/>
  <c r="Q89" i="10"/>
  <c r="T88" i="10"/>
  <c r="S88" i="10"/>
  <c r="Q88" i="10"/>
  <c r="T87" i="10"/>
  <c r="S87" i="10"/>
  <c r="Q87" i="10"/>
  <c r="T86" i="10"/>
  <c r="S86" i="10"/>
  <c r="Q86" i="10"/>
  <c r="T85" i="10"/>
  <c r="S85" i="10"/>
  <c r="Q85" i="10"/>
  <c r="T84" i="10"/>
  <c r="S84" i="10"/>
  <c r="Q84" i="10"/>
  <c r="T83" i="10"/>
  <c r="S83" i="10"/>
  <c r="Q83" i="10"/>
  <c r="T82" i="10"/>
  <c r="S82" i="10"/>
  <c r="Q82" i="10"/>
  <c r="T81" i="10"/>
  <c r="S81" i="10"/>
  <c r="Q81" i="10"/>
  <c r="T80" i="10"/>
  <c r="S80" i="10"/>
  <c r="Q80" i="10"/>
  <c r="T79" i="10"/>
  <c r="S79" i="10"/>
  <c r="Q79" i="10"/>
  <c r="T78" i="10"/>
  <c r="S78" i="10"/>
  <c r="Q78" i="10"/>
  <c r="T77" i="10"/>
  <c r="S77" i="10"/>
  <c r="Q77" i="10"/>
  <c r="T76" i="10"/>
  <c r="S76" i="10"/>
  <c r="Q76" i="10"/>
  <c r="T75" i="10"/>
  <c r="S75" i="10"/>
  <c r="Q75" i="10"/>
  <c r="T74" i="10"/>
  <c r="S74" i="10"/>
  <c r="Q74" i="10"/>
  <c r="T73" i="10"/>
  <c r="S73" i="10"/>
  <c r="Q73" i="10"/>
  <c r="T72" i="10"/>
  <c r="S72" i="10"/>
  <c r="Q72" i="10"/>
  <c r="T71" i="10"/>
  <c r="S71" i="10"/>
  <c r="Q71" i="10"/>
  <c r="T70" i="10"/>
  <c r="S70" i="10"/>
  <c r="Q70" i="10"/>
  <c r="T69" i="10"/>
  <c r="S69" i="10"/>
  <c r="Q69" i="10"/>
  <c r="T68" i="10"/>
  <c r="S68" i="10"/>
  <c r="Q68" i="10"/>
  <c r="T67" i="10"/>
  <c r="S67" i="10"/>
  <c r="Q67" i="10"/>
  <c r="T66" i="10"/>
  <c r="S66" i="10"/>
  <c r="Q66" i="10"/>
  <c r="T65" i="10"/>
  <c r="S65" i="10"/>
  <c r="Q65" i="10"/>
  <c r="T64" i="10"/>
  <c r="S64" i="10"/>
  <c r="Q64" i="10"/>
  <c r="T63" i="10"/>
  <c r="S63" i="10"/>
  <c r="Q63" i="10"/>
  <c r="T62" i="10"/>
  <c r="S62" i="10"/>
  <c r="Q62" i="10"/>
  <c r="T61" i="10"/>
  <c r="S61" i="10"/>
  <c r="Q61" i="10"/>
  <c r="T60" i="10"/>
  <c r="S60" i="10"/>
  <c r="Q60" i="10"/>
  <c r="T59" i="10"/>
  <c r="S59" i="10"/>
  <c r="Q59" i="10"/>
  <c r="T58" i="10"/>
  <c r="S58" i="10"/>
  <c r="Q58" i="10"/>
  <c r="T57" i="10"/>
  <c r="S57" i="10"/>
  <c r="Q57" i="10"/>
  <c r="T56" i="10"/>
  <c r="S56" i="10"/>
  <c r="Q56" i="10"/>
  <c r="T55" i="10"/>
  <c r="S55" i="10"/>
  <c r="Q55" i="10"/>
  <c r="T54" i="10"/>
  <c r="S54" i="10"/>
  <c r="Q54" i="10"/>
  <c r="T53" i="10"/>
  <c r="S53" i="10"/>
  <c r="Q53" i="10"/>
  <c r="T52" i="10"/>
  <c r="S52" i="10"/>
  <c r="Q52" i="10"/>
  <c r="T51" i="10"/>
  <c r="S51" i="10"/>
  <c r="Q51" i="10"/>
  <c r="T50" i="10"/>
  <c r="S50" i="10"/>
  <c r="Q50" i="10"/>
  <c r="T49" i="10"/>
  <c r="S49" i="10"/>
  <c r="Q49" i="10"/>
  <c r="T48" i="10"/>
  <c r="S48" i="10"/>
  <c r="Q48" i="10"/>
  <c r="T47" i="10"/>
  <c r="S47" i="10"/>
  <c r="Q47" i="10"/>
  <c r="T46" i="10"/>
  <c r="S46" i="10"/>
  <c r="Q46" i="10"/>
  <c r="T45" i="10"/>
  <c r="S45" i="10"/>
  <c r="Q45" i="10"/>
  <c r="T44" i="10"/>
  <c r="S44" i="10"/>
  <c r="Q44" i="10"/>
  <c r="T43" i="10"/>
  <c r="S43" i="10"/>
  <c r="Q43" i="10"/>
  <c r="T42" i="10"/>
  <c r="S42" i="10"/>
  <c r="Q42" i="10"/>
  <c r="T41" i="10"/>
  <c r="S41" i="10"/>
  <c r="Q41" i="10"/>
  <c r="T40" i="10"/>
  <c r="S40" i="10"/>
  <c r="Q40" i="10"/>
  <c r="T39" i="10"/>
  <c r="S39" i="10"/>
  <c r="Q39" i="10"/>
  <c r="T38" i="10"/>
  <c r="S38" i="10"/>
  <c r="Q38" i="10"/>
  <c r="T37" i="10"/>
  <c r="S37" i="10"/>
  <c r="Q37" i="10"/>
  <c r="T36" i="10"/>
  <c r="S36" i="10"/>
  <c r="Q36" i="10"/>
  <c r="T35" i="10"/>
  <c r="S35" i="10"/>
  <c r="Q35" i="10"/>
  <c r="T34" i="10"/>
  <c r="S34" i="10"/>
  <c r="Q34" i="10"/>
  <c r="T33" i="10"/>
  <c r="S33" i="10"/>
  <c r="Q33" i="10"/>
  <c r="T32" i="10"/>
  <c r="S32" i="10"/>
  <c r="Q32" i="10"/>
  <c r="T31" i="10"/>
  <c r="S31" i="10"/>
  <c r="Q31" i="10"/>
  <c r="T30" i="10"/>
  <c r="S30" i="10"/>
  <c r="Q30" i="10"/>
  <c r="T29" i="10"/>
  <c r="S29" i="10"/>
  <c r="Q29" i="10"/>
  <c r="T28" i="10"/>
  <c r="S28" i="10"/>
  <c r="Q28" i="10"/>
  <c r="T27" i="10"/>
  <c r="S27" i="10"/>
  <c r="Q27" i="10"/>
  <c r="T26" i="10"/>
  <c r="S26" i="10"/>
  <c r="Q26" i="10"/>
  <c r="T25" i="10"/>
  <c r="S25" i="10"/>
  <c r="Q25" i="10"/>
  <c r="T24" i="10"/>
  <c r="S24" i="10"/>
  <c r="Q24" i="10"/>
  <c r="T23" i="10"/>
  <c r="S23" i="10"/>
  <c r="Q23" i="10"/>
  <c r="T22" i="10"/>
  <c r="S22" i="10"/>
  <c r="Q22" i="10"/>
  <c r="T21" i="10"/>
  <c r="S21" i="10"/>
  <c r="Q21" i="10"/>
  <c r="T20" i="10"/>
  <c r="S20" i="10"/>
  <c r="Q20" i="10"/>
  <c r="T19" i="10"/>
  <c r="S19" i="10"/>
  <c r="Q19" i="10"/>
  <c r="T18" i="10"/>
  <c r="S18" i="10"/>
  <c r="Q18" i="10"/>
  <c r="T17" i="10"/>
  <c r="S17" i="10"/>
  <c r="Q17" i="10"/>
  <c r="T16" i="10"/>
  <c r="S16" i="10"/>
  <c r="Q16" i="10"/>
  <c r="T15" i="10"/>
  <c r="S15" i="10"/>
  <c r="Q15" i="10"/>
  <c r="T14" i="10"/>
  <c r="S14" i="10"/>
  <c r="Q14" i="10"/>
  <c r="T13" i="10"/>
  <c r="S13" i="10"/>
  <c r="Q13" i="10"/>
  <c r="T12" i="10"/>
  <c r="S12" i="10"/>
  <c r="Q12" i="10"/>
  <c r="T11" i="10"/>
  <c r="S11" i="10"/>
  <c r="Q11" i="10"/>
  <c r="T10" i="10"/>
  <c r="S10" i="10"/>
  <c r="Q10" i="10"/>
  <c r="T9" i="10"/>
  <c r="S9" i="10"/>
  <c r="Q9" i="10"/>
  <c r="T8" i="10"/>
  <c r="S8" i="10"/>
  <c r="Q8" i="10"/>
  <c r="T7" i="10"/>
  <c r="S7" i="10"/>
  <c r="Q7" i="10"/>
  <c r="T6" i="10"/>
  <c r="S6" i="10"/>
  <c r="Q6" i="10"/>
  <c r="T5" i="10"/>
  <c r="S5" i="10"/>
  <c r="Q5" i="10"/>
  <c r="T4" i="10"/>
  <c r="S4" i="10"/>
  <c r="Q4" i="10"/>
  <c r="T3" i="10"/>
  <c r="S3" i="10"/>
  <c r="Q3" i="10"/>
  <c r="T2" i="10"/>
  <c r="S2" i="10"/>
  <c r="Q2" i="10"/>
  <c r="T200" i="9"/>
  <c r="S200" i="9"/>
  <c r="Q200" i="9"/>
  <c r="T199" i="9"/>
  <c r="S199" i="9"/>
  <c r="Q199" i="9"/>
  <c r="T198" i="9"/>
  <c r="S198" i="9"/>
  <c r="Q198" i="9"/>
  <c r="T197" i="9"/>
  <c r="S197" i="9"/>
  <c r="Q197" i="9"/>
  <c r="T196" i="9"/>
  <c r="S196" i="9"/>
  <c r="Q196" i="9"/>
  <c r="T195" i="9"/>
  <c r="S195" i="9"/>
  <c r="Q195" i="9"/>
  <c r="T194" i="9"/>
  <c r="S194" i="9"/>
  <c r="Q194" i="9"/>
  <c r="T193" i="9"/>
  <c r="S193" i="9"/>
  <c r="Q193" i="9"/>
  <c r="T192" i="9"/>
  <c r="S192" i="9"/>
  <c r="Q192" i="9"/>
  <c r="T191" i="9"/>
  <c r="S191" i="9"/>
  <c r="Q191" i="9"/>
  <c r="T190" i="9"/>
  <c r="S190" i="9"/>
  <c r="Q190" i="9"/>
  <c r="T189" i="9"/>
  <c r="S189" i="9"/>
  <c r="Q189" i="9"/>
  <c r="T188" i="9"/>
  <c r="S188" i="9"/>
  <c r="Q188" i="9"/>
  <c r="T187" i="9"/>
  <c r="S187" i="9"/>
  <c r="Q187" i="9"/>
  <c r="T186" i="9"/>
  <c r="S186" i="9"/>
  <c r="Q186" i="9"/>
  <c r="T185" i="9"/>
  <c r="S185" i="9"/>
  <c r="Q185" i="9"/>
  <c r="T184" i="9"/>
  <c r="S184" i="9"/>
  <c r="Q184" i="9"/>
  <c r="T183" i="9"/>
  <c r="S183" i="9"/>
  <c r="Q183" i="9"/>
  <c r="T182" i="9"/>
  <c r="S182" i="9"/>
  <c r="Q182" i="9"/>
  <c r="T181" i="9"/>
  <c r="S181" i="9"/>
  <c r="Q181" i="9"/>
  <c r="T180" i="9"/>
  <c r="S180" i="9"/>
  <c r="Q180" i="9"/>
  <c r="T179" i="9"/>
  <c r="S179" i="9"/>
  <c r="Q179" i="9"/>
  <c r="T178" i="9"/>
  <c r="S178" i="9"/>
  <c r="Q178" i="9"/>
  <c r="T177" i="9"/>
  <c r="S177" i="9"/>
  <c r="Q177" i="9"/>
  <c r="T176" i="9"/>
  <c r="S176" i="9"/>
  <c r="Q176" i="9"/>
  <c r="T175" i="9"/>
  <c r="S175" i="9"/>
  <c r="Q175" i="9"/>
  <c r="T174" i="9"/>
  <c r="S174" i="9"/>
  <c r="Q174" i="9"/>
  <c r="T173" i="9"/>
  <c r="S173" i="9"/>
  <c r="Q173" i="9"/>
  <c r="T172" i="9"/>
  <c r="S172" i="9"/>
  <c r="Q172" i="9"/>
  <c r="T171" i="9"/>
  <c r="S171" i="9"/>
  <c r="Q171" i="9"/>
  <c r="T170" i="9"/>
  <c r="S170" i="9"/>
  <c r="Q170" i="9"/>
  <c r="T169" i="9"/>
  <c r="S169" i="9"/>
  <c r="Q169" i="9"/>
  <c r="T168" i="9"/>
  <c r="S168" i="9"/>
  <c r="Q168" i="9"/>
  <c r="T167" i="9"/>
  <c r="S167" i="9"/>
  <c r="Q167" i="9"/>
  <c r="T166" i="9"/>
  <c r="S166" i="9"/>
  <c r="Q166" i="9"/>
  <c r="T165" i="9"/>
  <c r="S165" i="9"/>
  <c r="Q165" i="9"/>
  <c r="T164" i="9"/>
  <c r="S164" i="9"/>
  <c r="Q164" i="9"/>
  <c r="T163" i="9"/>
  <c r="S163" i="9"/>
  <c r="Q163" i="9"/>
  <c r="T162" i="9"/>
  <c r="S162" i="9"/>
  <c r="Q162" i="9"/>
  <c r="T161" i="9"/>
  <c r="S161" i="9"/>
  <c r="Q161" i="9"/>
  <c r="T160" i="9"/>
  <c r="S160" i="9"/>
  <c r="Q160" i="9"/>
  <c r="T159" i="9"/>
  <c r="S159" i="9"/>
  <c r="Q159" i="9"/>
  <c r="T158" i="9"/>
  <c r="S158" i="9"/>
  <c r="Q158" i="9"/>
  <c r="T157" i="9"/>
  <c r="S157" i="9"/>
  <c r="Q157" i="9"/>
  <c r="T156" i="9"/>
  <c r="S156" i="9"/>
  <c r="Q156" i="9"/>
  <c r="T155" i="9"/>
  <c r="S155" i="9"/>
  <c r="Q155" i="9"/>
  <c r="T154" i="9"/>
  <c r="S154" i="9"/>
  <c r="Q154" i="9"/>
  <c r="T153" i="9"/>
  <c r="S153" i="9"/>
  <c r="Q153" i="9"/>
  <c r="T152" i="9"/>
  <c r="S152" i="9"/>
  <c r="Q152" i="9"/>
  <c r="T151" i="9"/>
  <c r="S151" i="9"/>
  <c r="Q151" i="9"/>
  <c r="T150" i="9"/>
  <c r="S150" i="9"/>
  <c r="Q150" i="9"/>
  <c r="T149" i="9"/>
  <c r="S149" i="9"/>
  <c r="Q149" i="9"/>
  <c r="T148" i="9"/>
  <c r="S148" i="9"/>
  <c r="Q148" i="9"/>
  <c r="T147" i="9"/>
  <c r="S147" i="9"/>
  <c r="Q147" i="9"/>
  <c r="T146" i="9"/>
  <c r="S146" i="9"/>
  <c r="Q146" i="9"/>
  <c r="T145" i="9"/>
  <c r="S145" i="9"/>
  <c r="Q145" i="9"/>
  <c r="T144" i="9"/>
  <c r="S144" i="9"/>
  <c r="Q144" i="9"/>
  <c r="T143" i="9"/>
  <c r="S143" i="9"/>
  <c r="Q143" i="9"/>
  <c r="T142" i="9"/>
  <c r="S142" i="9"/>
  <c r="Q142" i="9"/>
  <c r="T141" i="9"/>
  <c r="S141" i="9"/>
  <c r="Q141" i="9"/>
  <c r="T140" i="9"/>
  <c r="S140" i="9"/>
  <c r="Q140" i="9"/>
  <c r="T139" i="9"/>
  <c r="S139" i="9"/>
  <c r="Q139" i="9"/>
  <c r="T138" i="9"/>
  <c r="S138" i="9"/>
  <c r="Q138" i="9"/>
  <c r="T137" i="9"/>
  <c r="S137" i="9"/>
  <c r="Q137" i="9"/>
  <c r="T136" i="9"/>
  <c r="S136" i="9"/>
  <c r="Q136" i="9"/>
  <c r="T135" i="9"/>
  <c r="S135" i="9"/>
  <c r="Q135" i="9"/>
  <c r="T134" i="9"/>
  <c r="S134" i="9"/>
  <c r="Q134" i="9"/>
  <c r="T133" i="9"/>
  <c r="S133" i="9"/>
  <c r="Q133" i="9"/>
  <c r="T132" i="9"/>
  <c r="S132" i="9"/>
  <c r="Q132" i="9"/>
  <c r="T131" i="9"/>
  <c r="S131" i="9"/>
  <c r="Q131" i="9"/>
  <c r="T130" i="9"/>
  <c r="S130" i="9"/>
  <c r="Q130" i="9"/>
  <c r="T129" i="9"/>
  <c r="S129" i="9"/>
  <c r="Q129" i="9"/>
  <c r="T128" i="9"/>
  <c r="S128" i="9"/>
  <c r="Q128" i="9"/>
  <c r="T127" i="9"/>
  <c r="S127" i="9"/>
  <c r="Q127" i="9"/>
  <c r="T126" i="9"/>
  <c r="S126" i="9"/>
  <c r="Q126" i="9"/>
  <c r="T125" i="9"/>
  <c r="S125" i="9"/>
  <c r="Q125" i="9"/>
  <c r="T124" i="9"/>
  <c r="S124" i="9"/>
  <c r="Q124" i="9"/>
  <c r="T123" i="9"/>
  <c r="S123" i="9"/>
  <c r="Q123" i="9"/>
  <c r="T122" i="9"/>
  <c r="S122" i="9"/>
  <c r="Q122" i="9"/>
  <c r="T121" i="9"/>
  <c r="S121" i="9"/>
  <c r="Q121" i="9"/>
  <c r="T120" i="9"/>
  <c r="S120" i="9"/>
  <c r="Q120" i="9"/>
  <c r="T119" i="9"/>
  <c r="S119" i="9"/>
  <c r="Q119" i="9"/>
  <c r="T118" i="9"/>
  <c r="S118" i="9"/>
  <c r="Q118" i="9"/>
  <c r="T117" i="9"/>
  <c r="S117" i="9"/>
  <c r="Q117" i="9"/>
  <c r="T116" i="9"/>
  <c r="S116" i="9"/>
  <c r="Q116" i="9"/>
  <c r="T115" i="9"/>
  <c r="S115" i="9"/>
  <c r="Q115" i="9"/>
  <c r="T114" i="9"/>
  <c r="S114" i="9"/>
  <c r="Q114" i="9"/>
  <c r="T113" i="9"/>
  <c r="S113" i="9"/>
  <c r="Q113" i="9"/>
  <c r="T112" i="9"/>
  <c r="S112" i="9"/>
  <c r="Q112" i="9"/>
  <c r="T111" i="9"/>
  <c r="S111" i="9"/>
  <c r="Q111" i="9"/>
  <c r="T110" i="9"/>
  <c r="S110" i="9"/>
  <c r="Q110" i="9"/>
  <c r="T109" i="9"/>
  <c r="S109" i="9"/>
  <c r="Q109" i="9"/>
  <c r="T108" i="9"/>
  <c r="S108" i="9"/>
  <c r="Q108" i="9"/>
  <c r="T107" i="9"/>
  <c r="S107" i="9"/>
  <c r="Q107" i="9"/>
  <c r="T106" i="9"/>
  <c r="S106" i="9"/>
  <c r="Q106" i="9"/>
  <c r="T105" i="9"/>
  <c r="S105" i="9"/>
  <c r="Q105" i="9"/>
  <c r="T104" i="9"/>
  <c r="S104" i="9"/>
  <c r="Q104" i="9"/>
  <c r="T103" i="9"/>
  <c r="S103" i="9"/>
  <c r="Q103" i="9"/>
  <c r="T102" i="9"/>
  <c r="S102" i="9"/>
  <c r="Q102" i="9"/>
  <c r="T101" i="9"/>
  <c r="S101" i="9"/>
  <c r="Q101" i="9"/>
  <c r="T100" i="9"/>
  <c r="S100" i="9"/>
  <c r="Q100" i="9"/>
  <c r="T99" i="9"/>
  <c r="S99" i="9"/>
  <c r="Q99" i="9"/>
  <c r="T98" i="9"/>
  <c r="S98" i="9"/>
  <c r="Q98" i="9"/>
  <c r="T97" i="9"/>
  <c r="S97" i="9"/>
  <c r="Q97" i="9"/>
  <c r="T96" i="9"/>
  <c r="S96" i="9"/>
  <c r="Q96" i="9"/>
  <c r="T95" i="9"/>
  <c r="S95" i="9"/>
  <c r="Q95" i="9"/>
  <c r="T94" i="9"/>
  <c r="S94" i="9"/>
  <c r="Q94" i="9"/>
  <c r="T93" i="9"/>
  <c r="S93" i="9"/>
  <c r="Q93" i="9"/>
  <c r="T92" i="9"/>
  <c r="S92" i="9"/>
  <c r="Q92" i="9"/>
  <c r="T91" i="9"/>
  <c r="S91" i="9"/>
  <c r="Q91" i="9"/>
  <c r="T90" i="9"/>
  <c r="S90" i="9"/>
  <c r="Q90" i="9"/>
  <c r="T89" i="9"/>
  <c r="S89" i="9"/>
  <c r="Q89" i="9"/>
  <c r="T88" i="9"/>
  <c r="S88" i="9"/>
  <c r="Q88" i="9"/>
  <c r="T87" i="9"/>
  <c r="S87" i="9"/>
  <c r="Q87" i="9"/>
  <c r="T86" i="9"/>
  <c r="S86" i="9"/>
  <c r="Q86" i="9"/>
  <c r="T85" i="9"/>
  <c r="S85" i="9"/>
  <c r="Q85" i="9"/>
  <c r="T84" i="9"/>
  <c r="S84" i="9"/>
  <c r="Q84" i="9"/>
  <c r="T83" i="9"/>
  <c r="S83" i="9"/>
  <c r="Q83" i="9"/>
  <c r="T82" i="9"/>
  <c r="S82" i="9"/>
  <c r="Q82" i="9"/>
  <c r="T81" i="9"/>
  <c r="S81" i="9"/>
  <c r="Q81" i="9"/>
  <c r="T80" i="9"/>
  <c r="S80" i="9"/>
  <c r="Q80" i="9"/>
  <c r="T79" i="9"/>
  <c r="S79" i="9"/>
  <c r="Q79" i="9"/>
  <c r="T78" i="9"/>
  <c r="S78" i="9"/>
  <c r="Q78" i="9"/>
  <c r="T77" i="9"/>
  <c r="S77" i="9"/>
  <c r="Q77" i="9"/>
  <c r="T76" i="9"/>
  <c r="S76" i="9"/>
  <c r="Q76" i="9"/>
  <c r="T75" i="9"/>
  <c r="S75" i="9"/>
  <c r="Q75" i="9"/>
  <c r="T74" i="9"/>
  <c r="S74" i="9"/>
  <c r="Q74" i="9"/>
  <c r="T73" i="9"/>
  <c r="S73" i="9"/>
  <c r="Q73" i="9"/>
  <c r="T72" i="9"/>
  <c r="S72" i="9"/>
  <c r="Q72" i="9"/>
  <c r="T71" i="9"/>
  <c r="S71" i="9"/>
  <c r="Q71" i="9"/>
  <c r="T70" i="9"/>
  <c r="S70" i="9"/>
  <c r="Q70" i="9"/>
  <c r="T69" i="9"/>
  <c r="S69" i="9"/>
  <c r="Q69" i="9"/>
  <c r="T68" i="9"/>
  <c r="S68" i="9"/>
  <c r="Q68" i="9"/>
  <c r="T67" i="9"/>
  <c r="S67" i="9"/>
  <c r="Q67" i="9"/>
  <c r="T66" i="9"/>
  <c r="S66" i="9"/>
  <c r="Q66" i="9"/>
  <c r="T65" i="9"/>
  <c r="S65" i="9"/>
  <c r="Q65" i="9"/>
  <c r="T64" i="9"/>
  <c r="S64" i="9"/>
  <c r="Q64" i="9"/>
  <c r="T63" i="9"/>
  <c r="S63" i="9"/>
  <c r="Q63" i="9"/>
  <c r="T62" i="9"/>
  <c r="S62" i="9"/>
  <c r="Q62" i="9"/>
  <c r="T61" i="9"/>
  <c r="S61" i="9"/>
  <c r="Q61" i="9"/>
  <c r="T60" i="9"/>
  <c r="S60" i="9"/>
  <c r="Q60" i="9"/>
  <c r="T59" i="9"/>
  <c r="S59" i="9"/>
  <c r="Q59" i="9"/>
  <c r="T58" i="9"/>
  <c r="S58" i="9"/>
  <c r="Q58" i="9"/>
  <c r="T57" i="9"/>
  <c r="S57" i="9"/>
  <c r="Q57" i="9"/>
  <c r="T56" i="9"/>
  <c r="S56" i="9"/>
  <c r="Q56" i="9"/>
  <c r="T55" i="9"/>
  <c r="S55" i="9"/>
  <c r="Q55" i="9"/>
  <c r="T54" i="9"/>
  <c r="S54" i="9"/>
  <c r="Q54" i="9"/>
  <c r="T53" i="9"/>
  <c r="S53" i="9"/>
  <c r="Q53" i="9"/>
  <c r="T52" i="9"/>
  <c r="S52" i="9"/>
  <c r="Q52" i="9"/>
  <c r="T51" i="9"/>
  <c r="S51" i="9"/>
  <c r="Q51" i="9"/>
  <c r="T50" i="9"/>
  <c r="S50" i="9"/>
  <c r="Q50" i="9"/>
  <c r="T49" i="9"/>
  <c r="S49" i="9"/>
  <c r="Q49" i="9"/>
  <c r="T48" i="9"/>
  <c r="S48" i="9"/>
  <c r="Q48" i="9"/>
  <c r="T47" i="9"/>
  <c r="S47" i="9"/>
  <c r="Q47" i="9"/>
  <c r="T46" i="9"/>
  <c r="S46" i="9"/>
  <c r="Q46" i="9"/>
  <c r="T45" i="9"/>
  <c r="S45" i="9"/>
  <c r="Q45" i="9"/>
  <c r="T44" i="9"/>
  <c r="S44" i="9"/>
  <c r="Q44" i="9"/>
  <c r="T43" i="9"/>
  <c r="S43" i="9"/>
  <c r="Q43" i="9"/>
  <c r="T42" i="9"/>
  <c r="S42" i="9"/>
  <c r="Q42" i="9"/>
  <c r="T41" i="9"/>
  <c r="S41" i="9"/>
  <c r="Q41" i="9"/>
  <c r="T40" i="9"/>
  <c r="S40" i="9"/>
  <c r="Q40" i="9"/>
  <c r="T39" i="9"/>
  <c r="S39" i="9"/>
  <c r="Q39" i="9"/>
  <c r="T38" i="9"/>
  <c r="S38" i="9"/>
  <c r="Q38" i="9"/>
  <c r="T37" i="9"/>
  <c r="S37" i="9"/>
  <c r="Q37" i="9"/>
  <c r="T35" i="9"/>
  <c r="S35" i="9"/>
  <c r="Q35" i="9"/>
  <c r="T34" i="9"/>
  <c r="S34" i="9"/>
  <c r="Q34" i="9"/>
  <c r="T33" i="9"/>
  <c r="S33" i="9"/>
  <c r="Q33" i="9"/>
  <c r="T32" i="9"/>
  <c r="S32" i="9"/>
  <c r="Q32" i="9"/>
  <c r="T31" i="9"/>
  <c r="S31" i="9"/>
  <c r="Q31" i="9"/>
  <c r="T30" i="9"/>
  <c r="S30" i="9"/>
  <c r="Q30" i="9"/>
  <c r="T29" i="9"/>
  <c r="S29" i="9"/>
  <c r="Q29" i="9"/>
  <c r="T28" i="9"/>
  <c r="S28" i="9"/>
  <c r="Q28" i="9"/>
  <c r="T27" i="9"/>
  <c r="S27" i="9"/>
  <c r="Q27" i="9"/>
  <c r="T26" i="9"/>
  <c r="S26" i="9"/>
  <c r="Q26" i="9"/>
  <c r="T25" i="9"/>
  <c r="S25" i="9"/>
  <c r="Q25" i="9"/>
  <c r="T24" i="9"/>
  <c r="S24" i="9"/>
  <c r="Q24" i="9"/>
  <c r="T23" i="9"/>
  <c r="S23" i="9"/>
  <c r="Q23" i="9"/>
  <c r="T22" i="9"/>
  <c r="S22" i="9"/>
  <c r="Q22" i="9"/>
  <c r="T21" i="9"/>
  <c r="S21" i="9"/>
  <c r="Q21" i="9"/>
  <c r="T20" i="9"/>
  <c r="S20" i="9"/>
  <c r="Q20" i="9"/>
  <c r="T19" i="9"/>
  <c r="S19" i="9"/>
  <c r="Q19" i="9"/>
  <c r="T18" i="9"/>
  <c r="S18" i="9"/>
  <c r="Q18" i="9"/>
  <c r="T17" i="9"/>
  <c r="S17" i="9"/>
  <c r="Q17" i="9"/>
  <c r="T16" i="9"/>
  <c r="S16" i="9"/>
  <c r="Q16" i="9"/>
  <c r="T15" i="9"/>
  <c r="S15" i="9"/>
  <c r="Q15" i="9"/>
  <c r="T14" i="9"/>
  <c r="S14" i="9"/>
  <c r="Q14" i="9"/>
  <c r="T13" i="9"/>
  <c r="S13" i="9"/>
  <c r="Q13" i="9"/>
  <c r="T12" i="9"/>
  <c r="S12" i="9"/>
  <c r="Q12" i="9"/>
  <c r="T11" i="9"/>
  <c r="S11" i="9"/>
  <c r="Q11" i="9"/>
  <c r="T10" i="9"/>
  <c r="S10" i="9"/>
  <c r="Q10" i="9"/>
  <c r="T9" i="9"/>
  <c r="S9" i="9"/>
  <c r="Q9" i="9"/>
  <c r="T8" i="9"/>
  <c r="S8" i="9"/>
  <c r="Q8" i="9"/>
  <c r="T7" i="9"/>
  <c r="S7" i="9"/>
  <c r="Q7" i="9"/>
  <c r="T6" i="9"/>
  <c r="S6" i="9"/>
  <c r="Q6" i="9"/>
  <c r="T5" i="9"/>
  <c r="S5" i="9"/>
  <c r="Q5" i="9"/>
  <c r="T4" i="9"/>
  <c r="S4" i="9"/>
  <c r="Q4" i="9"/>
  <c r="T3" i="9"/>
  <c r="S3" i="9"/>
  <c r="Q3" i="9"/>
  <c r="T2" i="9"/>
  <c r="S2" i="9"/>
  <c r="Q2" i="9"/>
  <c r="T200" i="8"/>
  <c r="S200" i="8"/>
  <c r="Q200" i="8"/>
  <c r="T199" i="8"/>
  <c r="S199" i="8"/>
  <c r="Q199" i="8"/>
  <c r="T198" i="8"/>
  <c r="S198" i="8"/>
  <c r="Q198" i="8"/>
  <c r="T197" i="8"/>
  <c r="S197" i="8"/>
  <c r="Q197" i="8"/>
  <c r="T196" i="8"/>
  <c r="S196" i="8"/>
  <c r="Q196" i="8"/>
  <c r="T195" i="8"/>
  <c r="S195" i="8"/>
  <c r="Q195" i="8"/>
  <c r="T194" i="8"/>
  <c r="S194" i="8"/>
  <c r="Q194" i="8"/>
  <c r="T193" i="8"/>
  <c r="S193" i="8"/>
  <c r="Q193" i="8"/>
  <c r="T192" i="8"/>
  <c r="S192" i="8"/>
  <c r="Q192" i="8"/>
  <c r="T191" i="8"/>
  <c r="S191" i="8"/>
  <c r="Q191" i="8"/>
  <c r="T190" i="8"/>
  <c r="S190" i="8"/>
  <c r="Q190" i="8"/>
  <c r="T189" i="8"/>
  <c r="S189" i="8"/>
  <c r="Q189" i="8"/>
  <c r="T188" i="8"/>
  <c r="S188" i="8"/>
  <c r="Q188" i="8"/>
  <c r="T187" i="8"/>
  <c r="S187" i="8"/>
  <c r="Q187" i="8"/>
  <c r="T186" i="8"/>
  <c r="S186" i="8"/>
  <c r="Q186" i="8"/>
  <c r="T185" i="8"/>
  <c r="S185" i="8"/>
  <c r="Q185" i="8"/>
  <c r="T184" i="8"/>
  <c r="S184" i="8"/>
  <c r="Q184" i="8"/>
  <c r="T183" i="8"/>
  <c r="S183" i="8"/>
  <c r="Q183" i="8"/>
  <c r="T182" i="8"/>
  <c r="S182" i="8"/>
  <c r="Q182" i="8"/>
  <c r="T181" i="8"/>
  <c r="S181" i="8"/>
  <c r="Q181" i="8"/>
  <c r="T180" i="8"/>
  <c r="S180" i="8"/>
  <c r="Q180" i="8"/>
  <c r="T179" i="8"/>
  <c r="S179" i="8"/>
  <c r="Q179" i="8"/>
  <c r="T178" i="8"/>
  <c r="S178" i="8"/>
  <c r="Q178" i="8"/>
  <c r="T177" i="8"/>
  <c r="S177" i="8"/>
  <c r="Q177" i="8"/>
  <c r="T176" i="8"/>
  <c r="S176" i="8"/>
  <c r="Q176" i="8"/>
  <c r="T175" i="8"/>
  <c r="S175" i="8"/>
  <c r="Q175" i="8"/>
  <c r="T174" i="8"/>
  <c r="S174" i="8"/>
  <c r="Q174" i="8"/>
  <c r="T173" i="8"/>
  <c r="S173" i="8"/>
  <c r="Q173" i="8"/>
  <c r="T172" i="8"/>
  <c r="S172" i="8"/>
  <c r="Q172" i="8"/>
  <c r="T171" i="8"/>
  <c r="S171" i="8"/>
  <c r="Q171" i="8"/>
  <c r="T170" i="8"/>
  <c r="S170" i="8"/>
  <c r="Q170" i="8"/>
  <c r="T169" i="8"/>
  <c r="S169" i="8"/>
  <c r="Q169" i="8"/>
  <c r="T168" i="8"/>
  <c r="S168" i="8"/>
  <c r="Q168" i="8"/>
  <c r="T167" i="8"/>
  <c r="S167" i="8"/>
  <c r="Q167" i="8"/>
  <c r="T166" i="8"/>
  <c r="S166" i="8"/>
  <c r="Q166" i="8"/>
  <c r="T165" i="8"/>
  <c r="S165" i="8"/>
  <c r="Q165" i="8"/>
  <c r="T164" i="8"/>
  <c r="S164" i="8"/>
  <c r="Q164" i="8"/>
  <c r="T163" i="8"/>
  <c r="S163" i="8"/>
  <c r="Q163" i="8"/>
  <c r="T162" i="8"/>
  <c r="S162" i="8"/>
  <c r="Q162" i="8"/>
  <c r="T161" i="8"/>
  <c r="S161" i="8"/>
  <c r="Q161" i="8"/>
  <c r="T160" i="8"/>
  <c r="S160" i="8"/>
  <c r="Q160" i="8"/>
  <c r="T159" i="8"/>
  <c r="S159" i="8"/>
  <c r="Q159" i="8"/>
  <c r="T158" i="8"/>
  <c r="S158" i="8"/>
  <c r="Q158" i="8"/>
  <c r="T157" i="8"/>
  <c r="S157" i="8"/>
  <c r="Q157" i="8"/>
  <c r="T156" i="8"/>
  <c r="S156" i="8"/>
  <c r="Q156" i="8"/>
  <c r="T155" i="8"/>
  <c r="S155" i="8"/>
  <c r="Q155" i="8"/>
  <c r="T154" i="8"/>
  <c r="S154" i="8"/>
  <c r="Q154" i="8"/>
  <c r="T153" i="8"/>
  <c r="S153" i="8"/>
  <c r="Q153" i="8"/>
  <c r="T152" i="8"/>
  <c r="S152" i="8"/>
  <c r="Q152" i="8"/>
  <c r="T151" i="8"/>
  <c r="S151" i="8"/>
  <c r="Q151" i="8"/>
  <c r="T150" i="8"/>
  <c r="S150" i="8"/>
  <c r="Q150" i="8"/>
  <c r="T149" i="8"/>
  <c r="S149" i="8"/>
  <c r="Q149" i="8"/>
  <c r="T148" i="8"/>
  <c r="S148" i="8"/>
  <c r="Q148" i="8"/>
  <c r="T147" i="8"/>
  <c r="S147" i="8"/>
  <c r="Q147" i="8"/>
  <c r="T146" i="8"/>
  <c r="S146" i="8"/>
  <c r="Q146" i="8"/>
  <c r="T145" i="8"/>
  <c r="S145" i="8"/>
  <c r="Q145" i="8"/>
  <c r="T144" i="8"/>
  <c r="S144" i="8"/>
  <c r="Q144" i="8"/>
  <c r="T143" i="8"/>
  <c r="S143" i="8"/>
  <c r="Q143" i="8"/>
  <c r="T142" i="8"/>
  <c r="S142" i="8"/>
  <c r="Q142" i="8"/>
  <c r="T141" i="8"/>
  <c r="S141" i="8"/>
  <c r="Q141" i="8"/>
  <c r="T140" i="8"/>
  <c r="S140" i="8"/>
  <c r="Q140" i="8"/>
  <c r="T139" i="8"/>
  <c r="S139" i="8"/>
  <c r="Q139" i="8"/>
  <c r="T138" i="8"/>
  <c r="S138" i="8"/>
  <c r="Q138" i="8"/>
  <c r="T137" i="8"/>
  <c r="S137" i="8"/>
  <c r="Q137" i="8"/>
  <c r="T136" i="8"/>
  <c r="S136" i="8"/>
  <c r="Q136" i="8"/>
  <c r="T135" i="8"/>
  <c r="S135" i="8"/>
  <c r="Q135" i="8"/>
  <c r="T134" i="8"/>
  <c r="S134" i="8"/>
  <c r="Q134" i="8"/>
  <c r="T133" i="8"/>
  <c r="S133" i="8"/>
  <c r="Q133" i="8"/>
  <c r="T132" i="8"/>
  <c r="S132" i="8"/>
  <c r="Q132" i="8"/>
  <c r="T131" i="8"/>
  <c r="S131" i="8"/>
  <c r="Q131" i="8"/>
  <c r="T130" i="8"/>
  <c r="S130" i="8"/>
  <c r="Q130" i="8"/>
  <c r="T129" i="8"/>
  <c r="S129" i="8"/>
  <c r="Q129" i="8"/>
  <c r="T128" i="8"/>
  <c r="S128" i="8"/>
  <c r="Q128" i="8"/>
  <c r="T127" i="8"/>
  <c r="S127" i="8"/>
  <c r="Q127" i="8"/>
  <c r="T126" i="8"/>
  <c r="S126" i="8"/>
  <c r="Q126" i="8"/>
  <c r="T125" i="8"/>
  <c r="S125" i="8"/>
  <c r="Q125" i="8"/>
  <c r="T124" i="8"/>
  <c r="S124" i="8"/>
  <c r="Q124" i="8"/>
  <c r="T123" i="8"/>
  <c r="S123" i="8"/>
  <c r="Q123" i="8"/>
  <c r="T122" i="8"/>
  <c r="S122" i="8"/>
  <c r="Q122" i="8"/>
  <c r="T121" i="8"/>
  <c r="S121" i="8"/>
  <c r="Q121" i="8"/>
  <c r="T120" i="8"/>
  <c r="S120" i="8"/>
  <c r="Q120" i="8"/>
  <c r="T119" i="8"/>
  <c r="S119" i="8"/>
  <c r="Q119" i="8"/>
  <c r="T118" i="8"/>
  <c r="S118" i="8"/>
  <c r="Q118" i="8"/>
  <c r="T117" i="8"/>
  <c r="S117" i="8"/>
  <c r="Q117" i="8"/>
  <c r="T116" i="8"/>
  <c r="S116" i="8"/>
  <c r="Q116" i="8"/>
  <c r="T115" i="8"/>
  <c r="S115" i="8"/>
  <c r="Q115" i="8"/>
  <c r="T114" i="8"/>
  <c r="S114" i="8"/>
  <c r="Q114" i="8"/>
  <c r="T113" i="8"/>
  <c r="S113" i="8"/>
  <c r="Q113" i="8"/>
  <c r="T112" i="8"/>
  <c r="S112" i="8"/>
  <c r="Q112" i="8"/>
  <c r="T111" i="8"/>
  <c r="S111" i="8"/>
  <c r="Q111" i="8"/>
  <c r="T110" i="8"/>
  <c r="S110" i="8"/>
  <c r="Q110" i="8"/>
  <c r="T109" i="8"/>
  <c r="S109" i="8"/>
  <c r="Q109" i="8"/>
  <c r="T108" i="8"/>
  <c r="S108" i="8"/>
  <c r="Q108" i="8"/>
  <c r="T107" i="8"/>
  <c r="S107" i="8"/>
  <c r="Q107" i="8"/>
  <c r="T106" i="8"/>
  <c r="S106" i="8"/>
  <c r="Q106" i="8"/>
  <c r="T105" i="8"/>
  <c r="S105" i="8"/>
  <c r="Q105" i="8"/>
  <c r="T104" i="8"/>
  <c r="S104" i="8"/>
  <c r="Q104" i="8"/>
  <c r="T103" i="8"/>
  <c r="S103" i="8"/>
  <c r="Q103" i="8"/>
  <c r="T102" i="8"/>
  <c r="S102" i="8"/>
  <c r="Q102" i="8"/>
  <c r="T101" i="8"/>
  <c r="S101" i="8"/>
  <c r="Q101" i="8"/>
  <c r="T100" i="8"/>
  <c r="S100" i="8"/>
  <c r="Q100" i="8"/>
  <c r="T99" i="8"/>
  <c r="S99" i="8"/>
  <c r="Q99" i="8"/>
  <c r="T98" i="8"/>
  <c r="S98" i="8"/>
  <c r="Q98" i="8"/>
  <c r="T97" i="8"/>
  <c r="S97" i="8"/>
  <c r="Q97" i="8"/>
  <c r="T96" i="8"/>
  <c r="S96" i="8"/>
  <c r="Q96" i="8"/>
  <c r="T95" i="8"/>
  <c r="S95" i="8"/>
  <c r="Q95" i="8"/>
  <c r="T94" i="8"/>
  <c r="S94" i="8"/>
  <c r="Q94" i="8"/>
  <c r="T93" i="8"/>
  <c r="S93" i="8"/>
  <c r="Q93" i="8"/>
  <c r="T92" i="8"/>
  <c r="S92" i="8"/>
  <c r="Q92" i="8"/>
  <c r="T91" i="8"/>
  <c r="S91" i="8"/>
  <c r="Q91" i="8"/>
  <c r="T90" i="8"/>
  <c r="S90" i="8"/>
  <c r="Q90" i="8"/>
  <c r="T89" i="8"/>
  <c r="S89" i="8"/>
  <c r="Q89" i="8"/>
  <c r="T88" i="8"/>
  <c r="S88" i="8"/>
  <c r="Q88" i="8"/>
  <c r="T87" i="8"/>
  <c r="S87" i="8"/>
  <c r="Q87" i="8"/>
  <c r="T86" i="8"/>
  <c r="S86" i="8"/>
  <c r="Q86" i="8"/>
  <c r="T85" i="8"/>
  <c r="S85" i="8"/>
  <c r="Q85" i="8"/>
  <c r="T84" i="8"/>
  <c r="S84" i="8"/>
  <c r="Q84" i="8"/>
  <c r="T83" i="8"/>
  <c r="S83" i="8"/>
  <c r="Q83" i="8"/>
  <c r="T82" i="8"/>
  <c r="S82" i="8"/>
  <c r="Q82" i="8"/>
  <c r="T81" i="8"/>
  <c r="S81" i="8"/>
  <c r="Q81" i="8"/>
  <c r="T80" i="8"/>
  <c r="S80" i="8"/>
  <c r="Q80" i="8"/>
  <c r="T79" i="8"/>
  <c r="S79" i="8"/>
  <c r="Q79" i="8"/>
  <c r="T78" i="8"/>
  <c r="S78" i="8"/>
  <c r="Q78" i="8"/>
  <c r="T77" i="8"/>
  <c r="S77" i="8"/>
  <c r="Q77" i="8"/>
  <c r="T76" i="8"/>
  <c r="S76" i="8"/>
  <c r="Q76" i="8"/>
  <c r="T75" i="8"/>
  <c r="S75" i="8"/>
  <c r="Q75" i="8"/>
  <c r="T74" i="8"/>
  <c r="S74" i="8"/>
  <c r="Q74" i="8"/>
  <c r="T73" i="8"/>
  <c r="S73" i="8"/>
  <c r="Q73" i="8"/>
  <c r="T72" i="8"/>
  <c r="S72" i="8"/>
  <c r="Q72" i="8"/>
  <c r="T71" i="8"/>
  <c r="S71" i="8"/>
  <c r="Q71" i="8"/>
  <c r="T70" i="8"/>
  <c r="S70" i="8"/>
  <c r="Q70" i="8"/>
  <c r="T69" i="8"/>
  <c r="S69" i="8"/>
  <c r="Q69" i="8"/>
  <c r="T68" i="8"/>
  <c r="S68" i="8"/>
  <c r="Q68" i="8"/>
  <c r="T67" i="8"/>
  <c r="S67" i="8"/>
  <c r="Q67" i="8"/>
  <c r="T66" i="8"/>
  <c r="S66" i="8"/>
  <c r="Q66" i="8"/>
  <c r="T65" i="8"/>
  <c r="S65" i="8"/>
  <c r="Q65" i="8"/>
  <c r="T64" i="8"/>
  <c r="S64" i="8"/>
  <c r="Q64" i="8"/>
  <c r="T63" i="8"/>
  <c r="S63" i="8"/>
  <c r="Q63" i="8"/>
  <c r="T62" i="8"/>
  <c r="S62" i="8"/>
  <c r="Q62" i="8"/>
  <c r="T61" i="8"/>
  <c r="S61" i="8"/>
  <c r="Q61" i="8"/>
  <c r="T60" i="8"/>
  <c r="S60" i="8"/>
  <c r="Q60" i="8"/>
  <c r="T59" i="8"/>
  <c r="S59" i="8"/>
  <c r="Q59" i="8"/>
  <c r="T58" i="8"/>
  <c r="S58" i="8"/>
  <c r="Q58" i="8"/>
  <c r="T57" i="8"/>
  <c r="S57" i="8"/>
  <c r="Q57" i="8"/>
  <c r="T56" i="8"/>
  <c r="S56" i="8"/>
  <c r="Q56" i="8"/>
  <c r="T55" i="8"/>
  <c r="S55" i="8"/>
  <c r="Q55" i="8"/>
  <c r="T54" i="8"/>
  <c r="S54" i="8"/>
  <c r="Q54" i="8"/>
  <c r="T53" i="8"/>
  <c r="S53" i="8"/>
  <c r="Q53" i="8"/>
  <c r="T52" i="8"/>
  <c r="S52" i="8"/>
  <c r="Q52" i="8"/>
  <c r="T51" i="8"/>
  <c r="S51" i="8"/>
  <c r="Q51" i="8"/>
  <c r="T50" i="8"/>
  <c r="S50" i="8"/>
  <c r="Q50" i="8"/>
  <c r="T49" i="8"/>
  <c r="S49" i="8"/>
  <c r="Q49" i="8"/>
  <c r="T48" i="8"/>
  <c r="S48" i="8"/>
  <c r="Q48" i="8"/>
  <c r="T47" i="8"/>
  <c r="S47" i="8"/>
  <c r="Q47" i="8"/>
  <c r="T46" i="8"/>
  <c r="S46" i="8"/>
  <c r="Q46" i="8"/>
  <c r="T45" i="8"/>
  <c r="S45" i="8"/>
  <c r="Q45" i="8"/>
  <c r="T44" i="8"/>
  <c r="S44" i="8"/>
  <c r="Q44" i="8"/>
  <c r="T43" i="8"/>
  <c r="S43" i="8"/>
  <c r="Q43" i="8"/>
  <c r="T42" i="8"/>
  <c r="S42" i="8"/>
  <c r="Q42" i="8"/>
  <c r="T41" i="8"/>
  <c r="S41" i="8"/>
  <c r="Q41" i="8"/>
  <c r="T40" i="8"/>
  <c r="S40" i="8"/>
  <c r="Q40" i="8"/>
  <c r="T39" i="8"/>
  <c r="S39" i="8"/>
  <c r="Q39" i="8"/>
  <c r="T38" i="8"/>
  <c r="S38" i="8"/>
  <c r="Q38" i="8"/>
  <c r="T37" i="8"/>
  <c r="S37" i="8"/>
  <c r="Q37" i="8"/>
  <c r="T36" i="8"/>
  <c r="S36" i="8"/>
  <c r="Q36" i="8"/>
  <c r="T35" i="8"/>
  <c r="S35" i="8"/>
  <c r="Q35" i="8"/>
  <c r="T34" i="8"/>
  <c r="S34" i="8"/>
  <c r="Q34" i="8"/>
  <c r="T33" i="8"/>
  <c r="S33" i="8"/>
  <c r="Q33" i="8"/>
  <c r="T31" i="8"/>
  <c r="S31" i="8"/>
  <c r="Q31" i="8"/>
  <c r="T30" i="8"/>
  <c r="S30" i="8"/>
  <c r="Q30" i="8"/>
  <c r="T29" i="8"/>
  <c r="S29" i="8"/>
  <c r="Q29" i="8"/>
  <c r="T28" i="8"/>
  <c r="S28" i="8"/>
  <c r="Q28" i="8"/>
  <c r="T27" i="8"/>
  <c r="S27" i="8"/>
  <c r="Q27" i="8"/>
  <c r="T26" i="8"/>
  <c r="S26" i="8"/>
  <c r="Q26" i="8"/>
  <c r="T25" i="8"/>
  <c r="S25" i="8"/>
  <c r="Q25" i="8"/>
  <c r="T24" i="8"/>
  <c r="S24" i="8"/>
  <c r="Q24" i="8"/>
  <c r="T23" i="8"/>
  <c r="S23" i="8"/>
  <c r="Q23" i="8"/>
  <c r="T22" i="8"/>
  <c r="S22" i="8"/>
  <c r="Q22" i="8"/>
  <c r="T21" i="8"/>
  <c r="S21" i="8"/>
  <c r="Q21" i="8"/>
  <c r="T20" i="8"/>
  <c r="S20" i="8"/>
  <c r="Q20" i="8"/>
  <c r="T19" i="8"/>
  <c r="S19" i="8"/>
  <c r="Q19" i="8"/>
  <c r="T18" i="8"/>
  <c r="S18" i="8"/>
  <c r="Q18" i="8"/>
  <c r="T17" i="8"/>
  <c r="S17" i="8"/>
  <c r="Q17" i="8"/>
  <c r="T16" i="8"/>
  <c r="S16" i="8"/>
  <c r="Q16" i="8"/>
  <c r="T15" i="8"/>
  <c r="S15" i="8"/>
  <c r="Q15" i="8"/>
  <c r="T14" i="8"/>
  <c r="S14" i="8"/>
  <c r="Q14" i="8"/>
  <c r="T13" i="8"/>
  <c r="S13" i="8"/>
  <c r="Q13" i="8"/>
  <c r="T12" i="8"/>
  <c r="S12" i="8"/>
  <c r="Q12" i="8"/>
  <c r="T11" i="8"/>
  <c r="S11" i="8"/>
  <c r="Q11" i="8"/>
  <c r="T10" i="8"/>
  <c r="S10" i="8"/>
  <c r="Q10" i="8"/>
  <c r="T9" i="8"/>
  <c r="S9" i="8"/>
  <c r="Q9" i="8"/>
  <c r="T8" i="8"/>
  <c r="S8" i="8"/>
  <c r="Q8" i="8"/>
  <c r="T7" i="8"/>
  <c r="S7" i="8"/>
  <c r="Q7" i="8"/>
  <c r="T6" i="8"/>
  <c r="S6" i="8"/>
  <c r="Q6" i="8"/>
  <c r="T5" i="8"/>
  <c r="S5" i="8"/>
  <c r="Q5" i="8"/>
  <c r="T4" i="8"/>
  <c r="S4" i="8"/>
  <c r="Q4" i="8"/>
  <c r="T3" i="8"/>
  <c r="S3" i="8"/>
  <c r="Q3" i="8"/>
  <c r="T2" i="8"/>
  <c r="S2" i="8"/>
  <c r="Q2" i="8"/>
  <c r="T200" i="7"/>
  <c r="S200" i="7"/>
  <c r="Q200" i="7"/>
  <c r="T199" i="7"/>
  <c r="S199" i="7"/>
  <c r="Q199" i="7"/>
  <c r="T198" i="7"/>
  <c r="S198" i="7"/>
  <c r="Q198" i="7"/>
  <c r="T197" i="7"/>
  <c r="S197" i="7"/>
  <c r="Q197" i="7"/>
  <c r="T196" i="7"/>
  <c r="S196" i="7"/>
  <c r="Q196" i="7"/>
  <c r="T195" i="7"/>
  <c r="S195" i="7"/>
  <c r="Q195" i="7"/>
  <c r="T194" i="7"/>
  <c r="S194" i="7"/>
  <c r="Q194" i="7"/>
  <c r="T193" i="7"/>
  <c r="S193" i="7"/>
  <c r="Q193" i="7"/>
  <c r="T192" i="7"/>
  <c r="S192" i="7"/>
  <c r="Q192" i="7"/>
  <c r="T191" i="7"/>
  <c r="S191" i="7"/>
  <c r="Q191" i="7"/>
  <c r="T190" i="7"/>
  <c r="S190" i="7"/>
  <c r="Q190" i="7"/>
  <c r="T189" i="7"/>
  <c r="S189" i="7"/>
  <c r="Q189" i="7"/>
  <c r="T188" i="7"/>
  <c r="S188" i="7"/>
  <c r="Q188" i="7"/>
  <c r="T187" i="7"/>
  <c r="S187" i="7"/>
  <c r="Q187" i="7"/>
  <c r="T186" i="7"/>
  <c r="S186" i="7"/>
  <c r="Q186" i="7"/>
  <c r="T185" i="7"/>
  <c r="S185" i="7"/>
  <c r="Q185" i="7"/>
  <c r="T184" i="7"/>
  <c r="S184" i="7"/>
  <c r="Q184" i="7"/>
  <c r="T183" i="7"/>
  <c r="S183" i="7"/>
  <c r="Q183" i="7"/>
  <c r="T182" i="7"/>
  <c r="S182" i="7"/>
  <c r="Q182" i="7"/>
  <c r="T181" i="7"/>
  <c r="S181" i="7"/>
  <c r="Q181" i="7"/>
  <c r="T180" i="7"/>
  <c r="S180" i="7"/>
  <c r="Q180" i="7"/>
  <c r="T179" i="7"/>
  <c r="S179" i="7"/>
  <c r="Q179" i="7"/>
  <c r="T178" i="7"/>
  <c r="S178" i="7"/>
  <c r="Q178" i="7"/>
  <c r="T177" i="7"/>
  <c r="S177" i="7"/>
  <c r="Q177" i="7"/>
  <c r="T176" i="7"/>
  <c r="S176" i="7"/>
  <c r="Q176" i="7"/>
  <c r="T175" i="7"/>
  <c r="S175" i="7"/>
  <c r="Q175" i="7"/>
  <c r="T174" i="7"/>
  <c r="S174" i="7"/>
  <c r="Q174" i="7"/>
  <c r="T173" i="7"/>
  <c r="S173" i="7"/>
  <c r="Q173" i="7"/>
  <c r="T172" i="7"/>
  <c r="S172" i="7"/>
  <c r="Q172" i="7"/>
  <c r="T171" i="7"/>
  <c r="S171" i="7"/>
  <c r="Q171" i="7"/>
  <c r="T170" i="7"/>
  <c r="S170" i="7"/>
  <c r="Q170" i="7"/>
  <c r="T169" i="7"/>
  <c r="S169" i="7"/>
  <c r="Q169" i="7"/>
  <c r="T168" i="7"/>
  <c r="S168" i="7"/>
  <c r="Q168" i="7"/>
  <c r="T167" i="7"/>
  <c r="S167" i="7"/>
  <c r="Q167" i="7"/>
  <c r="T166" i="7"/>
  <c r="S166" i="7"/>
  <c r="Q166" i="7"/>
  <c r="T165" i="7"/>
  <c r="S165" i="7"/>
  <c r="Q165" i="7"/>
  <c r="T164" i="7"/>
  <c r="S164" i="7"/>
  <c r="Q164" i="7"/>
  <c r="T163" i="7"/>
  <c r="S163" i="7"/>
  <c r="Q163" i="7"/>
  <c r="T162" i="7"/>
  <c r="S162" i="7"/>
  <c r="Q162" i="7"/>
  <c r="T161" i="7"/>
  <c r="S161" i="7"/>
  <c r="Q161" i="7"/>
  <c r="T160" i="7"/>
  <c r="S160" i="7"/>
  <c r="Q160" i="7"/>
  <c r="T159" i="7"/>
  <c r="S159" i="7"/>
  <c r="Q159" i="7"/>
  <c r="T158" i="7"/>
  <c r="S158" i="7"/>
  <c r="Q158" i="7"/>
  <c r="T157" i="7"/>
  <c r="S157" i="7"/>
  <c r="Q157" i="7"/>
  <c r="T156" i="7"/>
  <c r="S156" i="7"/>
  <c r="Q156" i="7"/>
  <c r="T155" i="7"/>
  <c r="S155" i="7"/>
  <c r="Q155" i="7"/>
  <c r="T154" i="7"/>
  <c r="S154" i="7"/>
  <c r="Q154" i="7"/>
  <c r="T153" i="7"/>
  <c r="S153" i="7"/>
  <c r="Q153" i="7"/>
  <c r="T152" i="7"/>
  <c r="S152" i="7"/>
  <c r="Q152" i="7"/>
  <c r="T151" i="7"/>
  <c r="S151" i="7"/>
  <c r="Q151" i="7"/>
  <c r="T150" i="7"/>
  <c r="S150" i="7"/>
  <c r="Q150" i="7"/>
  <c r="T149" i="7"/>
  <c r="S149" i="7"/>
  <c r="Q149" i="7"/>
  <c r="T148" i="7"/>
  <c r="S148" i="7"/>
  <c r="Q148" i="7"/>
  <c r="T147" i="7"/>
  <c r="S147" i="7"/>
  <c r="Q147" i="7"/>
  <c r="T146" i="7"/>
  <c r="S146" i="7"/>
  <c r="Q146" i="7"/>
  <c r="T145" i="7"/>
  <c r="S145" i="7"/>
  <c r="Q145" i="7"/>
  <c r="T144" i="7"/>
  <c r="S144" i="7"/>
  <c r="Q144" i="7"/>
  <c r="T143" i="7"/>
  <c r="S143" i="7"/>
  <c r="Q143" i="7"/>
  <c r="T142" i="7"/>
  <c r="S142" i="7"/>
  <c r="Q142" i="7"/>
  <c r="T141" i="7"/>
  <c r="S141" i="7"/>
  <c r="Q141" i="7"/>
  <c r="T140" i="7"/>
  <c r="S140" i="7"/>
  <c r="Q140" i="7"/>
  <c r="T139" i="7"/>
  <c r="S139" i="7"/>
  <c r="Q139" i="7"/>
  <c r="T138" i="7"/>
  <c r="S138" i="7"/>
  <c r="Q138" i="7"/>
  <c r="T137" i="7"/>
  <c r="S137" i="7"/>
  <c r="Q137" i="7"/>
  <c r="T136" i="7"/>
  <c r="S136" i="7"/>
  <c r="Q136" i="7"/>
  <c r="T135" i="7"/>
  <c r="S135" i="7"/>
  <c r="Q135" i="7"/>
  <c r="T134" i="7"/>
  <c r="S134" i="7"/>
  <c r="Q134" i="7"/>
  <c r="T133" i="7"/>
  <c r="S133" i="7"/>
  <c r="Q133" i="7"/>
  <c r="T132" i="7"/>
  <c r="S132" i="7"/>
  <c r="Q132" i="7"/>
  <c r="T131" i="7"/>
  <c r="S131" i="7"/>
  <c r="Q131" i="7"/>
  <c r="T130" i="7"/>
  <c r="S130" i="7"/>
  <c r="Q130" i="7"/>
  <c r="T129" i="7"/>
  <c r="S129" i="7"/>
  <c r="Q129" i="7"/>
  <c r="T128" i="7"/>
  <c r="S128" i="7"/>
  <c r="Q128" i="7"/>
  <c r="T127" i="7"/>
  <c r="S127" i="7"/>
  <c r="Q127" i="7"/>
  <c r="T126" i="7"/>
  <c r="S126" i="7"/>
  <c r="Q126" i="7"/>
  <c r="T125" i="7"/>
  <c r="S125" i="7"/>
  <c r="Q125" i="7"/>
  <c r="T124" i="7"/>
  <c r="S124" i="7"/>
  <c r="Q124" i="7"/>
  <c r="T123" i="7"/>
  <c r="S123" i="7"/>
  <c r="Q123" i="7"/>
  <c r="T122" i="7"/>
  <c r="S122" i="7"/>
  <c r="Q122" i="7"/>
  <c r="T121" i="7"/>
  <c r="S121" i="7"/>
  <c r="Q121" i="7"/>
  <c r="T120" i="7"/>
  <c r="S120" i="7"/>
  <c r="Q120" i="7"/>
  <c r="T119" i="7"/>
  <c r="S119" i="7"/>
  <c r="Q119" i="7"/>
  <c r="T118" i="7"/>
  <c r="S118" i="7"/>
  <c r="Q118" i="7"/>
  <c r="T117" i="7"/>
  <c r="S117" i="7"/>
  <c r="Q117" i="7"/>
  <c r="T116" i="7"/>
  <c r="S116" i="7"/>
  <c r="Q116" i="7"/>
  <c r="T115" i="7"/>
  <c r="S115" i="7"/>
  <c r="Q115" i="7"/>
  <c r="T114" i="7"/>
  <c r="S114" i="7"/>
  <c r="Q114" i="7"/>
  <c r="T113" i="7"/>
  <c r="S113" i="7"/>
  <c r="Q113" i="7"/>
  <c r="T112" i="7"/>
  <c r="S112" i="7"/>
  <c r="Q112" i="7"/>
  <c r="T111" i="7"/>
  <c r="S111" i="7"/>
  <c r="Q111" i="7"/>
  <c r="T110" i="7"/>
  <c r="S110" i="7"/>
  <c r="Q110" i="7"/>
  <c r="T109" i="7"/>
  <c r="S109" i="7"/>
  <c r="Q109" i="7"/>
  <c r="T108" i="7"/>
  <c r="S108" i="7"/>
  <c r="Q108" i="7"/>
  <c r="T107" i="7"/>
  <c r="S107" i="7"/>
  <c r="Q107" i="7"/>
  <c r="T106" i="7"/>
  <c r="S106" i="7"/>
  <c r="Q106" i="7"/>
  <c r="T105" i="7"/>
  <c r="S105" i="7"/>
  <c r="Q105" i="7"/>
  <c r="T104" i="7"/>
  <c r="S104" i="7"/>
  <c r="Q104" i="7"/>
  <c r="T103" i="7"/>
  <c r="S103" i="7"/>
  <c r="Q103" i="7"/>
  <c r="T102" i="7"/>
  <c r="S102" i="7"/>
  <c r="Q102" i="7"/>
  <c r="T101" i="7"/>
  <c r="S101" i="7"/>
  <c r="Q101" i="7"/>
  <c r="T100" i="7"/>
  <c r="S100" i="7"/>
  <c r="Q100" i="7"/>
  <c r="T99" i="7"/>
  <c r="S99" i="7"/>
  <c r="Q99" i="7"/>
  <c r="T98" i="7"/>
  <c r="S98" i="7"/>
  <c r="Q98" i="7"/>
  <c r="T97" i="7"/>
  <c r="S97" i="7"/>
  <c r="Q97" i="7"/>
  <c r="T96" i="7"/>
  <c r="S96" i="7"/>
  <c r="Q96" i="7"/>
  <c r="T95" i="7"/>
  <c r="S95" i="7"/>
  <c r="Q95" i="7"/>
  <c r="T94" i="7"/>
  <c r="S94" i="7"/>
  <c r="Q94" i="7"/>
  <c r="T93" i="7"/>
  <c r="S93" i="7"/>
  <c r="Q93" i="7"/>
  <c r="T92" i="7"/>
  <c r="S92" i="7"/>
  <c r="Q92" i="7"/>
  <c r="T91" i="7"/>
  <c r="S91" i="7"/>
  <c r="Q91" i="7"/>
  <c r="T90" i="7"/>
  <c r="S90" i="7"/>
  <c r="Q90" i="7"/>
  <c r="T89" i="7"/>
  <c r="S89" i="7"/>
  <c r="Q89" i="7"/>
  <c r="T88" i="7"/>
  <c r="S88" i="7"/>
  <c r="Q88" i="7"/>
  <c r="T87" i="7"/>
  <c r="S87" i="7"/>
  <c r="Q87" i="7"/>
  <c r="T86" i="7"/>
  <c r="S86" i="7"/>
  <c r="Q86" i="7"/>
  <c r="T85" i="7"/>
  <c r="S85" i="7"/>
  <c r="Q85" i="7"/>
  <c r="T84" i="7"/>
  <c r="S84" i="7"/>
  <c r="Q84" i="7"/>
  <c r="T83" i="7"/>
  <c r="S83" i="7"/>
  <c r="Q83" i="7"/>
  <c r="T82" i="7"/>
  <c r="S82" i="7"/>
  <c r="Q82" i="7"/>
  <c r="T81" i="7"/>
  <c r="S81" i="7"/>
  <c r="Q81" i="7"/>
  <c r="T80" i="7"/>
  <c r="S80" i="7"/>
  <c r="Q80" i="7"/>
  <c r="T79" i="7"/>
  <c r="S79" i="7"/>
  <c r="Q79" i="7"/>
  <c r="T78" i="7"/>
  <c r="S78" i="7"/>
  <c r="Q78" i="7"/>
  <c r="T77" i="7"/>
  <c r="S77" i="7"/>
  <c r="Q77" i="7"/>
  <c r="T76" i="7"/>
  <c r="S76" i="7"/>
  <c r="Q76" i="7"/>
  <c r="T75" i="7"/>
  <c r="S75" i="7"/>
  <c r="Q75" i="7"/>
  <c r="T74" i="7"/>
  <c r="S74" i="7"/>
  <c r="Q74" i="7"/>
  <c r="T73" i="7"/>
  <c r="S73" i="7"/>
  <c r="Q73" i="7"/>
  <c r="T72" i="7"/>
  <c r="S72" i="7"/>
  <c r="Q72" i="7"/>
  <c r="T71" i="7"/>
  <c r="S71" i="7"/>
  <c r="Q71" i="7"/>
  <c r="T70" i="7"/>
  <c r="S70" i="7"/>
  <c r="Q70" i="7"/>
  <c r="T69" i="7"/>
  <c r="S69" i="7"/>
  <c r="Q69" i="7"/>
  <c r="T68" i="7"/>
  <c r="S68" i="7"/>
  <c r="Q68" i="7"/>
  <c r="T67" i="7"/>
  <c r="S67" i="7"/>
  <c r="Q67" i="7"/>
  <c r="T66" i="7"/>
  <c r="S66" i="7"/>
  <c r="Q66" i="7"/>
  <c r="T65" i="7"/>
  <c r="S65" i="7"/>
  <c r="Q65" i="7"/>
  <c r="T64" i="7"/>
  <c r="S64" i="7"/>
  <c r="Q64" i="7"/>
  <c r="T63" i="7"/>
  <c r="S63" i="7"/>
  <c r="Q63" i="7"/>
  <c r="T62" i="7"/>
  <c r="S62" i="7"/>
  <c r="Q62" i="7"/>
  <c r="T61" i="7"/>
  <c r="S61" i="7"/>
  <c r="Q61" i="7"/>
  <c r="T60" i="7"/>
  <c r="S60" i="7"/>
  <c r="Q60" i="7"/>
  <c r="T59" i="7"/>
  <c r="S59" i="7"/>
  <c r="Q59" i="7"/>
  <c r="T58" i="7"/>
  <c r="S58" i="7"/>
  <c r="Q58" i="7"/>
  <c r="T57" i="7"/>
  <c r="S57" i="7"/>
  <c r="Q57" i="7"/>
  <c r="T56" i="7"/>
  <c r="S56" i="7"/>
  <c r="Q56" i="7"/>
  <c r="T55" i="7"/>
  <c r="S55" i="7"/>
  <c r="Q55" i="7"/>
  <c r="T54" i="7"/>
  <c r="S54" i="7"/>
  <c r="Q54" i="7"/>
  <c r="T53" i="7"/>
  <c r="S53" i="7"/>
  <c r="Q53" i="7"/>
  <c r="T52" i="7"/>
  <c r="S52" i="7"/>
  <c r="Q52" i="7"/>
  <c r="T51" i="7"/>
  <c r="S51" i="7"/>
  <c r="Q51" i="7"/>
  <c r="T50" i="7"/>
  <c r="S50" i="7"/>
  <c r="Q50" i="7"/>
  <c r="T49" i="7"/>
  <c r="S49" i="7"/>
  <c r="Q49" i="7"/>
  <c r="T48" i="7"/>
  <c r="S48" i="7"/>
  <c r="Q48" i="7"/>
  <c r="T47" i="7"/>
  <c r="S47" i="7"/>
  <c r="Q47" i="7"/>
  <c r="T46" i="7"/>
  <c r="S46" i="7"/>
  <c r="Q46" i="7"/>
  <c r="T45" i="7"/>
  <c r="S45" i="7"/>
  <c r="Q45" i="7"/>
  <c r="T44" i="7"/>
  <c r="S44" i="7"/>
  <c r="Q44" i="7"/>
  <c r="T43" i="7"/>
  <c r="S43" i="7"/>
  <c r="Q43" i="7"/>
  <c r="T42" i="7"/>
  <c r="S42" i="7"/>
  <c r="Q42" i="7"/>
  <c r="T41" i="7"/>
  <c r="S41" i="7"/>
  <c r="Q41" i="7"/>
  <c r="T40" i="7"/>
  <c r="S40" i="7"/>
  <c r="Q40" i="7"/>
  <c r="T39" i="7"/>
  <c r="S39" i="7"/>
  <c r="Q39" i="7"/>
  <c r="T38" i="7"/>
  <c r="S38" i="7"/>
  <c r="Q38" i="7"/>
  <c r="T37" i="7"/>
  <c r="S37" i="7"/>
  <c r="Q37" i="7"/>
  <c r="T36" i="7"/>
  <c r="S36" i="7"/>
  <c r="Q36" i="7"/>
  <c r="T35" i="7"/>
  <c r="S35" i="7"/>
  <c r="Q35" i="7"/>
  <c r="T34" i="7"/>
  <c r="S34" i="7"/>
  <c r="Q34" i="7"/>
  <c r="T33" i="7"/>
  <c r="S33" i="7"/>
  <c r="Q33" i="7"/>
  <c r="T32" i="7"/>
  <c r="S32" i="7"/>
  <c r="Q32" i="7"/>
  <c r="T31" i="7"/>
  <c r="S31" i="7"/>
  <c r="Q31" i="7"/>
  <c r="T30" i="7"/>
  <c r="S30" i="7"/>
  <c r="Q30" i="7"/>
  <c r="T29" i="7"/>
  <c r="S29" i="7"/>
  <c r="Q29" i="7"/>
  <c r="T28" i="7"/>
  <c r="S28" i="7"/>
  <c r="Q28" i="7"/>
  <c r="T27" i="7"/>
  <c r="S27" i="7"/>
  <c r="Q27" i="7"/>
  <c r="T26" i="7"/>
  <c r="S26" i="7"/>
  <c r="Q26" i="7"/>
  <c r="T25" i="7"/>
  <c r="S25" i="7"/>
  <c r="Q25" i="7"/>
  <c r="T24" i="7"/>
  <c r="S24" i="7"/>
  <c r="Q24" i="7"/>
  <c r="T23" i="7"/>
  <c r="S23" i="7"/>
  <c r="Q23" i="7"/>
  <c r="T22" i="7"/>
  <c r="S22" i="7"/>
  <c r="Q22" i="7"/>
  <c r="T21" i="7"/>
  <c r="S21" i="7"/>
  <c r="Q21" i="7"/>
  <c r="T20" i="7"/>
  <c r="S20" i="7"/>
  <c r="Q20" i="7"/>
  <c r="T19" i="7"/>
  <c r="S19" i="7"/>
  <c r="Q19" i="7"/>
  <c r="T18" i="7"/>
  <c r="S18" i="7"/>
  <c r="Q18" i="7"/>
  <c r="T17" i="7"/>
  <c r="S17" i="7"/>
  <c r="Q17" i="7"/>
  <c r="T16" i="7"/>
  <c r="S16" i="7"/>
  <c r="Q16" i="7"/>
  <c r="T15" i="7"/>
  <c r="S15" i="7"/>
  <c r="Q15" i="7"/>
  <c r="T14" i="7"/>
  <c r="S14" i="7"/>
  <c r="Q14" i="7"/>
  <c r="T13" i="7"/>
  <c r="S13" i="7"/>
  <c r="Q13" i="7"/>
  <c r="T12" i="7"/>
  <c r="S12" i="7"/>
  <c r="Q12" i="7"/>
  <c r="T11" i="7"/>
  <c r="S11" i="7"/>
  <c r="Q11" i="7"/>
  <c r="T10" i="7"/>
  <c r="S10" i="7"/>
  <c r="Q10" i="7"/>
  <c r="T9" i="7"/>
  <c r="S9" i="7"/>
  <c r="Q9" i="7"/>
  <c r="T8" i="7"/>
  <c r="S8" i="7"/>
  <c r="Q8" i="7"/>
  <c r="T7" i="7"/>
  <c r="S7" i="7"/>
  <c r="Q7" i="7"/>
  <c r="T6" i="7"/>
  <c r="S6" i="7"/>
  <c r="Q6" i="7"/>
  <c r="T5" i="7"/>
  <c r="S5" i="7"/>
  <c r="Q5" i="7"/>
  <c r="T4" i="7"/>
  <c r="S4" i="7"/>
  <c r="Q4" i="7"/>
  <c r="T3" i="7"/>
  <c r="S3" i="7"/>
  <c r="Q3" i="7"/>
  <c r="T2" i="7"/>
  <c r="S2" i="7"/>
  <c r="Q2" i="7"/>
  <c r="T200" i="6"/>
  <c r="S200" i="6"/>
  <c r="Q200" i="6"/>
  <c r="T199" i="6"/>
  <c r="S199" i="6"/>
  <c r="Q199" i="6"/>
  <c r="T198" i="6"/>
  <c r="S198" i="6"/>
  <c r="Q198" i="6"/>
  <c r="T197" i="6"/>
  <c r="S197" i="6"/>
  <c r="Q197" i="6"/>
  <c r="T196" i="6"/>
  <c r="S196" i="6"/>
  <c r="Q196" i="6"/>
  <c r="T195" i="6"/>
  <c r="S195" i="6"/>
  <c r="Q195" i="6"/>
  <c r="T194" i="6"/>
  <c r="S194" i="6"/>
  <c r="Q194" i="6"/>
  <c r="T193" i="6"/>
  <c r="S193" i="6"/>
  <c r="Q193" i="6"/>
  <c r="T192" i="6"/>
  <c r="S192" i="6"/>
  <c r="Q192" i="6"/>
  <c r="T191" i="6"/>
  <c r="S191" i="6"/>
  <c r="Q191" i="6"/>
  <c r="T190" i="6"/>
  <c r="S190" i="6"/>
  <c r="Q190" i="6"/>
  <c r="T189" i="6"/>
  <c r="S189" i="6"/>
  <c r="Q189" i="6"/>
  <c r="T188" i="6"/>
  <c r="S188" i="6"/>
  <c r="Q188" i="6"/>
  <c r="T187" i="6"/>
  <c r="S187" i="6"/>
  <c r="Q187" i="6"/>
  <c r="T186" i="6"/>
  <c r="S186" i="6"/>
  <c r="Q186" i="6"/>
  <c r="T185" i="6"/>
  <c r="S185" i="6"/>
  <c r="Q185" i="6"/>
  <c r="T184" i="6"/>
  <c r="S184" i="6"/>
  <c r="Q184" i="6"/>
  <c r="T183" i="6"/>
  <c r="S183" i="6"/>
  <c r="Q183" i="6"/>
  <c r="T182" i="6"/>
  <c r="S182" i="6"/>
  <c r="Q182" i="6"/>
  <c r="T181" i="6"/>
  <c r="S181" i="6"/>
  <c r="Q181" i="6"/>
  <c r="T180" i="6"/>
  <c r="S180" i="6"/>
  <c r="Q180" i="6"/>
  <c r="T179" i="6"/>
  <c r="S179" i="6"/>
  <c r="Q179" i="6"/>
  <c r="T178" i="6"/>
  <c r="S178" i="6"/>
  <c r="Q178" i="6"/>
  <c r="T177" i="6"/>
  <c r="S177" i="6"/>
  <c r="Q177" i="6"/>
  <c r="T176" i="6"/>
  <c r="S176" i="6"/>
  <c r="Q176" i="6"/>
  <c r="T175" i="6"/>
  <c r="S175" i="6"/>
  <c r="Q175" i="6"/>
  <c r="T174" i="6"/>
  <c r="S174" i="6"/>
  <c r="Q174" i="6"/>
  <c r="T173" i="6"/>
  <c r="S173" i="6"/>
  <c r="Q173" i="6"/>
  <c r="T172" i="6"/>
  <c r="S172" i="6"/>
  <c r="Q172" i="6"/>
  <c r="T171" i="6"/>
  <c r="S171" i="6"/>
  <c r="Q171" i="6"/>
  <c r="T170" i="6"/>
  <c r="S170" i="6"/>
  <c r="Q170" i="6"/>
  <c r="T169" i="6"/>
  <c r="S169" i="6"/>
  <c r="Q169" i="6"/>
  <c r="T168" i="6"/>
  <c r="S168" i="6"/>
  <c r="Q168" i="6"/>
  <c r="T167" i="6"/>
  <c r="S167" i="6"/>
  <c r="Q167" i="6"/>
  <c r="T166" i="6"/>
  <c r="S166" i="6"/>
  <c r="Q166" i="6"/>
  <c r="T165" i="6"/>
  <c r="S165" i="6"/>
  <c r="Q165" i="6"/>
  <c r="T164" i="6"/>
  <c r="S164" i="6"/>
  <c r="Q164" i="6"/>
  <c r="T163" i="6"/>
  <c r="S163" i="6"/>
  <c r="Q163" i="6"/>
  <c r="T162" i="6"/>
  <c r="S162" i="6"/>
  <c r="Q162" i="6"/>
  <c r="T161" i="6"/>
  <c r="S161" i="6"/>
  <c r="Q161" i="6"/>
  <c r="T160" i="6"/>
  <c r="S160" i="6"/>
  <c r="Q160" i="6"/>
  <c r="T159" i="6"/>
  <c r="S159" i="6"/>
  <c r="Q159" i="6"/>
  <c r="T158" i="6"/>
  <c r="S158" i="6"/>
  <c r="Q158" i="6"/>
  <c r="T157" i="6"/>
  <c r="S157" i="6"/>
  <c r="Q157" i="6"/>
  <c r="T156" i="6"/>
  <c r="S156" i="6"/>
  <c r="Q156" i="6"/>
  <c r="T155" i="6"/>
  <c r="S155" i="6"/>
  <c r="Q155" i="6"/>
  <c r="T154" i="6"/>
  <c r="S154" i="6"/>
  <c r="Q154" i="6"/>
  <c r="T153" i="6"/>
  <c r="S153" i="6"/>
  <c r="Q153" i="6"/>
  <c r="T152" i="6"/>
  <c r="S152" i="6"/>
  <c r="Q152" i="6"/>
  <c r="T151" i="6"/>
  <c r="S151" i="6"/>
  <c r="Q151" i="6"/>
  <c r="T150" i="6"/>
  <c r="S150" i="6"/>
  <c r="Q150" i="6"/>
  <c r="T149" i="6"/>
  <c r="S149" i="6"/>
  <c r="Q149" i="6"/>
  <c r="T148" i="6"/>
  <c r="S148" i="6"/>
  <c r="Q148" i="6"/>
  <c r="T147" i="6"/>
  <c r="S147" i="6"/>
  <c r="Q147" i="6"/>
  <c r="T146" i="6"/>
  <c r="S146" i="6"/>
  <c r="Q146" i="6"/>
  <c r="T145" i="6"/>
  <c r="S145" i="6"/>
  <c r="Q145" i="6"/>
  <c r="T144" i="6"/>
  <c r="S144" i="6"/>
  <c r="Q144" i="6"/>
  <c r="T143" i="6"/>
  <c r="S143" i="6"/>
  <c r="Q143" i="6"/>
  <c r="T142" i="6"/>
  <c r="S142" i="6"/>
  <c r="Q142" i="6"/>
  <c r="T141" i="6"/>
  <c r="S141" i="6"/>
  <c r="Q141" i="6"/>
  <c r="T140" i="6"/>
  <c r="S140" i="6"/>
  <c r="Q140" i="6"/>
  <c r="T139" i="6"/>
  <c r="S139" i="6"/>
  <c r="Q139" i="6"/>
  <c r="T138" i="6"/>
  <c r="S138" i="6"/>
  <c r="Q138" i="6"/>
  <c r="T137" i="6"/>
  <c r="S137" i="6"/>
  <c r="Q137" i="6"/>
  <c r="T136" i="6"/>
  <c r="S136" i="6"/>
  <c r="Q136" i="6"/>
  <c r="T135" i="6"/>
  <c r="S135" i="6"/>
  <c r="Q135" i="6"/>
  <c r="T134" i="6"/>
  <c r="S134" i="6"/>
  <c r="Q134" i="6"/>
  <c r="T133" i="6"/>
  <c r="S133" i="6"/>
  <c r="Q133" i="6"/>
  <c r="T132" i="6"/>
  <c r="S132" i="6"/>
  <c r="Q132" i="6"/>
  <c r="T131" i="6"/>
  <c r="S131" i="6"/>
  <c r="Q131" i="6"/>
  <c r="T130" i="6"/>
  <c r="S130" i="6"/>
  <c r="Q130" i="6"/>
  <c r="T129" i="6"/>
  <c r="S129" i="6"/>
  <c r="Q129" i="6"/>
  <c r="T128" i="6"/>
  <c r="S128" i="6"/>
  <c r="Q128" i="6"/>
  <c r="T127" i="6"/>
  <c r="S127" i="6"/>
  <c r="Q127" i="6"/>
  <c r="T126" i="6"/>
  <c r="S126" i="6"/>
  <c r="Q126" i="6"/>
  <c r="T125" i="6"/>
  <c r="S125" i="6"/>
  <c r="Q125" i="6"/>
  <c r="T124" i="6"/>
  <c r="S124" i="6"/>
  <c r="Q124" i="6"/>
  <c r="T123" i="6"/>
  <c r="S123" i="6"/>
  <c r="Q123" i="6"/>
  <c r="T122" i="6"/>
  <c r="S122" i="6"/>
  <c r="Q122" i="6"/>
  <c r="T121" i="6"/>
  <c r="S121" i="6"/>
  <c r="Q121" i="6"/>
  <c r="T120" i="6"/>
  <c r="S120" i="6"/>
  <c r="Q120" i="6"/>
  <c r="T119" i="6"/>
  <c r="S119" i="6"/>
  <c r="Q119" i="6"/>
  <c r="T118" i="6"/>
  <c r="S118" i="6"/>
  <c r="Q118" i="6"/>
  <c r="T117" i="6"/>
  <c r="S117" i="6"/>
  <c r="Q117" i="6"/>
  <c r="T116" i="6"/>
  <c r="S116" i="6"/>
  <c r="Q116" i="6"/>
  <c r="T115" i="6"/>
  <c r="S115" i="6"/>
  <c r="Q115" i="6"/>
  <c r="T114" i="6"/>
  <c r="S114" i="6"/>
  <c r="Q114" i="6"/>
  <c r="T113" i="6"/>
  <c r="S113" i="6"/>
  <c r="Q113" i="6"/>
  <c r="T112" i="6"/>
  <c r="S112" i="6"/>
  <c r="Q112" i="6"/>
  <c r="T111" i="6"/>
  <c r="S111" i="6"/>
  <c r="Q111" i="6"/>
  <c r="T110" i="6"/>
  <c r="S110" i="6"/>
  <c r="Q110" i="6"/>
  <c r="T109" i="6"/>
  <c r="S109" i="6"/>
  <c r="Q109" i="6"/>
  <c r="T108" i="6"/>
  <c r="S108" i="6"/>
  <c r="Q108" i="6"/>
  <c r="T107" i="6"/>
  <c r="S107" i="6"/>
  <c r="Q107" i="6"/>
  <c r="T106" i="6"/>
  <c r="S106" i="6"/>
  <c r="Q106" i="6"/>
  <c r="T105" i="6"/>
  <c r="S105" i="6"/>
  <c r="Q105" i="6"/>
  <c r="T104" i="6"/>
  <c r="S104" i="6"/>
  <c r="Q104" i="6"/>
  <c r="T103" i="6"/>
  <c r="S103" i="6"/>
  <c r="Q103" i="6"/>
  <c r="T102" i="6"/>
  <c r="S102" i="6"/>
  <c r="Q102" i="6"/>
  <c r="T101" i="6"/>
  <c r="S101" i="6"/>
  <c r="Q101" i="6"/>
  <c r="T100" i="6"/>
  <c r="S100" i="6"/>
  <c r="Q100" i="6"/>
  <c r="T99" i="6"/>
  <c r="S99" i="6"/>
  <c r="Q99" i="6"/>
  <c r="T98" i="6"/>
  <c r="S98" i="6"/>
  <c r="Q98" i="6"/>
  <c r="T97" i="6"/>
  <c r="S97" i="6"/>
  <c r="Q97" i="6"/>
  <c r="T96" i="6"/>
  <c r="S96" i="6"/>
  <c r="Q96" i="6"/>
  <c r="T95" i="6"/>
  <c r="S95" i="6"/>
  <c r="Q95" i="6"/>
  <c r="T94" i="6"/>
  <c r="S94" i="6"/>
  <c r="Q94" i="6"/>
  <c r="T93" i="6"/>
  <c r="S93" i="6"/>
  <c r="Q93" i="6"/>
  <c r="T92" i="6"/>
  <c r="S92" i="6"/>
  <c r="Q92" i="6"/>
  <c r="T91" i="6"/>
  <c r="S91" i="6"/>
  <c r="Q91" i="6"/>
  <c r="T90" i="6"/>
  <c r="S90" i="6"/>
  <c r="Q90" i="6"/>
  <c r="T89" i="6"/>
  <c r="S89" i="6"/>
  <c r="Q89" i="6"/>
  <c r="T88" i="6"/>
  <c r="S88" i="6"/>
  <c r="Q88" i="6"/>
  <c r="T87" i="6"/>
  <c r="S87" i="6"/>
  <c r="Q87" i="6"/>
  <c r="T86" i="6"/>
  <c r="S86" i="6"/>
  <c r="Q86" i="6"/>
  <c r="T85" i="6"/>
  <c r="S85" i="6"/>
  <c r="Q85" i="6"/>
  <c r="T84" i="6"/>
  <c r="S84" i="6"/>
  <c r="Q84" i="6"/>
  <c r="T83" i="6"/>
  <c r="S83" i="6"/>
  <c r="Q83" i="6"/>
  <c r="T82" i="6"/>
  <c r="S82" i="6"/>
  <c r="Q82" i="6"/>
  <c r="T81" i="6"/>
  <c r="S81" i="6"/>
  <c r="Q81" i="6"/>
  <c r="T80" i="6"/>
  <c r="S80" i="6"/>
  <c r="Q80" i="6"/>
  <c r="T79" i="6"/>
  <c r="S79" i="6"/>
  <c r="Q79" i="6"/>
  <c r="T78" i="6"/>
  <c r="S78" i="6"/>
  <c r="Q78" i="6"/>
  <c r="T77" i="6"/>
  <c r="S77" i="6"/>
  <c r="Q77" i="6"/>
  <c r="T76" i="6"/>
  <c r="S76" i="6"/>
  <c r="Q76" i="6"/>
  <c r="T75" i="6"/>
  <c r="S75" i="6"/>
  <c r="Q75" i="6"/>
  <c r="T74" i="6"/>
  <c r="S74" i="6"/>
  <c r="Q74" i="6"/>
  <c r="T73" i="6"/>
  <c r="S73" i="6"/>
  <c r="Q73" i="6"/>
  <c r="T72" i="6"/>
  <c r="S72" i="6"/>
  <c r="Q72" i="6"/>
  <c r="T71" i="6"/>
  <c r="S71" i="6"/>
  <c r="Q71" i="6"/>
  <c r="T70" i="6"/>
  <c r="S70" i="6"/>
  <c r="Q70" i="6"/>
  <c r="T69" i="6"/>
  <c r="S69" i="6"/>
  <c r="Q69" i="6"/>
  <c r="T68" i="6"/>
  <c r="S68" i="6"/>
  <c r="Q68" i="6"/>
  <c r="T67" i="6"/>
  <c r="S67" i="6"/>
  <c r="Q67" i="6"/>
  <c r="T66" i="6"/>
  <c r="S66" i="6"/>
  <c r="Q66" i="6"/>
  <c r="T65" i="6"/>
  <c r="S65" i="6"/>
  <c r="Q65" i="6"/>
  <c r="T64" i="6"/>
  <c r="S64" i="6"/>
  <c r="Q64" i="6"/>
  <c r="T63" i="6"/>
  <c r="S63" i="6"/>
  <c r="Q63" i="6"/>
  <c r="T62" i="6"/>
  <c r="S62" i="6"/>
  <c r="Q62" i="6"/>
  <c r="T61" i="6"/>
  <c r="S61" i="6"/>
  <c r="Q61" i="6"/>
  <c r="T60" i="6"/>
  <c r="S60" i="6"/>
  <c r="Q60" i="6"/>
  <c r="T59" i="6"/>
  <c r="S59" i="6"/>
  <c r="Q59" i="6"/>
  <c r="T58" i="6"/>
  <c r="S58" i="6"/>
  <c r="Q58" i="6"/>
  <c r="T57" i="6"/>
  <c r="S57" i="6"/>
  <c r="Q57" i="6"/>
  <c r="T56" i="6"/>
  <c r="S56" i="6"/>
  <c r="Q56" i="6"/>
  <c r="T55" i="6"/>
  <c r="S55" i="6"/>
  <c r="Q55" i="6"/>
  <c r="T54" i="6"/>
  <c r="S54" i="6"/>
  <c r="Q54" i="6"/>
  <c r="T53" i="6"/>
  <c r="S53" i="6"/>
  <c r="Q53" i="6"/>
  <c r="T52" i="6"/>
  <c r="S52" i="6"/>
  <c r="Q52" i="6"/>
  <c r="T51" i="6"/>
  <c r="S51" i="6"/>
  <c r="Q51" i="6"/>
  <c r="T50" i="6"/>
  <c r="S50" i="6"/>
  <c r="Q50" i="6"/>
  <c r="T49" i="6"/>
  <c r="S49" i="6"/>
  <c r="Q49" i="6"/>
  <c r="T48" i="6"/>
  <c r="S48" i="6"/>
  <c r="Q48" i="6"/>
  <c r="T47" i="6"/>
  <c r="S47" i="6"/>
  <c r="Q47" i="6"/>
  <c r="T46" i="6"/>
  <c r="S46" i="6"/>
  <c r="Q46" i="6"/>
  <c r="T45" i="6"/>
  <c r="S45" i="6"/>
  <c r="Q45" i="6"/>
  <c r="T44" i="6"/>
  <c r="S44" i="6"/>
  <c r="Q44" i="6"/>
  <c r="T43" i="6"/>
  <c r="S43" i="6"/>
  <c r="Q43" i="6"/>
  <c r="T42" i="6"/>
  <c r="S42" i="6"/>
  <c r="Q42" i="6"/>
  <c r="T41" i="6"/>
  <c r="S41" i="6"/>
  <c r="Q41" i="6"/>
  <c r="T40" i="6"/>
  <c r="S40" i="6"/>
  <c r="Q40" i="6"/>
  <c r="T39" i="6"/>
  <c r="S39" i="6"/>
  <c r="Q39" i="6"/>
  <c r="T38" i="6"/>
  <c r="S38" i="6"/>
  <c r="Q38" i="6"/>
  <c r="T37" i="6"/>
  <c r="S37" i="6"/>
  <c r="Q37" i="6"/>
  <c r="T36" i="6"/>
  <c r="S36" i="6"/>
  <c r="Q36" i="6"/>
  <c r="T35" i="6"/>
  <c r="S35" i="6"/>
  <c r="Q35" i="6"/>
  <c r="T34" i="6"/>
  <c r="S34" i="6"/>
  <c r="Q34" i="6"/>
  <c r="T33" i="6"/>
  <c r="S33" i="6"/>
  <c r="Q33" i="6"/>
  <c r="T32" i="6"/>
  <c r="S32" i="6"/>
  <c r="Q32" i="6"/>
  <c r="T31" i="6"/>
  <c r="S31" i="6"/>
  <c r="Q31" i="6"/>
  <c r="T30" i="6"/>
  <c r="S30" i="6"/>
  <c r="Q30" i="6"/>
  <c r="T29" i="6"/>
  <c r="S29" i="6"/>
  <c r="Q29" i="6"/>
  <c r="T28" i="6"/>
  <c r="S28" i="6"/>
  <c r="Q28" i="6"/>
  <c r="T27" i="6"/>
  <c r="S27" i="6"/>
  <c r="Q27" i="6"/>
  <c r="T26" i="6"/>
  <c r="S26" i="6"/>
  <c r="Q26" i="6"/>
  <c r="T25" i="6"/>
  <c r="S25" i="6"/>
  <c r="Q25" i="6"/>
  <c r="T24" i="6"/>
  <c r="S24" i="6"/>
  <c r="Q24" i="6"/>
  <c r="T23" i="6"/>
  <c r="S23" i="6"/>
  <c r="Q23" i="6"/>
  <c r="T22" i="6"/>
  <c r="S22" i="6"/>
  <c r="Q22" i="6"/>
  <c r="T21" i="6"/>
  <c r="S21" i="6"/>
  <c r="Q21" i="6"/>
  <c r="T20" i="6"/>
  <c r="S20" i="6"/>
  <c r="Q20" i="6"/>
  <c r="T19" i="6"/>
  <c r="S19" i="6"/>
  <c r="Q19" i="6"/>
  <c r="T18" i="6"/>
  <c r="S18" i="6"/>
  <c r="Q18" i="6"/>
  <c r="T17" i="6"/>
  <c r="S17" i="6"/>
  <c r="Q17" i="6"/>
  <c r="T16" i="6"/>
  <c r="S16" i="6"/>
  <c r="Q16" i="6"/>
  <c r="T15" i="6"/>
  <c r="S15" i="6"/>
  <c r="Q15" i="6"/>
  <c r="T14" i="6"/>
  <c r="S14" i="6"/>
  <c r="Q14" i="6"/>
  <c r="T13" i="6"/>
  <c r="S13" i="6"/>
  <c r="Q13" i="6"/>
  <c r="T12" i="6"/>
  <c r="S12" i="6"/>
  <c r="Q12" i="6"/>
  <c r="T11" i="6"/>
  <c r="S11" i="6"/>
  <c r="Q11" i="6"/>
  <c r="T10" i="6"/>
  <c r="S10" i="6"/>
  <c r="Q10" i="6"/>
  <c r="T9" i="6"/>
  <c r="S9" i="6"/>
  <c r="Q9" i="6"/>
  <c r="T8" i="6"/>
  <c r="S8" i="6"/>
  <c r="Q8" i="6"/>
  <c r="T7" i="6"/>
  <c r="S7" i="6"/>
  <c r="Q7" i="6"/>
  <c r="T6" i="6"/>
  <c r="S6" i="6"/>
  <c r="Q6" i="6"/>
  <c r="T5" i="6"/>
  <c r="S5" i="6"/>
  <c r="Q5" i="6"/>
  <c r="T4" i="6"/>
  <c r="S4" i="6"/>
  <c r="Q4" i="6"/>
  <c r="T3" i="6"/>
  <c r="S3" i="6"/>
  <c r="Q3" i="6"/>
  <c r="T2" i="6"/>
  <c r="S2" i="6"/>
  <c r="Q2" i="6"/>
  <c r="V4" i="11" l="1"/>
  <c r="AG4" i="11" s="1"/>
  <c r="X4" i="11"/>
  <c r="Z4" i="11" s="1"/>
  <c r="K4" i="11"/>
  <c r="V4" i="8"/>
  <c r="W4" i="8" s="1"/>
  <c r="X4" i="8"/>
  <c r="Z4" i="8" s="1"/>
  <c r="K4" i="8"/>
  <c r="V3" i="11"/>
  <c r="AG3" i="11" s="1"/>
  <c r="X3" i="11"/>
  <c r="Z3" i="11" s="1"/>
  <c r="K3" i="11"/>
  <c r="V2" i="11"/>
  <c r="W2" i="11" s="1"/>
  <c r="X2" i="11"/>
  <c r="Z2" i="11" s="1"/>
  <c r="K2" i="11"/>
  <c r="V3" i="8"/>
  <c r="W3" i="8" s="1"/>
  <c r="X3" i="8"/>
  <c r="Z3" i="8" s="1"/>
  <c r="K3" i="8"/>
  <c r="V2" i="8"/>
  <c r="X2" i="8"/>
  <c r="Z2" i="8" s="1"/>
  <c r="K2" i="8"/>
  <c r="AL267" i="11"/>
  <c r="AN267" i="11" s="1"/>
  <c r="AI267" i="11"/>
  <c r="AH267" i="11"/>
  <c r="AK267" i="11" s="1"/>
  <c r="AL266" i="11"/>
  <c r="AN266" i="11" s="1"/>
  <c r="AI266" i="11"/>
  <c r="AH266" i="11"/>
  <c r="AK266" i="11" s="1"/>
  <c r="AL265" i="11"/>
  <c r="AM265" i="11" s="1"/>
  <c r="AP265" i="11" s="1"/>
  <c r="AI265" i="11"/>
  <c r="AH265" i="11"/>
  <c r="AK265" i="11" s="1"/>
  <c r="AL264" i="11"/>
  <c r="AN264" i="11" s="1"/>
  <c r="AI264" i="11"/>
  <c r="AH264" i="11"/>
  <c r="AK264" i="11" s="1"/>
  <c r="AL263" i="11"/>
  <c r="AN263" i="11" s="1"/>
  <c r="AI263" i="11"/>
  <c r="AH263" i="11"/>
  <c r="AK263" i="11" s="1"/>
  <c r="AL262" i="11"/>
  <c r="AN262" i="11" s="1"/>
  <c r="AI262" i="11"/>
  <c r="AH262" i="11"/>
  <c r="AK262" i="11" s="1"/>
  <c r="AL261" i="11"/>
  <c r="AN261" i="11" s="1"/>
  <c r="AI261" i="11"/>
  <c r="AH261" i="11"/>
  <c r="AK261" i="11" s="1"/>
  <c r="AL260" i="11"/>
  <c r="AN260" i="11" s="1"/>
  <c r="AI260" i="11"/>
  <c r="AH260" i="11"/>
  <c r="AK260" i="11" s="1"/>
  <c r="AL259" i="11"/>
  <c r="AN259" i="11" s="1"/>
  <c r="AI259" i="11"/>
  <c r="AH259" i="11"/>
  <c r="AK259" i="11" s="1"/>
  <c r="AL258" i="11"/>
  <c r="AN258" i="11" s="1"/>
  <c r="AI258" i="11"/>
  <c r="AH258" i="11"/>
  <c r="AK258" i="11" s="1"/>
  <c r="AL257" i="11"/>
  <c r="AN257" i="11" s="1"/>
  <c r="AI257" i="11"/>
  <c r="AH257" i="11"/>
  <c r="AK257" i="11" s="1"/>
  <c r="AL256" i="11"/>
  <c r="AN256" i="11" s="1"/>
  <c r="AI256" i="11"/>
  <c r="AH256" i="11"/>
  <c r="AK256" i="11" s="1"/>
  <c r="AL255" i="11"/>
  <c r="AN255" i="11" s="1"/>
  <c r="AI255" i="11"/>
  <c r="AH255" i="11"/>
  <c r="AK255" i="11" s="1"/>
  <c r="AL254" i="11"/>
  <c r="AN254" i="11" s="1"/>
  <c r="AK254" i="11"/>
  <c r="AI254" i="11"/>
  <c r="AJ254" i="11" s="1"/>
  <c r="AH254" i="11"/>
  <c r="AL253" i="11"/>
  <c r="AN253" i="11" s="1"/>
  <c r="AI253" i="11"/>
  <c r="AH253" i="11"/>
  <c r="AK253" i="11" s="1"/>
  <c r="AL252" i="11"/>
  <c r="AN252" i="11" s="1"/>
  <c r="AI252" i="11"/>
  <c r="AH252" i="11"/>
  <c r="AK252" i="11" s="1"/>
  <c r="AL251" i="11"/>
  <c r="AN251" i="11" s="1"/>
  <c r="AI251" i="11"/>
  <c r="AH251" i="11"/>
  <c r="AK251" i="11" s="1"/>
  <c r="AL250" i="11"/>
  <c r="AN250" i="11" s="1"/>
  <c r="AI250" i="11"/>
  <c r="AH250" i="11"/>
  <c r="AK250" i="11" s="1"/>
  <c r="AL249" i="11"/>
  <c r="AN249" i="11" s="1"/>
  <c r="AK249" i="11"/>
  <c r="AI249" i="11"/>
  <c r="AH249" i="11"/>
  <c r="AL248" i="11"/>
  <c r="AN248" i="11" s="1"/>
  <c r="AI248" i="11"/>
  <c r="AH248" i="11"/>
  <c r="AK248" i="11" s="1"/>
  <c r="AL247" i="11"/>
  <c r="AN247" i="11" s="1"/>
  <c r="AI247" i="11"/>
  <c r="AH247" i="11"/>
  <c r="AK247" i="11" s="1"/>
  <c r="AL246" i="11"/>
  <c r="AN246" i="11" s="1"/>
  <c r="AI246" i="11"/>
  <c r="AH246" i="11"/>
  <c r="AK246" i="11" s="1"/>
  <c r="AL245" i="11"/>
  <c r="AN245" i="11" s="1"/>
  <c r="AI245" i="11"/>
  <c r="AH245" i="11"/>
  <c r="AK245" i="11" s="1"/>
  <c r="AL244" i="11"/>
  <c r="AN244" i="11" s="1"/>
  <c r="AI244" i="11"/>
  <c r="AH244" i="11"/>
  <c r="AK244" i="11" s="1"/>
  <c r="AL243" i="11"/>
  <c r="AN243" i="11" s="1"/>
  <c r="AI243" i="11"/>
  <c r="AH243" i="11"/>
  <c r="AK243" i="11" s="1"/>
  <c r="AL242" i="11"/>
  <c r="AN242" i="11" s="1"/>
  <c r="AH242" i="11"/>
  <c r="AK242" i="11" s="1"/>
  <c r="AL241" i="11"/>
  <c r="AN241" i="11" s="1"/>
  <c r="AI241" i="11"/>
  <c r="AH241" i="11"/>
  <c r="AK241" i="11" s="1"/>
  <c r="AL240" i="11"/>
  <c r="AN240" i="11" s="1"/>
  <c r="AI240" i="11"/>
  <c r="AH240" i="11"/>
  <c r="AK240" i="11" s="1"/>
  <c r="AL239" i="11"/>
  <c r="AN239" i="11" s="1"/>
  <c r="AI239" i="11"/>
  <c r="AH239" i="11"/>
  <c r="AK239" i="11" s="1"/>
  <c r="AL238" i="11"/>
  <c r="AN238" i="11" s="1"/>
  <c r="AI238" i="11"/>
  <c r="AH238" i="11"/>
  <c r="AK238" i="11" s="1"/>
  <c r="AL237" i="11"/>
  <c r="AN237" i="11" s="1"/>
  <c r="AI237" i="11"/>
  <c r="AH237" i="11"/>
  <c r="AK237" i="11" s="1"/>
  <c r="AL236" i="11"/>
  <c r="AN236" i="11" s="1"/>
  <c r="AI236" i="11"/>
  <c r="AH236" i="11"/>
  <c r="AK236" i="11" s="1"/>
  <c r="AL235" i="11"/>
  <c r="AN235" i="11" s="1"/>
  <c r="AI235" i="11"/>
  <c r="AH235" i="11"/>
  <c r="AK235" i="11" s="1"/>
  <c r="AL234" i="11"/>
  <c r="AN234" i="11" s="1"/>
  <c r="AI234" i="11"/>
  <c r="AH234" i="11"/>
  <c r="AK234" i="11" s="1"/>
  <c r="AL233" i="11"/>
  <c r="AN233" i="11" s="1"/>
  <c r="AI233" i="11"/>
  <c r="AH233" i="11"/>
  <c r="AK233" i="11" s="1"/>
  <c r="AL232" i="11"/>
  <c r="AN232" i="11" s="1"/>
  <c r="AI232" i="11"/>
  <c r="AH232" i="11"/>
  <c r="AK232" i="11" s="1"/>
  <c r="AL231" i="11"/>
  <c r="AN231" i="11" s="1"/>
  <c r="AI231" i="11"/>
  <c r="AH231" i="11"/>
  <c r="AK231" i="11" s="1"/>
  <c r="AL230" i="11"/>
  <c r="AN230" i="11" s="1"/>
  <c r="AI230" i="11"/>
  <c r="AH230" i="11"/>
  <c r="AK230" i="11" s="1"/>
  <c r="AL229" i="11"/>
  <c r="AN229" i="11" s="1"/>
  <c r="AI229" i="11"/>
  <c r="AH229" i="11"/>
  <c r="AK229" i="11" s="1"/>
  <c r="AL228" i="11"/>
  <c r="AN228" i="11" s="1"/>
  <c r="AI228" i="11"/>
  <c r="AH228" i="11"/>
  <c r="AK228" i="11" s="1"/>
  <c r="AL227" i="11"/>
  <c r="AN227" i="11" s="1"/>
  <c r="AI227" i="11"/>
  <c r="AH227" i="11"/>
  <c r="AK227" i="11" s="1"/>
  <c r="AL226" i="11"/>
  <c r="AN226" i="11" s="1"/>
  <c r="AI226" i="11"/>
  <c r="AH226" i="11"/>
  <c r="AK226" i="11" s="1"/>
  <c r="AL225" i="11"/>
  <c r="AN225" i="11" s="1"/>
  <c r="AI225" i="11"/>
  <c r="AH225" i="11"/>
  <c r="AK225" i="11" s="1"/>
  <c r="AL224" i="11"/>
  <c r="AN224" i="11" s="1"/>
  <c r="AI224" i="11"/>
  <c r="AH224" i="11"/>
  <c r="AK224" i="11" s="1"/>
  <c r="AL223" i="11"/>
  <c r="AN223" i="11" s="1"/>
  <c r="AI223" i="11"/>
  <c r="AH223" i="11"/>
  <c r="AK223" i="11" s="1"/>
  <c r="AL222" i="11"/>
  <c r="AN222" i="11" s="1"/>
  <c r="AI222" i="11"/>
  <c r="AH222" i="11"/>
  <c r="AK222" i="11" s="1"/>
  <c r="AL221" i="11"/>
  <c r="AN221" i="11" s="1"/>
  <c r="AI221" i="11"/>
  <c r="AH221" i="11"/>
  <c r="AK221" i="11" s="1"/>
  <c r="AL220" i="11"/>
  <c r="AN220" i="11" s="1"/>
  <c r="AI220" i="11"/>
  <c r="AH220" i="11"/>
  <c r="AK220" i="11" s="1"/>
  <c r="AL219" i="11"/>
  <c r="AN219" i="11" s="1"/>
  <c r="AI219" i="11"/>
  <c r="AH219" i="11"/>
  <c r="AK219" i="11" s="1"/>
  <c r="AL218" i="11"/>
  <c r="AN218" i="11" s="1"/>
  <c r="AI218" i="11"/>
  <c r="AH218" i="11"/>
  <c r="AK218" i="11" s="1"/>
  <c r="AL217" i="11"/>
  <c r="AN217" i="11" s="1"/>
  <c r="AI217" i="11"/>
  <c r="AH217" i="11"/>
  <c r="AK217" i="11" s="1"/>
  <c r="AL216" i="11"/>
  <c r="AN216" i="11" s="1"/>
  <c r="AI216" i="11"/>
  <c r="AH216" i="11"/>
  <c r="AK216" i="11" s="1"/>
  <c r="AL215" i="11"/>
  <c r="AN215" i="11" s="1"/>
  <c r="AI215" i="11"/>
  <c r="AH215" i="11"/>
  <c r="AK215" i="11" s="1"/>
  <c r="AL214" i="11"/>
  <c r="AN214" i="11" s="1"/>
  <c r="AI214" i="11"/>
  <c r="AH214" i="11"/>
  <c r="AK214" i="11" s="1"/>
  <c r="AL213" i="11"/>
  <c r="AN213" i="11" s="1"/>
  <c r="AI213" i="11"/>
  <c r="AH213" i="11"/>
  <c r="AK213" i="11" s="1"/>
  <c r="AL212" i="11"/>
  <c r="AN212" i="11" s="1"/>
  <c r="AI212" i="11"/>
  <c r="AH212" i="11"/>
  <c r="AK212" i="11" s="1"/>
  <c r="AL211" i="11"/>
  <c r="AN211" i="11" s="1"/>
  <c r="AI211" i="11"/>
  <c r="AH211" i="11"/>
  <c r="AK211" i="11" s="1"/>
  <c r="AL210" i="11"/>
  <c r="AN210" i="11" s="1"/>
  <c r="AI210" i="11"/>
  <c r="AH210" i="11"/>
  <c r="AK210" i="11" s="1"/>
  <c r="AL209" i="11"/>
  <c r="AN209" i="11" s="1"/>
  <c r="AI209" i="11"/>
  <c r="AH209" i="11"/>
  <c r="AK209" i="11" s="1"/>
  <c r="AL208" i="11"/>
  <c r="AN208" i="11" s="1"/>
  <c r="AI208" i="11"/>
  <c r="AH208" i="11"/>
  <c r="AK208" i="11" s="1"/>
  <c r="AL207" i="11"/>
  <c r="AN207" i="11" s="1"/>
  <c r="AI207" i="11"/>
  <c r="AH207" i="11"/>
  <c r="AK207" i="11" s="1"/>
  <c r="AB207" i="11"/>
  <c r="AL206" i="11"/>
  <c r="AN206" i="11" s="1"/>
  <c r="AI206" i="11"/>
  <c r="AH206" i="11"/>
  <c r="AP205" i="11"/>
  <c r="AN205" i="11"/>
  <c r="AI205" i="11"/>
  <c r="AH205" i="11"/>
  <c r="AK205" i="11" s="1"/>
  <c r="AL204" i="11"/>
  <c r="AN204" i="11" s="1"/>
  <c r="AI204" i="11"/>
  <c r="AH204" i="11"/>
  <c r="AK204" i="11" s="1"/>
  <c r="AL203" i="11"/>
  <c r="AN203" i="11" s="1"/>
  <c r="AI203" i="11"/>
  <c r="AH203" i="11"/>
  <c r="AK203" i="11" s="1"/>
  <c r="AH200" i="11"/>
  <c r="V200" i="11"/>
  <c r="W200" i="11" s="1"/>
  <c r="X200" i="11"/>
  <c r="Z200" i="11" s="1"/>
  <c r="K200" i="11"/>
  <c r="AH199" i="11"/>
  <c r="V199" i="11"/>
  <c r="W199" i="11" s="1"/>
  <c r="X199" i="11"/>
  <c r="Z199" i="11" s="1"/>
  <c r="AH198" i="11"/>
  <c r="V198" i="11"/>
  <c r="W198" i="11" s="1"/>
  <c r="X198" i="11"/>
  <c r="Z198" i="11" s="1"/>
  <c r="AH197" i="11"/>
  <c r="W197" i="11"/>
  <c r="V197" i="11"/>
  <c r="X197" i="11"/>
  <c r="Z197" i="11" s="1"/>
  <c r="AH196" i="11"/>
  <c r="W196" i="11"/>
  <c r="V196" i="11"/>
  <c r="X196" i="11"/>
  <c r="Z196" i="11" s="1"/>
  <c r="AH195" i="11"/>
  <c r="W195" i="11"/>
  <c r="V195" i="11"/>
  <c r="X195" i="11"/>
  <c r="Z195" i="11" s="1"/>
  <c r="AH194" i="11"/>
  <c r="W194" i="11"/>
  <c r="V194" i="11"/>
  <c r="X194" i="11"/>
  <c r="Z194" i="11" s="1"/>
  <c r="AH193" i="11"/>
  <c r="W193" i="11"/>
  <c r="V193" i="11"/>
  <c r="X193" i="11"/>
  <c r="Z193" i="11" s="1"/>
  <c r="AH192" i="11"/>
  <c r="W192" i="11"/>
  <c r="V192" i="11"/>
  <c r="X192" i="11"/>
  <c r="Z192" i="11" s="1"/>
  <c r="AH191" i="11"/>
  <c r="W191" i="11"/>
  <c r="V191" i="11"/>
  <c r="X191" i="11"/>
  <c r="Z191" i="11" s="1"/>
  <c r="AH190" i="11"/>
  <c r="W190" i="11"/>
  <c r="V190" i="11"/>
  <c r="X190" i="11"/>
  <c r="Z190" i="11" s="1"/>
  <c r="AH189" i="11"/>
  <c r="W189" i="11"/>
  <c r="V189" i="11"/>
  <c r="X189" i="11"/>
  <c r="Z189" i="11" s="1"/>
  <c r="AH188" i="11"/>
  <c r="W188" i="11"/>
  <c r="V188" i="11"/>
  <c r="X188" i="11"/>
  <c r="Z188" i="11" s="1"/>
  <c r="AH187" i="11"/>
  <c r="W187" i="11"/>
  <c r="V187" i="11"/>
  <c r="X187" i="11"/>
  <c r="Z187" i="11" s="1"/>
  <c r="AH186" i="11"/>
  <c r="W186" i="11"/>
  <c r="V186" i="11"/>
  <c r="X186" i="11"/>
  <c r="Z186" i="11" s="1"/>
  <c r="AH185" i="11"/>
  <c r="W185" i="11"/>
  <c r="V185" i="11"/>
  <c r="X185" i="11"/>
  <c r="Z185" i="11" s="1"/>
  <c r="AH184" i="11"/>
  <c r="X184" i="11"/>
  <c r="Z184" i="11" s="1"/>
  <c r="W184" i="11"/>
  <c r="V184" i="11"/>
  <c r="AH183" i="11"/>
  <c r="W183" i="11"/>
  <c r="V183" i="11"/>
  <c r="X183" i="11"/>
  <c r="Z183" i="11" s="1"/>
  <c r="AH182" i="11"/>
  <c r="W182" i="11"/>
  <c r="V182" i="11"/>
  <c r="X182" i="11"/>
  <c r="Z182" i="11" s="1"/>
  <c r="AH181" i="11"/>
  <c r="W181" i="11"/>
  <c r="V181" i="11"/>
  <c r="X181" i="11"/>
  <c r="Z181" i="11" s="1"/>
  <c r="AH180" i="11"/>
  <c r="W180" i="11"/>
  <c r="V180" i="11"/>
  <c r="X180" i="11"/>
  <c r="Z180" i="11" s="1"/>
  <c r="AH179" i="11"/>
  <c r="W179" i="11"/>
  <c r="V179" i="11"/>
  <c r="X179" i="11"/>
  <c r="Z179" i="11" s="1"/>
  <c r="AH178" i="11"/>
  <c r="W178" i="11"/>
  <c r="V178" i="11"/>
  <c r="X178" i="11"/>
  <c r="Z178" i="11" s="1"/>
  <c r="AH177" i="11"/>
  <c r="W177" i="11"/>
  <c r="V177" i="11"/>
  <c r="X177" i="11"/>
  <c r="Z177" i="11" s="1"/>
  <c r="AH176" i="11"/>
  <c r="X176" i="11"/>
  <c r="Z176" i="11" s="1"/>
  <c r="W176" i="11"/>
  <c r="V176" i="11"/>
  <c r="AH175" i="11"/>
  <c r="W175" i="11"/>
  <c r="V175" i="11"/>
  <c r="X175" i="11"/>
  <c r="Z175" i="11" s="1"/>
  <c r="AH174" i="11"/>
  <c r="X174" i="11"/>
  <c r="Z174" i="11" s="1"/>
  <c r="W174" i="11"/>
  <c r="V174" i="11"/>
  <c r="AH173" i="11"/>
  <c r="W173" i="11"/>
  <c r="V173" i="11"/>
  <c r="X173" i="11"/>
  <c r="Z173" i="11" s="1"/>
  <c r="AH172" i="11"/>
  <c r="W172" i="11"/>
  <c r="V172" i="11"/>
  <c r="X172" i="11"/>
  <c r="Z172" i="11" s="1"/>
  <c r="AH171" i="11"/>
  <c r="W171" i="11"/>
  <c r="V171" i="11"/>
  <c r="X171" i="11"/>
  <c r="Z171" i="11" s="1"/>
  <c r="AH170" i="11"/>
  <c r="X170" i="11"/>
  <c r="Z170" i="11" s="1"/>
  <c r="W170" i="11"/>
  <c r="V170" i="11"/>
  <c r="AH169" i="11"/>
  <c r="W169" i="11"/>
  <c r="V169" i="11"/>
  <c r="X169" i="11"/>
  <c r="Z169" i="11" s="1"/>
  <c r="AH168" i="11"/>
  <c r="W168" i="11"/>
  <c r="V168" i="11"/>
  <c r="X168" i="11"/>
  <c r="Z168" i="11" s="1"/>
  <c r="AH167" i="11"/>
  <c r="W167" i="11"/>
  <c r="V167" i="11"/>
  <c r="X167" i="11"/>
  <c r="Z167" i="11" s="1"/>
  <c r="AH166" i="11"/>
  <c r="X166" i="11"/>
  <c r="Z166" i="11" s="1"/>
  <c r="W166" i="11"/>
  <c r="V166" i="11"/>
  <c r="AH165" i="11"/>
  <c r="W165" i="11"/>
  <c r="V165" i="11"/>
  <c r="X165" i="11"/>
  <c r="Z165" i="11" s="1"/>
  <c r="AH164" i="11"/>
  <c r="W164" i="11"/>
  <c r="V164" i="11"/>
  <c r="X164" i="11"/>
  <c r="Z164" i="11" s="1"/>
  <c r="AH163" i="11"/>
  <c r="W163" i="11"/>
  <c r="V163" i="11"/>
  <c r="X163" i="11"/>
  <c r="Z163" i="11" s="1"/>
  <c r="AH162" i="11"/>
  <c r="X162" i="11"/>
  <c r="Z162" i="11" s="1"/>
  <c r="W162" i="11"/>
  <c r="V162" i="11"/>
  <c r="AH161" i="11"/>
  <c r="W161" i="11"/>
  <c r="V161" i="11"/>
  <c r="X161" i="11"/>
  <c r="Z161" i="11" s="1"/>
  <c r="AH160" i="11"/>
  <c r="X160" i="11"/>
  <c r="Z160" i="11" s="1"/>
  <c r="W160" i="11"/>
  <c r="V160" i="11"/>
  <c r="AH159" i="11"/>
  <c r="W159" i="11"/>
  <c r="V159" i="11"/>
  <c r="X159" i="11"/>
  <c r="Z159" i="11" s="1"/>
  <c r="AH158" i="11"/>
  <c r="W158" i="11"/>
  <c r="V158" i="11"/>
  <c r="X158" i="11"/>
  <c r="Z158" i="11" s="1"/>
  <c r="AH157" i="11"/>
  <c r="W157" i="11"/>
  <c r="V157" i="11"/>
  <c r="X157" i="11"/>
  <c r="Z157" i="11" s="1"/>
  <c r="AH156" i="11"/>
  <c r="W156" i="11"/>
  <c r="V156" i="11"/>
  <c r="X156" i="11"/>
  <c r="Z156" i="11" s="1"/>
  <c r="AH155" i="11"/>
  <c r="W155" i="11"/>
  <c r="V155" i="11"/>
  <c r="X155" i="11"/>
  <c r="Z155" i="11" s="1"/>
  <c r="AH154" i="11"/>
  <c r="W154" i="11"/>
  <c r="V154" i="11"/>
  <c r="X154" i="11"/>
  <c r="Z154" i="11" s="1"/>
  <c r="AH153" i="11"/>
  <c r="W153" i="11"/>
  <c r="V153" i="11"/>
  <c r="X153" i="11"/>
  <c r="Z153" i="11" s="1"/>
  <c r="AH152" i="11"/>
  <c r="X152" i="11"/>
  <c r="Z152" i="11" s="1"/>
  <c r="W152" i="11"/>
  <c r="V152" i="11"/>
  <c r="AH151" i="11"/>
  <c r="W151" i="11"/>
  <c r="V151" i="11"/>
  <c r="X151" i="11"/>
  <c r="Z151" i="11" s="1"/>
  <c r="AH150" i="11"/>
  <c r="X150" i="11"/>
  <c r="Z150" i="11" s="1"/>
  <c r="W150" i="11"/>
  <c r="V150" i="11"/>
  <c r="AH149" i="11"/>
  <c r="W149" i="11"/>
  <c r="V149" i="11"/>
  <c r="X149" i="11"/>
  <c r="Z149" i="11" s="1"/>
  <c r="AH148" i="11"/>
  <c r="W148" i="11"/>
  <c r="V148" i="11"/>
  <c r="X148" i="11"/>
  <c r="Z148" i="11" s="1"/>
  <c r="AH147" i="11"/>
  <c r="W147" i="11"/>
  <c r="V147" i="11"/>
  <c r="X147" i="11"/>
  <c r="Z147" i="11" s="1"/>
  <c r="AH146" i="11"/>
  <c r="X146" i="11"/>
  <c r="Z146" i="11" s="1"/>
  <c r="W146" i="11"/>
  <c r="V146" i="11"/>
  <c r="AH145" i="11"/>
  <c r="W145" i="11"/>
  <c r="V145" i="11"/>
  <c r="X145" i="11"/>
  <c r="Z145" i="11" s="1"/>
  <c r="AH144" i="11"/>
  <c r="W144" i="11"/>
  <c r="V144" i="11"/>
  <c r="X144" i="11"/>
  <c r="Z144" i="11" s="1"/>
  <c r="AH143" i="11"/>
  <c r="W143" i="11"/>
  <c r="V143" i="11"/>
  <c r="X143" i="11"/>
  <c r="Z143" i="11" s="1"/>
  <c r="AH142" i="11"/>
  <c r="X142" i="11"/>
  <c r="Z142" i="11" s="1"/>
  <c r="W142" i="11"/>
  <c r="V142" i="11"/>
  <c r="AH141" i="11"/>
  <c r="W141" i="11"/>
  <c r="V141" i="11"/>
  <c r="X141" i="11"/>
  <c r="Z141" i="11" s="1"/>
  <c r="AH140" i="11"/>
  <c r="W140" i="11"/>
  <c r="V140" i="11"/>
  <c r="X140" i="11"/>
  <c r="Z140" i="11" s="1"/>
  <c r="AH139" i="11"/>
  <c r="W139" i="11"/>
  <c r="V139" i="11"/>
  <c r="X139" i="11"/>
  <c r="Z139" i="11" s="1"/>
  <c r="AH138" i="11"/>
  <c r="X138" i="11"/>
  <c r="Z138" i="11" s="1"/>
  <c r="W138" i="11"/>
  <c r="V138" i="11"/>
  <c r="AH137" i="11"/>
  <c r="W137" i="11"/>
  <c r="V137" i="11"/>
  <c r="X137" i="11"/>
  <c r="Z137" i="11" s="1"/>
  <c r="AH136" i="11"/>
  <c r="X136" i="11"/>
  <c r="Z136" i="11" s="1"/>
  <c r="W136" i="11"/>
  <c r="V136" i="11"/>
  <c r="AH135" i="11"/>
  <c r="W135" i="11"/>
  <c r="V135" i="11"/>
  <c r="X135" i="11"/>
  <c r="Z135" i="11" s="1"/>
  <c r="AH134" i="11"/>
  <c r="W134" i="11"/>
  <c r="V134" i="11"/>
  <c r="X134" i="11"/>
  <c r="Z134" i="11" s="1"/>
  <c r="AH133" i="11"/>
  <c r="W133" i="11"/>
  <c r="V133" i="11"/>
  <c r="X133" i="11"/>
  <c r="Z133" i="11" s="1"/>
  <c r="AH132" i="11"/>
  <c r="W132" i="11"/>
  <c r="V132" i="11"/>
  <c r="X132" i="11"/>
  <c r="Z132" i="11" s="1"/>
  <c r="AH131" i="11"/>
  <c r="W131" i="11"/>
  <c r="V131" i="11"/>
  <c r="X131" i="11"/>
  <c r="Z131" i="11" s="1"/>
  <c r="AH130" i="11"/>
  <c r="X130" i="11"/>
  <c r="Z130" i="11" s="1"/>
  <c r="W130" i="11"/>
  <c r="V130" i="11"/>
  <c r="AH129" i="11"/>
  <c r="W129" i="11"/>
  <c r="V129" i="11"/>
  <c r="X129" i="11"/>
  <c r="Z129" i="11" s="1"/>
  <c r="AH128" i="11"/>
  <c r="X128" i="11"/>
  <c r="Z128" i="11" s="1"/>
  <c r="W128" i="11"/>
  <c r="V128" i="11"/>
  <c r="AH127" i="11"/>
  <c r="W127" i="11"/>
  <c r="V127" i="11"/>
  <c r="X127" i="11"/>
  <c r="Z127" i="11" s="1"/>
  <c r="AH126" i="11"/>
  <c r="W126" i="11"/>
  <c r="V126" i="11"/>
  <c r="X126" i="11"/>
  <c r="Z126" i="11" s="1"/>
  <c r="AH125" i="11"/>
  <c r="W125" i="11"/>
  <c r="V125" i="11"/>
  <c r="X125" i="11"/>
  <c r="Z125" i="11" s="1"/>
  <c r="AH124" i="11"/>
  <c r="W124" i="11"/>
  <c r="V124" i="11"/>
  <c r="X124" i="11"/>
  <c r="Z124" i="11" s="1"/>
  <c r="AH123" i="11"/>
  <c r="W123" i="11"/>
  <c r="V123" i="11"/>
  <c r="X123" i="11"/>
  <c r="Z123" i="11" s="1"/>
  <c r="AH122" i="11"/>
  <c r="X122" i="11"/>
  <c r="Z122" i="11" s="1"/>
  <c r="W122" i="11"/>
  <c r="V122" i="11"/>
  <c r="AH121" i="11"/>
  <c r="W121" i="11"/>
  <c r="V121" i="11"/>
  <c r="X121" i="11"/>
  <c r="Z121" i="11" s="1"/>
  <c r="AH120" i="11"/>
  <c r="W120" i="11"/>
  <c r="V120" i="11"/>
  <c r="X120" i="11"/>
  <c r="Z120" i="11" s="1"/>
  <c r="AH119" i="11"/>
  <c r="W119" i="11"/>
  <c r="V119" i="11"/>
  <c r="X119" i="11"/>
  <c r="Z119" i="11" s="1"/>
  <c r="AH118" i="11"/>
  <c r="X118" i="11"/>
  <c r="Z118" i="11" s="1"/>
  <c r="W118" i="11"/>
  <c r="V118" i="11"/>
  <c r="AH117" i="11"/>
  <c r="W117" i="11"/>
  <c r="V117" i="11"/>
  <c r="X117" i="11"/>
  <c r="Z117" i="11" s="1"/>
  <c r="AH116" i="11"/>
  <c r="W116" i="11"/>
  <c r="V116" i="11"/>
  <c r="X116" i="11"/>
  <c r="Z116" i="11" s="1"/>
  <c r="AH115" i="11"/>
  <c r="W115" i="11"/>
  <c r="V115" i="11"/>
  <c r="X115" i="11"/>
  <c r="Z115" i="11" s="1"/>
  <c r="AH114" i="11"/>
  <c r="X114" i="11"/>
  <c r="Z114" i="11" s="1"/>
  <c r="W114" i="11"/>
  <c r="V114" i="11"/>
  <c r="AH113" i="11"/>
  <c r="W113" i="11"/>
  <c r="V113" i="11"/>
  <c r="X113" i="11"/>
  <c r="Z113" i="11" s="1"/>
  <c r="AH112" i="11"/>
  <c r="X112" i="11"/>
  <c r="Z112" i="11" s="1"/>
  <c r="W112" i="11"/>
  <c r="V112" i="11"/>
  <c r="AH111" i="11"/>
  <c r="W111" i="11"/>
  <c r="V111" i="11"/>
  <c r="X111" i="11"/>
  <c r="Z111" i="11" s="1"/>
  <c r="AH110" i="11"/>
  <c r="W110" i="11"/>
  <c r="V110" i="11"/>
  <c r="X110" i="11"/>
  <c r="Z110" i="11" s="1"/>
  <c r="AH109" i="11"/>
  <c r="W109" i="11"/>
  <c r="V109" i="11"/>
  <c r="X109" i="11"/>
  <c r="Z109" i="11" s="1"/>
  <c r="AH108" i="11"/>
  <c r="W108" i="11"/>
  <c r="V108" i="11"/>
  <c r="X108" i="11"/>
  <c r="Z108" i="11" s="1"/>
  <c r="AH107" i="11"/>
  <c r="W107" i="11"/>
  <c r="V107" i="11"/>
  <c r="X107" i="11"/>
  <c r="Z107" i="11" s="1"/>
  <c r="AH106" i="11"/>
  <c r="X106" i="11"/>
  <c r="Z106" i="11" s="1"/>
  <c r="W106" i="11"/>
  <c r="V106" i="11"/>
  <c r="AH105" i="11"/>
  <c r="W105" i="11"/>
  <c r="V105" i="11"/>
  <c r="X105" i="11"/>
  <c r="Z105" i="11" s="1"/>
  <c r="AH104" i="11"/>
  <c r="X104" i="11"/>
  <c r="Z104" i="11" s="1"/>
  <c r="W104" i="11"/>
  <c r="V104" i="11"/>
  <c r="AH103" i="11"/>
  <c r="W103" i="11"/>
  <c r="V103" i="11"/>
  <c r="X103" i="11"/>
  <c r="Z103" i="11" s="1"/>
  <c r="AH102" i="11"/>
  <c r="X102" i="11"/>
  <c r="Z102" i="11" s="1"/>
  <c r="W102" i="11"/>
  <c r="V102" i="11"/>
  <c r="AH101" i="11"/>
  <c r="W101" i="11"/>
  <c r="V101" i="11"/>
  <c r="X101" i="11"/>
  <c r="Z101" i="11" s="1"/>
  <c r="AH100" i="11"/>
  <c r="W100" i="11"/>
  <c r="V100" i="11"/>
  <c r="X100" i="11"/>
  <c r="Z100" i="11" s="1"/>
  <c r="AH99" i="11"/>
  <c r="W99" i="11"/>
  <c r="V99" i="11"/>
  <c r="X99" i="11"/>
  <c r="Z99" i="11" s="1"/>
  <c r="AH98" i="11"/>
  <c r="W98" i="11"/>
  <c r="V98" i="11"/>
  <c r="X98" i="11"/>
  <c r="Z98" i="11" s="1"/>
  <c r="AH97" i="11"/>
  <c r="W97" i="11"/>
  <c r="V97" i="11"/>
  <c r="X97" i="11"/>
  <c r="Z97" i="11" s="1"/>
  <c r="AH96" i="11"/>
  <c r="W96" i="11"/>
  <c r="V96" i="11"/>
  <c r="X96" i="11"/>
  <c r="Z96" i="11" s="1"/>
  <c r="AH95" i="11"/>
  <c r="W95" i="11"/>
  <c r="V95" i="11"/>
  <c r="X95" i="11"/>
  <c r="Z95" i="11" s="1"/>
  <c r="AH94" i="11"/>
  <c r="W94" i="11"/>
  <c r="V94" i="11"/>
  <c r="X94" i="11"/>
  <c r="Z94" i="11" s="1"/>
  <c r="AH93" i="11"/>
  <c r="W93" i="11"/>
  <c r="V93" i="11"/>
  <c r="X93" i="11"/>
  <c r="Z93" i="11" s="1"/>
  <c r="AH92" i="11"/>
  <c r="W92" i="11"/>
  <c r="V92" i="11"/>
  <c r="X92" i="11"/>
  <c r="Z92" i="11" s="1"/>
  <c r="AH91" i="11"/>
  <c r="W91" i="11"/>
  <c r="V91" i="11"/>
  <c r="X91" i="11"/>
  <c r="Z91" i="11" s="1"/>
  <c r="AH90" i="11"/>
  <c r="W90" i="11"/>
  <c r="V90" i="11"/>
  <c r="X90" i="11"/>
  <c r="Z90" i="11" s="1"/>
  <c r="AH89" i="11"/>
  <c r="W89" i="11"/>
  <c r="V89" i="11"/>
  <c r="X89" i="11"/>
  <c r="Z89" i="11" s="1"/>
  <c r="AH88" i="11"/>
  <c r="W88" i="11"/>
  <c r="V88" i="11"/>
  <c r="X88" i="11"/>
  <c r="Z88" i="11" s="1"/>
  <c r="AH87" i="11"/>
  <c r="AG87" i="11"/>
  <c r="V87" i="11"/>
  <c r="W87" i="11" s="1"/>
  <c r="X87" i="11"/>
  <c r="Z87" i="11" s="1"/>
  <c r="K87" i="11"/>
  <c r="AH86" i="11"/>
  <c r="X86" i="11"/>
  <c r="Z86" i="11" s="1"/>
  <c r="W86" i="11"/>
  <c r="V86" i="11"/>
  <c r="AG86" i="11" s="1"/>
  <c r="K86" i="11"/>
  <c r="AH85" i="11"/>
  <c r="AG85" i="11"/>
  <c r="V85" i="11"/>
  <c r="W85" i="11" s="1"/>
  <c r="X85" i="11"/>
  <c r="Z85" i="11" s="1"/>
  <c r="K85" i="11"/>
  <c r="AH84" i="11"/>
  <c r="W84" i="11"/>
  <c r="V84" i="11"/>
  <c r="AG84" i="11" s="1"/>
  <c r="X84" i="11"/>
  <c r="Z84" i="11" s="1"/>
  <c r="K84" i="11"/>
  <c r="AH83" i="11"/>
  <c r="AG83" i="11"/>
  <c r="V83" i="11"/>
  <c r="W83" i="11" s="1"/>
  <c r="X83" i="11"/>
  <c r="Z83" i="11" s="1"/>
  <c r="K83" i="11"/>
  <c r="AH82" i="11"/>
  <c r="W82" i="11"/>
  <c r="V82" i="11"/>
  <c r="AG82" i="11" s="1"/>
  <c r="X82" i="11"/>
  <c r="Z82" i="11" s="1"/>
  <c r="K82" i="11"/>
  <c r="AH81" i="11"/>
  <c r="AG81" i="11"/>
  <c r="V81" i="11"/>
  <c r="W81" i="11" s="1"/>
  <c r="X81" i="11"/>
  <c r="Z81" i="11" s="1"/>
  <c r="K81" i="11"/>
  <c r="AH80" i="11"/>
  <c r="W80" i="11"/>
  <c r="V80" i="11"/>
  <c r="AG80" i="11" s="1"/>
  <c r="X80" i="11"/>
  <c r="Z80" i="11" s="1"/>
  <c r="K80" i="11"/>
  <c r="AH79" i="11"/>
  <c r="AG79" i="11"/>
  <c r="V79" i="11"/>
  <c r="W79" i="11" s="1"/>
  <c r="X79" i="11"/>
  <c r="Z79" i="11" s="1"/>
  <c r="K79" i="11"/>
  <c r="AH78" i="11"/>
  <c r="X78" i="11"/>
  <c r="Z78" i="11" s="1"/>
  <c r="W78" i="11"/>
  <c r="V78" i="11"/>
  <c r="AG78" i="11" s="1"/>
  <c r="K78" i="11"/>
  <c r="AH77" i="11"/>
  <c r="AG77" i="11"/>
  <c r="V77" i="11"/>
  <c r="W77" i="11" s="1"/>
  <c r="X77" i="11"/>
  <c r="Z77" i="11" s="1"/>
  <c r="K77" i="11"/>
  <c r="AH76" i="11"/>
  <c r="W76" i="11"/>
  <c r="V76" i="11"/>
  <c r="AG76" i="11" s="1"/>
  <c r="X76" i="11"/>
  <c r="Z76" i="11" s="1"/>
  <c r="K76" i="11"/>
  <c r="AH75" i="11"/>
  <c r="AG75" i="11"/>
  <c r="V75" i="11"/>
  <c r="W75" i="11" s="1"/>
  <c r="X75" i="11"/>
  <c r="Z75" i="11" s="1"/>
  <c r="K75" i="11"/>
  <c r="AH74" i="11"/>
  <c r="W74" i="11"/>
  <c r="V74" i="11"/>
  <c r="AG74" i="11" s="1"/>
  <c r="X74" i="11"/>
  <c r="Z74" i="11" s="1"/>
  <c r="K74" i="11"/>
  <c r="AH73" i="11"/>
  <c r="AG73" i="11"/>
  <c r="V73" i="11"/>
  <c r="W73" i="11" s="1"/>
  <c r="X73" i="11"/>
  <c r="Z73" i="11" s="1"/>
  <c r="K73" i="11"/>
  <c r="AH72" i="11"/>
  <c r="W72" i="11"/>
  <c r="V72" i="11"/>
  <c r="AG72" i="11" s="1"/>
  <c r="X72" i="11"/>
  <c r="Z72" i="11" s="1"/>
  <c r="K72" i="11"/>
  <c r="AH71" i="11"/>
  <c r="V71" i="11"/>
  <c r="W71" i="11" s="1"/>
  <c r="X71" i="11"/>
  <c r="Z71" i="11" s="1"/>
  <c r="K71" i="11"/>
  <c r="AH70" i="11"/>
  <c r="W70" i="11"/>
  <c r="V70" i="11"/>
  <c r="AG70" i="11" s="1"/>
  <c r="X70" i="11"/>
  <c r="Z70" i="11" s="1"/>
  <c r="K70" i="11"/>
  <c r="AH69" i="11"/>
  <c r="V69" i="11"/>
  <c r="W69" i="11" s="1"/>
  <c r="X69" i="11"/>
  <c r="Z69" i="11" s="1"/>
  <c r="K69" i="11"/>
  <c r="AH68" i="11"/>
  <c r="W68" i="11"/>
  <c r="V68" i="11"/>
  <c r="AG68" i="11" s="1"/>
  <c r="X68" i="11"/>
  <c r="Z68" i="11" s="1"/>
  <c r="K68" i="11"/>
  <c r="AH67" i="11"/>
  <c r="V67" i="11"/>
  <c r="W67" i="11" s="1"/>
  <c r="X67" i="11"/>
  <c r="Z67" i="11" s="1"/>
  <c r="K67" i="11"/>
  <c r="AH66" i="11"/>
  <c r="W66" i="11"/>
  <c r="V66" i="11"/>
  <c r="AG66" i="11" s="1"/>
  <c r="X66" i="11"/>
  <c r="Z66" i="11" s="1"/>
  <c r="K66" i="11"/>
  <c r="AH65" i="11"/>
  <c r="V65" i="11"/>
  <c r="W65" i="11" s="1"/>
  <c r="X65" i="11"/>
  <c r="Z65" i="11" s="1"/>
  <c r="K65" i="11"/>
  <c r="AH64" i="11"/>
  <c r="W64" i="11"/>
  <c r="V64" i="11"/>
  <c r="AG64" i="11" s="1"/>
  <c r="X64" i="11"/>
  <c r="Z64" i="11" s="1"/>
  <c r="K64" i="11"/>
  <c r="AH63" i="11"/>
  <c r="V63" i="11"/>
  <c r="W63" i="11" s="1"/>
  <c r="X63" i="11"/>
  <c r="Z63" i="11" s="1"/>
  <c r="K63" i="11"/>
  <c r="AH62" i="11"/>
  <c r="W62" i="11"/>
  <c r="V62" i="11"/>
  <c r="AG62" i="11" s="1"/>
  <c r="X62" i="11"/>
  <c r="Z62" i="11" s="1"/>
  <c r="K62" i="11"/>
  <c r="AH61" i="11"/>
  <c r="V61" i="11"/>
  <c r="W61" i="11" s="1"/>
  <c r="X61" i="11"/>
  <c r="Z61" i="11" s="1"/>
  <c r="K61" i="11"/>
  <c r="AH60" i="11"/>
  <c r="W60" i="11"/>
  <c r="V60" i="11"/>
  <c r="AG60" i="11" s="1"/>
  <c r="X60" i="11"/>
  <c r="Z60" i="11" s="1"/>
  <c r="K60" i="11"/>
  <c r="AH59" i="11"/>
  <c r="V59" i="11"/>
  <c r="W59" i="11" s="1"/>
  <c r="X59" i="11"/>
  <c r="Z59" i="11" s="1"/>
  <c r="K59" i="11"/>
  <c r="AH58" i="11"/>
  <c r="W58" i="11"/>
  <c r="V58" i="11"/>
  <c r="AG58" i="11" s="1"/>
  <c r="X58" i="11"/>
  <c r="Z58" i="11" s="1"/>
  <c r="K58" i="11"/>
  <c r="AH57" i="11"/>
  <c r="V57" i="11"/>
  <c r="W57" i="11" s="1"/>
  <c r="X57" i="11"/>
  <c r="Z57" i="11" s="1"/>
  <c r="K57" i="11"/>
  <c r="AH56" i="11"/>
  <c r="W56" i="11"/>
  <c r="V56" i="11"/>
  <c r="AG56" i="11" s="1"/>
  <c r="X56" i="11"/>
  <c r="Z56" i="11" s="1"/>
  <c r="K56" i="11"/>
  <c r="AH55" i="11"/>
  <c r="V55" i="11"/>
  <c r="W55" i="11" s="1"/>
  <c r="X55" i="11"/>
  <c r="Z55" i="11" s="1"/>
  <c r="K55" i="11"/>
  <c r="AH54" i="11"/>
  <c r="W54" i="11"/>
  <c r="V54" i="11"/>
  <c r="AG54" i="11" s="1"/>
  <c r="X54" i="11"/>
  <c r="Z54" i="11" s="1"/>
  <c r="K54" i="11"/>
  <c r="AH53" i="11"/>
  <c r="V53" i="11"/>
  <c r="W53" i="11" s="1"/>
  <c r="X53" i="11"/>
  <c r="Z53" i="11" s="1"/>
  <c r="K53" i="11"/>
  <c r="AH52" i="11"/>
  <c r="X52" i="11"/>
  <c r="Z52" i="11" s="1"/>
  <c r="W52" i="11"/>
  <c r="V52" i="11"/>
  <c r="AG52" i="11" s="1"/>
  <c r="K52" i="11"/>
  <c r="AH51" i="11"/>
  <c r="V51" i="11"/>
  <c r="W51" i="11" s="1"/>
  <c r="X51" i="11"/>
  <c r="Z51" i="11" s="1"/>
  <c r="K51" i="11"/>
  <c r="AH50" i="11"/>
  <c r="W50" i="11"/>
  <c r="V50" i="11"/>
  <c r="AG50" i="11" s="1"/>
  <c r="X50" i="11"/>
  <c r="Z50" i="11" s="1"/>
  <c r="K50" i="11"/>
  <c r="AH49" i="11"/>
  <c r="V49" i="11"/>
  <c r="W49" i="11" s="1"/>
  <c r="X49" i="11"/>
  <c r="Z49" i="11" s="1"/>
  <c r="K49" i="11"/>
  <c r="AH48" i="11"/>
  <c r="X48" i="11"/>
  <c r="Z48" i="11" s="1"/>
  <c r="W48" i="11"/>
  <c r="V48" i="11"/>
  <c r="AG48" i="11" s="1"/>
  <c r="K48" i="11"/>
  <c r="AH47" i="11"/>
  <c r="V47" i="11"/>
  <c r="W47" i="11" s="1"/>
  <c r="X47" i="11"/>
  <c r="Z47" i="11" s="1"/>
  <c r="K47" i="11"/>
  <c r="AH46" i="11"/>
  <c r="W46" i="11"/>
  <c r="V46" i="11"/>
  <c r="AG46" i="11" s="1"/>
  <c r="X46" i="11"/>
  <c r="Z46" i="11" s="1"/>
  <c r="K46" i="11"/>
  <c r="AH45" i="11"/>
  <c r="V45" i="11"/>
  <c r="W45" i="11" s="1"/>
  <c r="X45" i="11"/>
  <c r="Z45" i="11" s="1"/>
  <c r="K45" i="11"/>
  <c r="AH44" i="11"/>
  <c r="X44" i="11"/>
  <c r="Z44" i="11" s="1"/>
  <c r="W44" i="11"/>
  <c r="V44" i="11"/>
  <c r="AG44" i="11" s="1"/>
  <c r="K44" i="11"/>
  <c r="AH43" i="11"/>
  <c r="V43" i="11"/>
  <c r="W43" i="11" s="1"/>
  <c r="X43" i="11"/>
  <c r="Z43" i="11" s="1"/>
  <c r="K43" i="11"/>
  <c r="AH42" i="11"/>
  <c r="W42" i="11"/>
  <c r="V42" i="11"/>
  <c r="AG42" i="11" s="1"/>
  <c r="X42" i="11"/>
  <c r="Z42" i="11" s="1"/>
  <c r="K42" i="11"/>
  <c r="AH41" i="11"/>
  <c r="V41" i="11"/>
  <c r="W41" i="11" s="1"/>
  <c r="X41" i="11"/>
  <c r="Z41" i="11" s="1"/>
  <c r="K41" i="11"/>
  <c r="AH40" i="11"/>
  <c r="W40" i="11"/>
  <c r="V40" i="11"/>
  <c r="AG40" i="11" s="1"/>
  <c r="X40" i="11"/>
  <c r="Z40" i="11" s="1"/>
  <c r="K40" i="11"/>
  <c r="AH39" i="11"/>
  <c r="V39" i="11"/>
  <c r="W39" i="11" s="1"/>
  <c r="X39" i="11"/>
  <c r="Z39" i="11" s="1"/>
  <c r="K39" i="11"/>
  <c r="AH38" i="11"/>
  <c r="W38" i="11"/>
  <c r="V38" i="11"/>
  <c r="AG38" i="11" s="1"/>
  <c r="X38" i="11"/>
  <c r="Z38" i="11" s="1"/>
  <c r="K38" i="11"/>
  <c r="AH37" i="11"/>
  <c r="V37" i="11"/>
  <c r="W37" i="11" s="1"/>
  <c r="X37" i="11"/>
  <c r="Z37" i="11" s="1"/>
  <c r="K37" i="11"/>
  <c r="AH36" i="11"/>
  <c r="W36" i="11"/>
  <c r="V36" i="11"/>
  <c r="AG36" i="11" s="1"/>
  <c r="X36" i="11"/>
  <c r="Z36" i="11" s="1"/>
  <c r="K36" i="11"/>
  <c r="AH35" i="11"/>
  <c r="V35" i="11"/>
  <c r="W35" i="11" s="1"/>
  <c r="X35" i="11"/>
  <c r="Z35" i="11" s="1"/>
  <c r="K35" i="11"/>
  <c r="AH34" i="11"/>
  <c r="W34" i="11"/>
  <c r="V34" i="11"/>
  <c r="AG34" i="11" s="1"/>
  <c r="X34" i="11"/>
  <c r="Z34" i="11" s="1"/>
  <c r="K34" i="11"/>
  <c r="AH33" i="11"/>
  <c r="V33" i="11"/>
  <c r="W33" i="11" s="1"/>
  <c r="X33" i="11"/>
  <c r="Z33" i="11" s="1"/>
  <c r="K33" i="11"/>
  <c r="AH32" i="11"/>
  <c r="X32" i="11"/>
  <c r="Z32" i="11" s="1"/>
  <c r="W32" i="11"/>
  <c r="V32" i="11"/>
  <c r="AG32" i="11" s="1"/>
  <c r="K32" i="11"/>
  <c r="AH31" i="11"/>
  <c r="V31" i="11"/>
  <c r="W31" i="11" s="1"/>
  <c r="X31" i="11"/>
  <c r="Z31" i="11" s="1"/>
  <c r="K31" i="11"/>
  <c r="AH30" i="11"/>
  <c r="W30" i="11"/>
  <c r="V30" i="11"/>
  <c r="AG30" i="11" s="1"/>
  <c r="X30" i="11"/>
  <c r="Z30" i="11" s="1"/>
  <c r="K30" i="11"/>
  <c r="AH29" i="11"/>
  <c r="V29" i="11"/>
  <c r="W29" i="11" s="1"/>
  <c r="X29" i="11"/>
  <c r="Z29" i="11" s="1"/>
  <c r="K29" i="11"/>
  <c r="AH28" i="11"/>
  <c r="W28" i="11"/>
  <c r="V28" i="11"/>
  <c r="AG28" i="11" s="1"/>
  <c r="X28" i="11"/>
  <c r="Z28" i="11" s="1"/>
  <c r="K28" i="11"/>
  <c r="AH27" i="11"/>
  <c r="V27" i="11"/>
  <c r="W27" i="11" s="1"/>
  <c r="X27" i="11"/>
  <c r="Z27" i="11" s="1"/>
  <c r="K27" i="11"/>
  <c r="AH26" i="11"/>
  <c r="W26" i="11"/>
  <c r="V26" i="11"/>
  <c r="AG26" i="11" s="1"/>
  <c r="X26" i="11"/>
  <c r="Z26" i="11" s="1"/>
  <c r="K26" i="11"/>
  <c r="AH25" i="11"/>
  <c r="V25" i="11"/>
  <c r="W25" i="11" s="1"/>
  <c r="X25" i="11"/>
  <c r="Z25" i="11" s="1"/>
  <c r="K25" i="11"/>
  <c r="AH24" i="11"/>
  <c r="W24" i="11"/>
  <c r="V24" i="11"/>
  <c r="AG24" i="11" s="1"/>
  <c r="X24" i="11"/>
  <c r="Z24" i="11" s="1"/>
  <c r="K24" i="11"/>
  <c r="AH23" i="11"/>
  <c r="AG23" i="11"/>
  <c r="W23" i="11"/>
  <c r="V23" i="11"/>
  <c r="X23" i="11"/>
  <c r="Z23" i="11" s="1"/>
  <c r="K23" i="11"/>
  <c r="AH22" i="11"/>
  <c r="W22" i="11"/>
  <c r="V22" i="11"/>
  <c r="AG22" i="11" s="1"/>
  <c r="X22" i="11"/>
  <c r="Z22" i="11" s="1"/>
  <c r="K22" i="11"/>
  <c r="AH21" i="11"/>
  <c r="AG21" i="11"/>
  <c r="W21" i="11"/>
  <c r="V21" i="11"/>
  <c r="X21" i="11"/>
  <c r="Z21" i="11" s="1"/>
  <c r="K21" i="11"/>
  <c r="AH20" i="11"/>
  <c r="W20" i="11"/>
  <c r="V20" i="11"/>
  <c r="AG20" i="11" s="1"/>
  <c r="X20" i="11"/>
  <c r="Z20" i="11" s="1"/>
  <c r="K20" i="11"/>
  <c r="AH19" i="11"/>
  <c r="AG19" i="11"/>
  <c r="W19" i="11"/>
  <c r="V19" i="11"/>
  <c r="X19" i="11"/>
  <c r="Z19" i="11" s="1"/>
  <c r="K19" i="11"/>
  <c r="AH18" i="11"/>
  <c r="W18" i="11"/>
  <c r="V18" i="11"/>
  <c r="AG18" i="11" s="1"/>
  <c r="X18" i="11"/>
  <c r="Z18" i="11" s="1"/>
  <c r="K18" i="11"/>
  <c r="AH17" i="11"/>
  <c r="AG17" i="11"/>
  <c r="W17" i="11"/>
  <c r="V17" i="11"/>
  <c r="X17" i="11"/>
  <c r="Z17" i="11" s="1"/>
  <c r="K17" i="11"/>
  <c r="AH16" i="11"/>
  <c r="W16" i="11"/>
  <c r="V16" i="11"/>
  <c r="AG16" i="11" s="1"/>
  <c r="X16" i="11"/>
  <c r="Z16" i="11" s="1"/>
  <c r="K16" i="11"/>
  <c r="AH15" i="11"/>
  <c r="AG15" i="11"/>
  <c r="W15" i="11"/>
  <c r="V15" i="11"/>
  <c r="X15" i="11"/>
  <c r="Z15" i="11" s="1"/>
  <c r="K15" i="11"/>
  <c r="AH14" i="11"/>
  <c r="W14" i="11"/>
  <c r="V14" i="11"/>
  <c r="AG14" i="11" s="1"/>
  <c r="X14" i="11"/>
  <c r="Z14" i="11" s="1"/>
  <c r="K14" i="11"/>
  <c r="AH13" i="11"/>
  <c r="AG13" i="11"/>
  <c r="W13" i="11"/>
  <c r="V13" i="11"/>
  <c r="X13" i="11"/>
  <c r="Z13" i="11" s="1"/>
  <c r="K13" i="11"/>
  <c r="AH12" i="11"/>
  <c r="W12" i="11"/>
  <c r="V12" i="11"/>
  <c r="AG12" i="11" s="1"/>
  <c r="X12" i="11"/>
  <c r="Z12" i="11" s="1"/>
  <c r="K12" i="11"/>
  <c r="AH11" i="11"/>
  <c r="AG11" i="11"/>
  <c r="W11" i="11"/>
  <c r="V11" i="11"/>
  <c r="X11" i="11"/>
  <c r="Z11" i="11" s="1"/>
  <c r="K11" i="11"/>
  <c r="AH10" i="11"/>
  <c r="W10" i="11"/>
  <c r="V10" i="11"/>
  <c r="AG10" i="11" s="1"/>
  <c r="X10" i="11"/>
  <c r="Z10" i="11" s="1"/>
  <c r="K10" i="11"/>
  <c r="AH9" i="11"/>
  <c r="AG9" i="11"/>
  <c r="W9" i="11"/>
  <c r="V9" i="11"/>
  <c r="X9" i="11"/>
  <c r="Z9" i="11" s="1"/>
  <c r="K9" i="11"/>
  <c r="AH8" i="11"/>
  <c r="W8" i="11"/>
  <c r="V8" i="11"/>
  <c r="AG8" i="11" s="1"/>
  <c r="X8" i="11"/>
  <c r="Z8" i="11" s="1"/>
  <c r="K8" i="11"/>
  <c r="AH7" i="11"/>
  <c r="AG7" i="11"/>
  <c r="W7" i="11"/>
  <c r="V7" i="11"/>
  <c r="X7" i="11"/>
  <c r="Z7" i="11" s="1"/>
  <c r="K7" i="11"/>
  <c r="AH6" i="11"/>
  <c r="W6" i="11"/>
  <c r="V6" i="11"/>
  <c r="AG6" i="11" s="1"/>
  <c r="X6" i="11"/>
  <c r="Z6" i="11" s="1"/>
  <c r="K6" i="11"/>
  <c r="AH5" i="11"/>
  <c r="V5" i="11"/>
  <c r="AG5" i="11" s="1"/>
  <c r="X5" i="11"/>
  <c r="Z5" i="11" s="1"/>
  <c r="K5" i="11"/>
  <c r="AH4" i="11"/>
  <c r="AH3" i="11"/>
  <c r="AH2" i="11"/>
  <c r="AL267" i="10"/>
  <c r="AI267" i="10"/>
  <c r="AH267" i="10"/>
  <c r="AK267" i="10" s="1"/>
  <c r="AL266" i="10"/>
  <c r="AN266" i="10" s="1"/>
  <c r="AK266" i="10"/>
  <c r="AI266" i="10"/>
  <c r="AH266" i="10"/>
  <c r="AL265" i="10"/>
  <c r="AM265" i="10" s="1"/>
  <c r="AP265" i="10" s="1"/>
  <c r="AK265" i="10"/>
  <c r="AI265" i="10"/>
  <c r="AH265" i="10"/>
  <c r="AL264" i="10"/>
  <c r="AN264" i="10" s="1"/>
  <c r="AI264" i="10"/>
  <c r="AJ264" i="10" s="1"/>
  <c r="AH264" i="10"/>
  <c r="AK264" i="10" s="1"/>
  <c r="AL263" i="10"/>
  <c r="AN263" i="10" s="1"/>
  <c r="AI263" i="10"/>
  <c r="AJ263" i="10" s="1"/>
  <c r="AH263" i="10"/>
  <c r="AK263" i="10" s="1"/>
  <c r="AL262" i="10"/>
  <c r="AN262" i="10" s="1"/>
  <c r="AI262" i="10"/>
  <c r="AH262" i="10"/>
  <c r="AK262" i="10" s="1"/>
  <c r="AL261" i="10"/>
  <c r="AN261" i="10" s="1"/>
  <c r="AI261" i="10"/>
  <c r="AH261" i="10"/>
  <c r="AK261" i="10" s="1"/>
  <c r="AL260" i="10"/>
  <c r="AN260" i="10" s="1"/>
  <c r="AI260" i="10"/>
  <c r="AH260" i="10"/>
  <c r="AK260" i="10" s="1"/>
  <c r="AL259" i="10"/>
  <c r="AN259" i="10" s="1"/>
  <c r="AI259" i="10"/>
  <c r="AH259" i="10"/>
  <c r="AL258" i="10"/>
  <c r="AN258" i="10" s="1"/>
  <c r="AI258" i="10"/>
  <c r="AH258" i="10"/>
  <c r="AL257" i="10"/>
  <c r="AN257" i="10" s="1"/>
  <c r="AI257" i="10"/>
  <c r="AH257" i="10"/>
  <c r="AL256" i="10"/>
  <c r="AN256" i="10" s="1"/>
  <c r="AI256" i="10"/>
  <c r="AH256" i="10"/>
  <c r="AL255" i="10"/>
  <c r="AN255" i="10" s="1"/>
  <c r="AI255" i="10"/>
  <c r="AH255" i="10"/>
  <c r="AL254" i="10"/>
  <c r="AN254" i="10" s="1"/>
  <c r="AI254" i="10"/>
  <c r="AH254" i="10"/>
  <c r="AL253" i="10"/>
  <c r="AN253" i="10" s="1"/>
  <c r="AI253" i="10"/>
  <c r="AH253" i="10"/>
  <c r="AL252" i="10"/>
  <c r="AN252" i="10" s="1"/>
  <c r="AI252" i="10"/>
  <c r="AH252" i="10"/>
  <c r="AL251" i="10"/>
  <c r="AN251" i="10" s="1"/>
  <c r="AI251" i="10"/>
  <c r="AH251" i="10"/>
  <c r="AL250" i="10"/>
  <c r="AN250" i="10" s="1"/>
  <c r="AI250" i="10"/>
  <c r="AH250" i="10"/>
  <c r="AL249" i="10"/>
  <c r="AN249" i="10" s="1"/>
  <c r="AI249" i="10"/>
  <c r="AH249" i="10"/>
  <c r="AL248" i="10"/>
  <c r="AN248" i="10" s="1"/>
  <c r="AI248" i="10"/>
  <c r="AH248" i="10"/>
  <c r="AL247" i="10"/>
  <c r="AN247" i="10" s="1"/>
  <c r="AI247" i="10"/>
  <c r="AH247" i="10"/>
  <c r="AL246" i="10"/>
  <c r="AN246" i="10" s="1"/>
  <c r="AI246" i="10"/>
  <c r="AH246" i="10"/>
  <c r="AL245" i="10"/>
  <c r="AN245" i="10" s="1"/>
  <c r="AI245" i="10"/>
  <c r="AH245" i="10"/>
  <c r="AL244" i="10"/>
  <c r="AN244" i="10" s="1"/>
  <c r="AI244" i="10"/>
  <c r="AH244" i="10"/>
  <c r="AL243" i="10"/>
  <c r="AN243" i="10" s="1"/>
  <c r="AI243" i="10"/>
  <c r="AJ243" i="10" s="1"/>
  <c r="AH243" i="10"/>
  <c r="AK243" i="10" s="1"/>
  <c r="AL242" i="10"/>
  <c r="AN242" i="10" s="1"/>
  <c r="AI242" i="10"/>
  <c r="AH242" i="10"/>
  <c r="AK242" i="10" s="1"/>
  <c r="AL241" i="10"/>
  <c r="AM241" i="10" s="1"/>
  <c r="AP241" i="10" s="1"/>
  <c r="AI241" i="10"/>
  <c r="AJ241" i="10" s="1"/>
  <c r="AH241" i="10"/>
  <c r="AK241" i="10" s="1"/>
  <c r="AL240" i="10"/>
  <c r="AN240" i="10" s="1"/>
  <c r="AI240" i="10"/>
  <c r="AH240" i="10"/>
  <c r="AK240" i="10" s="1"/>
  <c r="AL239" i="10"/>
  <c r="AN239" i="10" s="1"/>
  <c r="AI239" i="10"/>
  <c r="AJ239" i="10" s="1"/>
  <c r="AH239" i="10"/>
  <c r="AK239" i="10" s="1"/>
  <c r="AL238" i="10"/>
  <c r="AN238" i="10" s="1"/>
  <c r="AI238" i="10"/>
  <c r="AH238" i="10"/>
  <c r="AK238" i="10" s="1"/>
  <c r="AL237" i="10"/>
  <c r="AM237" i="10" s="1"/>
  <c r="AP237" i="10" s="1"/>
  <c r="AI237" i="10"/>
  <c r="AJ237" i="10" s="1"/>
  <c r="AH237" i="10"/>
  <c r="AK237" i="10" s="1"/>
  <c r="AL236" i="10"/>
  <c r="AN236" i="10" s="1"/>
  <c r="AI236" i="10"/>
  <c r="AH236" i="10"/>
  <c r="AK236" i="10" s="1"/>
  <c r="AL235" i="10"/>
  <c r="AN235" i="10" s="1"/>
  <c r="AI235" i="10"/>
  <c r="AJ235" i="10" s="1"/>
  <c r="AH235" i="10"/>
  <c r="AK235" i="10" s="1"/>
  <c r="AL234" i="10"/>
  <c r="AN234" i="10" s="1"/>
  <c r="AI234" i="10"/>
  <c r="AH234" i="10"/>
  <c r="AK234" i="10" s="1"/>
  <c r="AL233" i="10"/>
  <c r="AM233" i="10" s="1"/>
  <c r="AP233" i="10" s="1"/>
  <c r="AI233" i="10"/>
  <c r="AJ233" i="10" s="1"/>
  <c r="AH233" i="10"/>
  <c r="AK233" i="10" s="1"/>
  <c r="AL232" i="10"/>
  <c r="AN232" i="10" s="1"/>
  <c r="AI232" i="10"/>
  <c r="AH232" i="10"/>
  <c r="AK232" i="10" s="1"/>
  <c r="AL231" i="10"/>
  <c r="AN231" i="10" s="1"/>
  <c r="AI231" i="10"/>
  <c r="AJ231" i="10" s="1"/>
  <c r="AH231" i="10"/>
  <c r="AK231" i="10" s="1"/>
  <c r="AL230" i="10"/>
  <c r="AN230" i="10" s="1"/>
  <c r="AI230" i="10"/>
  <c r="AH230" i="10"/>
  <c r="AK230" i="10" s="1"/>
  <c r="AL229" i="10"/>
  <c r="AM229" i="10" s="1"/>
  <c r="AP229" i="10" s="1"/>
  <c r="AI229" i="10"/>
  <c r="AJ229" i="10" s="1"/>
  <c r="AH229" i="10"/>
  <c r="AK229" i="10" s="1"/>
  <c r="AL228" i="10"/>
  <c r="AN228" i="10" s="1"/>
  <c r="AI228" i="10"/>
  <c r="AH228" i="10"/>
  <c r="AK228" i="10" s="1"/>
  <c r="AL227" i="10"/>
  <c r="AN227" i="10" s="1"/>
  <c r="AI227" i="10"/>
  <c r="AJ227" i="10" s="1"/>
  <c r="AH227" i="10"/>
  <c r="AK227" i="10" s="1"/>
  <c r="AL226" i="10"/>
  <c r="AN226" i="10" s="1"/>
  <c r="AI226" i="10"/>
  <c r="AH226" i="10"/>
  <c r="AK226" i="10" s="1"/>
  <c r="AL225" i="10"/>
  <c r="AM225" i="10" s="1"/>
  <c r="AP225" i="10" s="1"/>
  <c r="AI225" i="10"/>
  <c r="AJ225" i="10" s="1"/>
  <c r="AH225" i="10"/>
  <c r="AK225" i="10" s="1"/>
  <c r="AL224" i="10"/>
  <c r="AN224" i="10" s="1"/>
  <c r="AI224" i="10"/>
  <c r="AH224" i="10"/>
  <c r="AK224" i="10" s="1"/>
  <c r="AL223" i="10"/>
  <c r="AM223" i="10" s="1"/>
  <c r="AP223" i="10" s="1"/>
  <c r="AJ223" i="10"/>
  <c r="AI223" i="10"/>
  <c r="AH223" i="10"/>
  <c r="AK223" i="10" s="1"/>
  <c r="AL222" i="10"/>
  <c r="AM222" i="10" s="1"/>
  <c r="AP222" i="10" s="1"/>
  <c r="AJ222" i="10"/>
  <c r="AI222" i="10"/>
  <c r="AH222" i="10"/>
  <c r="AK222" i="10" s="1"/>
  <c r="AL221" i="10"/>
  <c r="AM221" i="10" s="1"/>
  <c r="AP221" i="10" s="1"/>
  <c r="AJ221" i="10"/>
  <c r="AI221" i="10"/>
  <c r="AH221" i="10"/>
  <c r="AK221" i="10" s="1"/>
  <c r="AL220" i="10"/>
  <c r="AM220" i="10" s="1"/>
  <c r="AP220" i="10" s="1"/>
  <c r="AJ220" i="10"/>
  <c r="AI220" i="10"/>
  <c r="AH220" i="10"/>
  <c r="AK220" i="10" s="1"/>
  <c r="AL219" i="10"/>
  <c r="AM219" i="10" s="1"/>
  <c r="AP219" i="10" s="1"/>
  <c r="AJ219" i="10"/>
  <c r="AI219" i="10"/>
  <c r="AH219" i="10"/>
  <c r="AK219" i="10" s="1"/>
  <c r="AL218" i="10"/>
  <c r="AM218" i="10" s="1"/>
  <c r="AP218" i="10" s="1"/>
  <c r="AJ218" i="10"/>
  <c r="AI218" i="10"/>
  <c r="AH218" i="10"/>
  <c r="AK218" i="10" s="1"/>
  <c r="AL217" i="10"/>
  <c r="AM217" i="10" s="1"/>
  <c r="AP217" i="10" s="1"/>
  <c r="AJ217" i="10"/>
  <c r="AI217" i="10"/>
  <c r="AH217" i="10"/>
  <c r="AK217" i="10" s="1"/>
  <c r="AL216" i="10"/>
  <c r="AM216" i="10" s="1"/>
  <c r="AP216" i="10" s="1"/>
  <c r="AJ216" i="10"/>
  <c r="AI216" i="10"/>
  <c r="AH216" i="10"/>
  <c r="AK216" i="10" s="1"/>
  <c r="AL215" i="10"/>
  <c r="AM215" i="10" s="1"/>
  <c r="AP215" i="10" s="1"/>
  <c r="AJ215" i="10"/>
  <c r="AI215" i="10"/>
  <c r="AH215" i="10"/>
  <c r="AK215" i="10" s="1"/>
  <c r="AL214" i="10"/>
  <c r="AM214" i="10" s="1"/>
  <c r="AP214" i="10" s="1"/>
  <c r="AJ214" i="10"/>
  <c r="AI214" i="10"/>
  <c r="AH214" i="10"/>
  <c r="AK214" i="10" s="1"/>
  <c r="AL213" i="10"/>
  <c r="AM213" i="10" s="1"/>
  <c r="AP213" i="10" s="1"/>
  <c r="AJ213" i="10"/>
  <c r="AI213" i="10"/>
  <c r="AH213" i="10"/>
  <c r="AK213" i="10" s="1"/>
  <c r="AL212" i="10"/>
  <c r="AM212" i="10" s="1"/>
  <c r="AP212" i="10" s="1"/>
  <c r="AJ212" i="10"/>
  <c r="AI212" i="10"/>
  <c r="AH212" i="10"/>
  <c r="AK212" i="10" s="1"/>
  <c r="AL211" i="10"/>
  <c r="AM211" i="10" s="1"/>
  <c r="AP211" i="10" s="1"/>
  <c r="AJ211" i="10"/>
  <c r="AI211" i="10"/>
  <c r="AH211" i="10"/>
  <c r="AK211" i="10" s="1"/>
  <c r="AL210" i="10"/>
  <c r="AM210" i="10" s="1"/>
  <c r="AP210" i="10" s="1"/>
  <c r="AJ210" i="10"/>
  <c r="AI210" i="10"/>
  <c r="AH210" i="10"/>
  <c r="AK210" i="10" s="1"/>
  <c r="AL209" i="10"/>
  <c r="AM209" i="10" s="1"/>
  <c r="AP209" i="10" s="1"/>
  <c r="AJ209" i="10"/>
  <c r="AI209" i="10"/>
  <c r="AH209" i="10"/>
  <c r="AK209" i="10" s="1"/>
  <c r="AL208" i="10"/>
  <c r="AM208" i="10" s="1"/>
  <c r="AP208" i="10" s="1"/>
  <c r="AJ208" i="10"/>
  <c r="AI208" i="10"/>
  <c r="AH208" i="10"/>
  <c r="AK208" i="10" s="1"/>
  <c r="AL207" i="10"/>
  <c r="AM207" i="10" s="1"/>
  <c r="AP207" i="10" s="1"/>
  <c r="AJ207" i="10"/>
  <c r="AI207" i="10"/>
  <c r="AH207" i="10"/>
  <c r="AK207" i="10" s="1"/>
  <c r="AB207" i="10"/>
  <c r="AL206" i="10"/>
  <c r="AN206" i="10" s="1"/>
  <c r="AK206" i="10"/>
  <c r="AI206" i="10"/>
  <c r="AJ206" i="10" s="1"/>
  <c r="AH206" i="10"/>
  <c r="AP205" i="10"/>
  <c r="AN205" i="10"/>
  <c r="AK205" i="10"/>
  <c r="AI205" i="10"/>
  <c r="AH205" i="10"/>
  <c r="AJ205" i="10" s="1"/>
  <c r="AL204" i="10"/>
  <c r="AN204" i="10" s="1"/>
  <c r="AK204" i="10"/>
  <c r="AI204" i="10"/>
  <c r="AH204" i="10"/>
  <c r="AJ204" i="10" s="1"/>
  <c r="AL203" i="10"/>
  <c r="AN203" i="10" s="1"/>
  <c r="AK203" i="10"/>
  <c r="AI203" i="10"/>
  <c r="AH203" i="10"/>
  <c r="AJ203" i="10" s="1"/>
  <c r="AH200" i="10"/>
  <c r="W200" i="10"/>
  <c r="V200" i="10"/>
  <c r="AG200" i="10" s="1"/>
  <c r="X200" i="10"/>
  <c r="Z200" i="10" s="1"/>
  <c r="K200" i="10"/>
  <c r="AH199" i="10"/>
  <c r="V199" i="10"/>
  <c r="W199" i="10" s="1"/>
  <c r="X199" i="10"/>
  <c r="Z199" i="10" s="1"/>
  <c r="AH198" i="10"/>
  <c r="V198" i="10"/>
  <c r="W198" i="10" s="1"/>
  <c r="X198" i="10"/>
  <c r="Z198" i="10" s="1"/>
  <c r="AH197" i="10"/>
  <c r="W197" i="10"/>
  <c r="V197" i="10"/>
  <c r="X197" i="10"/>
  <c r="Z197" i="10" s="1"/>
  <c r="AH196" i="10"/>
  <c r="W196" i="10"/>
  <c r="V196" i="10"/>
  <c r="X196" i="10"/>
  <c r="Z196" i="10" s="1"/>
  <c r="AH195" i="10"/>
  <c r="W195" i="10"/>
  <c r="V195" i="10"/>
  <c r="X195" i="10"/>
  <c r="Z195" i="10" s="1"/>
  <c r="AH194" i="10"/>
  <c r="W194" i="10"/>
  <c r="V194" i="10"/>
  <c r="X194" i="10"/>
  <c r="Z194" i="10" s="1"/>
  <c r="AH193" i="10"/>
  <c r="W193" i="10"/>
  <c r="V193" i="10"/>
  <c r="X193" i="10"/>
  <c r="Z193" i="10" s="1"/>
  <c r="AH192" i="10"/>
  <c r="W192" i="10"/>
  <c r="V192" i="10"/>
  <c r="X192" i="10"/>
  <c r="Z192" i="10" s="1"/>
  <c r="AH191" i="10"/>
  <c r="X191" i="10"/>
  <c r="Z191" i="10" s="1"/>
  <c r="W191" i="10"/>
  <c r="V191" i="10"/>
  <c r="AH190" i="10"/>
  <c r="W190" i="10"/>
  <c r="V190" i="10"/>
  <c r="X190" i="10"/>
  <c r="Z190" i="10" s="1"/>
  <c r="AH189" i="10"/>
  <c r="W189" i="10"/>
  <c r="V189" i="10"/>
  <c r="X189" i="10"/>
  <c r="Z189" i="10" s="1"/>
  <c r="AH188" i="10"/>
  <c r="W188" i="10"/>
  <c r="V188" i="10"/>
  <c r="X188" i="10"/>
  <c r="Z188" i="10" s="1"/>
  <c r="AH187" i="10"/>
  <c r="W187" i="10"/>
  <c r="V187" i="10"/>
  <c r="X187" i="10"/>
  <c r="Z187" i="10" s="1"/>
  <c r="AH186" i="10"/>
  <c r="W186" i="10"/>
  <c r="V186" i="10"/>
  <c r="X186" i="10"/>
  <c r="Z186" i="10" s="1"/>
  <c r="AH185" i="10"/>
  <c r="W185" i="10"/>
  <c r="V185" i="10"/>
  <c r="X185" i="10"/>
  <c r="Z185" i="10" s="1"/>
  <c r="AH184" i="10"/>
  <c r="W184" i="10"/>
  <c r="V184" i="10"/>
  <c r="X184" i="10"/>
  <c r="Z184" i="10" s="1"/>
  <c r="AH183" i="10"/>
  <c r="W183" i="10"/>
  <c r="V183" i="10"/>
  <c r="X183" i="10"/>
  <c r="Z183" i="10" s="1"/>
  <c r="AH182" i="10"/>
  <c r="X182" i="10"/>
  <c r="Z182" i="10" s="1"/>
  <c r="W182" i="10"/>
  <c r="V182" i="10"/>
  <c r="AH181" i="10"/>
  <c r="W181" i="10"/>
  <c r="V181" i="10"/>
  <c r="X181" i="10"/>
  <c r="Z181" i="10" s="1"/>
  <c r="AH180" i="10"/>
  <c r="W180" i="10"/>
  <c r="V180" i="10"/>
  <c r="X180" i="10"/>
  <c r="Z180" i="10" s="1"/>
  <c r="AH179" i="10"/>
  <c r="W179" i="10"/>
  <c r="V179" i="10"/>
  <c r="X179" i="10"/>
  <c r="Z179" i="10" s="1"/>
  <c r="AH178" i="10"/>
  <c r="X178" i="10"/>
  <c r="Z178" i="10" s="1"/>
  <c r="W178" i="10"/>
  <c r="V178" i="10"/>
  <c r="AH177" i="10"/>
  <c r="W177" i="10"/>
  <c r="V177" i="10"/>
  <c r="X177" i="10"/>
  <c r="Z177" i="10" s="1"/>
  <c r="AH176" i="10"/>
  <c r="W176" i="10"/>
  <c r="V176" i="10"/>
  <c r="X176" i="10"/>
  <c r="Z176" i="10" s="1"/>
  <c r="AH175" i="10"/>
  <c r="W175" i="10"/>
  <c r="V175" i="10"/>
  <c r="X175" i="10"/>
  <c r="Z175" i="10" s="1"/>
  <c r="AH174" i="10"/>
  <c r="W174" i="10"/>
  <c r="V174" i="10"/>
  <c r="X174" i="10"/>
  <c r="Z174" i="10" s="1"/>
  <c r="AH173" i="10"/>
  <c r="W173" i="10"/>
  <c r="V173" i="10"/>
  <c r="X173" i="10"/>
  <c r="Z173" i="10" s="1"/>
  <c r="AH172" i="10"/>
  <c r="W172" i="10"/>
  <c r="V172" i="10"/>
  <c r="X172" i="10"/>
  <c r="Z172" i="10" s="1"/>
  <c r="AH171" i="10"/>
  <c r="W171" i="10"/>
  <c r="V171" i="10"/>
  <c r="X171" i="10"/>
  <c r="Z171" i="10" s="1"/>
  <c r="AH170" i="10"/>
  <c r="W170" i="10"/>
  <c r="V170" i="10"/>
  <c r="X170" i="10"/>
  <c r="Z170" i="10" s="1"/>
  <c r="AH169" i="10"/>
  <c r="W169" i="10"/>
  <c r="V169" i="10"/>
  <c r="X169" i="10"/>
  <c r="Z169" i="10" s="1"/>
  <c r="AH168" i="10"/>
  <c r="W168" i="10"/>
  <c r="V168" i="10"/>
  <c r="X168" i="10"/>
  <c r="Z168" i="10" s="1"/>
  <c r="AH167" i="10"/>
  <c r="W167" i="10"/>
  <c r="V167" i="10"/>
  <c r="X167" i="10"/>
  <c r="Z167" i="10" s="1"/>
  <c r="AH166" i="10"/>
  <c r="X166" i="10"/>
  <c r="Z166" i="10" s="1"/>
  <c r="W166" i="10"/>
  <c r="V166" i="10"/>
  <c r="AH165" i="10"/>
  <c r="W165" i="10"/>
  <c r="V165" i="10"/>
  <c r="X165" i="10"/>
  <c r="Z165" i="10" s="1"/>
  <c r="AH164" i="10"/>
  <c r="W164" i="10"/>
  <c r="V164" i="10"/>
  <c r="X164" i="10"/>
  <c r="Z164" i="10" s="1"/>
  <c r="AH163" i="10"/>
  <c r="W163" i="10"/>
  <c r="V163" i="10"/>
  <c r="X163" i="10"/>
  <c r="Z163" i="10" s="1"/>
  <c r="AH162" i="10"/>
  <c r="X162" i="10"/>
  <c r="Z162" i="10" s="1"/>
  <c r="W162" i="10"/>
  <c r="V162" i="10"/>
  <c r="AH161" i="10"/>
  <c r="W161" i="10"/>
  <c r="V161" i="10"/>
  <c r="X161" i="10"/>
  <c r="Z161" i="10" s="1"/>
  <c r="AH160" i="10"/>
  <c r="W160" i="10"/>
  <c r="V160" i="10"/>
  <c r="X160" i="10"/>
  <c r="Z160" i="10" s="1"/>
  <c r="AH159" i="10"/>
  <c r="W159" i="10"/>
  <c r="V159" i="10"/>
  <c r="X159" i="10"/>
  <c r="Z159" i="10" s="1"/>
  <c r="AH158" i="10"/>
  <c r="X158" i="10"/>
  <c r="Z158" i="10" s="1"/>
  <c r="W158" i="10"/>
  <c r="V158" i="10"/>
  <c r="AH157" i="10"/>
  <c r="W157" i="10"/>
  <c r="V157" i="10"/>
  <c r="X157" i="10"/>
  <c r="Z157" i="10" s="1"/>
  <c r="AH156" i="10"/>
  <c r="W156" i="10"/>
  <c r="V156" i="10"/>
  <c r="X156" i="10"/>
  <c r="Z156" i="10" s="1"/>
  <c r="AH155" i="10"/>
  <c r="W155" i="10"/>
  <c r="V155" i="10"/>
  <c r="X155" i="10"/>
  <c r="Z155" i="10" s="1"/>
  <c r="AH154" i="10"/>
  <c r="W154" i="10"/>
  <c r="V154" i="10"/>
  <c r="X154" i="10"/>
  <c r="Z154" i="10" s="1"/>
  <c r="AH153" i="10"/>
  <c r="W153" i="10"/>
  <c r="V153" i="10"/>
  <c r="X153" i="10"/>
  <c r="Z153" i="10" s="1"/>
  <c r="AH152" i="10"/>
  <c r="W152" i="10"/>
  <c r="V152" i="10"/>
  <c r="X152" i="10"/>
  <c r="Z152" i="10" s="1"/>
  <c r="AH151" i="10"/>
  <c r="W151" i="10"/>
  <c r="V151" i="10"/>
  <c r="X151" i="10"/>
  <c r="Z151" i="10" s="1"/>
  <c r="AH150" i="10"/>
  <c r="W150" i="10"/>
  <c r="V150" i="10"/>
  <c r="X150" i="10"/>
  <c r="Z150" i="10" s="1"/>
  <c r="AH149" i="10"/>
  <c r="W149" i="10"/>
  <c r="V149" i="10"/>
  <c r="X149" i="10"/>
  <c r="Z149" i="10" s="1"/>
  <c r="AH148" i="10"/>
  <c r="X148" i="10"/>
  <c r="Z148" i="10" s="1"/>
  <c r="W148" i="10"/>
  <c r="V148" i="10"/>
  <c r="AH147" i="10"/>
  <c r="W147" i="10"/>
  <c r="V147" i="10"/>
  <c r="X147" i="10"/>
  <c r="Z147" i="10" s="1"/>
  <c r="AH146" i="10"/>
  <c r="W146" i="10"/>
  <c r="V146" i="10"/>
  <c r="X146" i="10"/>
  <c r="Z146" i="10" s="1"/>
  <c r="AH145" i="10"/>
  <c r="W145" i="10"/>
  <c r="V145" i="10"/>
  <c r="X145" i="10"/>
  <c r="Z145" i="10" s="1"/>
  <c r="AH144" i="10"/>
  <c r="W144" i="10"/>
  <c r="V144" i="10"/>
  <c r="X144" i="10"/>
  <c r="Z144" i="10" s="1"/>
  <c r="AH143" i="10"/>
  <c r="W143" i="10"/>
  <c r="V143" i="10"/>
  <c r="X143" i="10"/>
  <c r="Z143" i="10" s="1"/>
  <c r="AH142" i="10"/>
  <c r="X142" i="10"/>
  <c r="Z142" i="10" s="1"/>
  <c r="W142" i="10"/>
  <c r="V142" i="10"/>
  <c r="AH141" i="10"/>
  <c r="W141" i="10"/>
  <c r="V141" i="10"/>
  <c r="X141" i="10"/>
  <c r="Z141" i="10" s="1"/>
  <c r="AH140" i="10"/>
  <c r="X140" i="10"/>
  <c r="Z140" i="10" s="1"/>
  <c r="W140" i="10"/>
  <c r="V140" i="10"/>
  <c r="AH139" i="10"/>
  <c r="W139" i="10"/>
  <c r="V139" i="10"/>
  <c r="X139" i="10"/>
  <c r="Z139" i="10" s="1"/>
  <c r="AH138" i="10"/>
  <c r="W138" i="10"/>
  <c r="V138" i="10"/>
  <c r="X138" i="10"/>
  <c r="Z138" i="10" s="1"/>
  <c r="AH137" i="10"/>
  <c r="W137" i="10"/>
  <c r="V137" i="10"/>
  <c r="X137" i="10"/>
  <c r="Z137" i="10" s="1"/>
  <c r="AH136" i="10"/>
  <c r="W136" i="10"/>
  <c r="V136" i="10"/>
  <c r="X136" i="10"/>
  <c r="Z136" i="10" s="1"/>
  <c r="AH135" i="10"/>
  <c r="W135" i="10"/>
  <c r="V135" i="10"/>
  <c r="X135" i="10"/>
  <c r="Z135" i="10" s="1"/>
  <c r="AH134" i="10"/>
  <c r="W134" i="10"/>
  <c r="V134" i="10"/>
  <c r="X134" i="10"/>
  <c r="Z134" i="10" s="1"/>
  <c r="AH133" i="10"/>
  <c r="W133" i="10"/>
  <c r="V133" i="10"/>
  <c r="X133" i="10"/>
  <c r="Z133" i="10" s="1"/>
  <c r="AH132" i="10"/>
  <c r="X132" i="10"/>
  <c r="Z132" i="10" s="1"/>
  <c r="W132" i="10"/>
  <c r="V132" i="10"/>
  <c r="AH131" i="10"/>
  <c r="W131" i="10"/>
  <c r="V131" i="10"/>
  <c r="X131" i="10"/>
  <c r="Z131" i="10" s="1"/>
  <c r="AH130" i="10"/>
  <c r="X130" i="10"/>
  <c r="Z130" i="10" s="1"/>
  <c r="W130" i="10"/>
  <c r="V130" i="10"/>
  <c r="AH129" i="10"/>
  <c r="W129" i="10"/>
  <c r="V129" i="10"/>
  <c r="X129" i="10"/>
  <c r="Z129" i="10" s="1"/>
  <c r="AH128" i="10"/>
  <c r="W128" i="10"/>
  <c r="V128" i="10"/>
  <c r="X128" i="10"/>
  <c r="Z128" i="10" s="1"/>
  <c r="AH127" i="10"/>
  <c r="W127" i="10"/>
  <c r="V127" i="10"/>
  <c r="X127" i="10"/>
  <c r="Z127" i="10" s="1"/>
  <c r="AH126" i="10"/>
  <c r="X126" i="10"/>
  <c r="Z126" i="10" s="1"/>
  <c r="W126" i="10"/>
  <c r="V126" i="10"/>
  <c r="AH125" i="10"/>
  <c r="W125" i="10"/>
  <c r="V125" i="10"/>
  <c r="X125" i="10"/>
  <c r="Z125" i="10" s="1"/>
  <c r="AH124" i="10"/>
  <c r="W124" i="10"/>
  <c r="V124" i="10"/>
  <c r="X124" i="10"/>
  <c r="Z124" i="10" s="1"/>
  <c r="AH123" i="10"/>
  <c r="W123" i="10"/>
  <c r="V123" i="10"/>
  <c r="X123" i="10"/>
  <c r="Z123" i="10" s="1"/>
  <c r="AH122" i="10"/>
  <c r="X122" i="10"/>
  <c r="Z122" i="10" s="1"/>
  <c r="W122" i="10"/>
  <c r="V122" i="10"/>
  <c r="AH121" i="10"/>
  <c r="W121" i="10"/>
  <c r="V121" i="10"/>
  <c r="X121" i="10"/>
  <c r="Z121" i="10" s="1"/>
  <c r="AH120" i="10"/>
  <c r="W120" i="10"/>
  <c r="V120" i="10"/>
  <c r="X120" i="10"/>
  <c r="Z120" i="10" s="1"/>
  <c r="AH119" i="10"/>
  <c r="W119" i="10"/>
  <c r="V119" i="10"/>
  <c r="X119" i="10"/>
  <c r="Z119" i="10" s="1"/>
  <c r="AH118" i="10"/>
  <c r="X118" i="10"/>
  <c r="Z118" i="10" s="1"/>
  <c r="W118" i="10"/>
  <c r="V118" i="10"/>
  <c r="AH117" i="10"/>
  <c r="W117" i="10"/>
  <c r="V117" i="10"/>
  <c r="X117" i="10"/>
  <c r="Z117" i="10" s="1"/>
  <c r="AH116" i="10"/>
  <c r="X116" i="10"/>
  <c r="Z116" i="10" s="1"/>
  <c r="W116" i="10"/>
  <c r="V116" i="10"/>
  <c r="AH115" i="10"/>
  <c r="W115" i="10"/>
  <c r="V115" i="10"/>
  <c r="X115" i="10"/>
  <c r="Z115" i="10" s="1"/>
  <c r="AH114" i="10"/>
  <c r="W114" i="10"/>
  <c r="V114" i="10"/>
  <c r="X114" i="10"/>
  <c r="Z114" i="10" s="1"/>
  <c r="AH113" i="10"/>
  <c r="W113" i="10"/>
  <c r="V113" i="10"/>
  <c r="X113" i="10"/>
  <c r="Z113" i="10" s="1"/>
  <c r="AH112" i="10"/>
  <c r="W112" i="10"/>
  <c r="V112" i="10"/>
  <c r="X112" i="10"/>
  <c r="Z112" i="10" s="1"/>
  <c r="AH111" i="10"/>
  <c r="W111" i="10"/>
  <c r="V111" i="10"/>
  <c r="X111" i="10"/>
  <c r="Z111" i="10" s="1"/>
  <c r="AH110" i="10"/>
  <c r="W110" i="10"/>
  <c r="V110" i="10"/>
  <c r="X110" i="10"/>
  <c r="Z110" i="10" s="1"/>
  <c r="AH109" i="10"/>
  <c r="W109" i="10"/>
  <c r="V109" i="10"/>
  <c r="X109" i="10"/>
  <c r="Z109" i="10" s="1"/>
  <c r="AH108" i="10"/>
  <c r="X108" i="10"/>
  <c r="Z108" i="10" s="1"/>
  <c r="W108" i="10"/>
  <c r="V108" i="10"/>
  <c r="AH107" i="10"/>
  <c r="W107" i="10"/>
  <c r="V107" i="10"/>
  <c r="X107" i="10"/>
  <c r="Z107" i="10" s="1"/>
  <c r="AH106" i="10"/>
  <c r="W106" i="10"/>
  <c r="V106" i="10"/>
  <c r="X106" i="10"/>
  <c r="Z106" i="10" s="1"/>
  <c r="AH105" i="10"/>
  <c r="W105" i="10"/>
  <c r="V105" i="10"/>
  <c r="X105" i="10"/>
  <c r="Z105" i="10" s="1"/>
  <c r="AH104" i="10"/>
  <c r="W104" i="10"/>
  <c r="V104" i="10"/>
  <c r="X104" i="10"/>
  <c r="Z104" i="10" s="1"/>
  <c r="AH103" i="10"/>
  <c r="W103" i="10"/>
  <c r="V103" i="10"/>
  <c r="X103" i="10"/>
  <c r="Z103" i="10" s="1"/>
  <c r="AH102" i="10"/>
  <c r="X102" i="10"/>
  <c r="Z102" i="10" s="1"/>
  <c r="W102" i="10"/>
  <c r="V102" i="10"/>
  <c r="AH101" i="10"/>
  <c r="W101" i="10"/>
  <c r="V101" i="10"/>
  <c r="X101" i="10"/>
  <c r="Z101" i="10" s="1"/>
  <c r="AH100" i="10"/>
  <c r="X100" i="10"/>
  <c r="Z100" i="10" s="1"/>
  <c r="W100" i="10"/>
  <c r="V100" i="10"/>
  <c r="AH99" i="10"/>
  <c r="W99" i="10"/>
  <c r="V99" i="10"/>
  <c r="X99" i="10"/>
  <c r="Z99" i="10" s="1"/>
  <c r="AH98" i="10"/>
  <c r="W98" i="10"/>
  <c r="V98" i="10"/>
  <c r="X98" i="10"/>
  <c r="Z98" i="10" s="1"/>
  <c r="AH97" i="10"/>
  <c r="W97" i="10"/>
  <c r="V97" i="10"/>
  <c r="X97" i="10"/>
  <c r="Z97" i="10" s="1"/>
  <c r="AH96" i="10"/>
  <c r="W96" i="10"/>
  <c r="V96" i="10"/>
  <c r="X96" i="10"/>
  <c r="Z96" i="10" s="1"/>
  <c r="AH95" i="10"/>
  <c r="W95" i="10"/>
  <c r="V95" i="10"/>
  <c r="X95" i="10"/>
  <c r="Z95" i="10" s="1"/>
  <c r="AH94" i="10"/>
  <c r="X94" i="10"/>
  <c r="Z94" i="10" s="1"/>
  <c r="W94" i="10"/>
  <c r="V94" i="10"/>
  <c r="AH93" i="10"/>
  <c r="W93" i="10"/>
  <c r="V93" i="10"/>
  <c r="X93" i="10"/>
  <c r="Z93" i="10" s="1"/>
  <c r="AH92" i="10"/>
  <c r="X92" i="10"/>
  <c r="Z92" i="10" s="1"/>
  <c r="W92" i="10"/>
  <c r="V92" i="10"/>
  <c r="AH91" i="10"/>
  <c r="W91" i="10"/>
  <c r="V91" i="10"/>
  <c r="X91" i="10"/>
  <c r="Z91" i="10" s="1"/>
  <c r="AH90" i="10"/>
  <c r="W90" i="10"/>
  <c r="V90" i="10"/>
  <c r="X90" i="10"/>
  <c r="Z90" i="10" s="1"/>
  <c r="AH89" i="10"/>
  <c r="W89" i="10"/>
  <c r="V89" i="10"/>
  <c r="X89" i="10"/>
  <c r="Z89" i="10" s="1"/>
  <c r="AH88" i="10"/>
  <c r="W88" i="10"/>
  <c r="V88" i="10"/>
  <c r="X88" i="10"/>
  <c r="Z88" i="10" s="1"/>
  <c r="AH87" i="10"/>
  <c r="AG87" i="10"/>
  <c r="V87" i="10"/>
  <c r="W87" i="10" s="1"/>
  <c r="X87" i="10"/>
  <c r="Z87" i="10" s="1"/>
  <c r="K87" i="10"/>
  <c r="AH86" i="10"/>
  <c r="AG86" i="10"/>
  <c r="V86" i="10"/>
  <c r="W86" i="10" s="1"/>
  <c r="X86" i="10"/>
  <c r="Z86" i="10" s="1"/>
  <c r="K86" i="10"/>
  <c r="AH85" i="10"/>
  <c r="AG85" i="10"/>
  <c r="V85" i="10"/>
  <c r="W85" i="10" s="1"/>
  <c r="X85" i="10"/>
  <c r="Z85" i="10" s="1"/>
  <c r="K85" i="10"/>
  <c r="AH84" i="10"/>
  <c r="W84" i="10"/>
  <c r="V84" i="10"/>
  <c r="AG84" i="10" s="1"/>
  <c r="X84" i="10"/>
  <c r="Z84" i="10" s="1"/>
  <c r="K84" i="10"/>
  <c r="AH83" i="10"/>
  <c r="AG83" i="10"/>
  <c r="V83" i="10"/>
  <c r="W83" i="10" s="1"/>
  <c r="X83" i="10"/>
  <c r="Z83" i="10" s="1"/>
  <c r="K83" i="10"/>
  <c r="AH82" i="10"/>
  <c r="V82" i="10"/>
  <c r="W82" i="10" s="1"/>
  <c r="X82" i="10"/>
  <c r="Z82" i="10" s="1"/>
  <c r="K82" i="10"/>
  <c r="AH81" i="10"/>
  <c r="V81" i="10"/>
  <c r="W81" i="10" s="1"/>
  <c r="X81" i="10"/>
  <c r="Z81" i="10" s="1"/>
  <c r="K81" i="10"/>
  <c r="AH80" i="10"/>
  <c r="V80" i="10"/>
  <c r="AG80" i="10" s="1"/>
  <c r="X80" i="10"/>
  <c r="Z80" i="10" s="1"/>
  <c r="K80" i="10"/>
  <c r="AH79" i="10"/>
  <c r="AG79" i="10"/>
  <c r="V79" i="10"/>
  <c r="W79" i="10" s="1"/>
  <c r="X79" i="10"/>
  <c r="Z79" i="10" s="1"/>
  <c r="K79" i="10"/>
  <c r="AH78" i="10"/>
  <c r="V78" i="10"/>
  <c r="W78" i="10" s="1"/>
  <c r="X78" i="10"/>
  <c r="Z78" i="10" s="1"/>
  <c r="K78" i="10"/>
  <c r="AH77" i="10"/>
  <c r="V77" i="10"/>
  <c r="W77" i="10" s="1"/>
  <c r="X77" i="10"/>
  <c r="Z77" i="10" s="1"/>
  <c r="K77" i="10"/>
  <c r="AH76" i="10"/>
  <c r="W76" i="10"/>
  <c r="V76" i="10"/>
  <c r="AG76" i="10" s="1"/>
  <c r="X76" i="10"/>
  <c r="Z76" i="10" s="1"/>
  <c r="K76" i="10"/>
  <c r="AH75" i="10"/>
  <c r="AG75" i="10"/>
  <c r="V75" i="10"/>
  <c r="W75" i="10" s="1"/>
  <c r="X75" i="10"/>
  <c r="Z75" i="10" s="1"/>
  <c r="K75" i="10"/>
  <c r="AH74" i="10"/>
  <c r="AG74" i="10"/>
  <c r="V74" i="10"/>
  <c r="W74" i="10" s="1"/>
  <c r="X74" i="10"/>
  <c r="Z74" i="10" s="1"/>
  <c r="K74" i="10"/>
  <c r="AH73" i="10"/>
  <c r="AG73" i="10"/>
  <c r="V73" i="10"/>
  <c r="W73" i="10" s="1"/>
  <c r="X73" i="10"/>
  <c r="Z73" i="10" s="1"/>
  <c r="K73" i="10"/>
  <c r="AH72" i="10"/>
  <c r="W72" i="10"/>
  <c r="V72" i="10"/>
  <c r="AG72" i="10" s="1"/>
  <c r="X72" i="10"/>
  <c r="Z72" i="10" s="1"/>
  <c r="K72" i="10"/>
  <c r="AH71" i="10"/>
  <c r="V71" i="10"/>
  <c r="AG71" i="10" s="1"/>
  <c r="X71" i="10"/>
  <c r="Z71" i="10" s="1"/>
  <c r="K71" i="10"/>
  <c r="AH70" i="10"/>
  <c r="W70" i="10"/>
  <c r="V70" i="10"/>
  <c r="AG70" i="10" s="1"/>
  <c r="X70" i="10"/>
  <c r="Z70" i="10" s="1"/>
  <c r="K70" i="10"/>
  <c r="AH69" i="10"/>
  <c r="W69" i="10"/>
  <c r="V69" i="10"/>
  <c r="AG69" i="10" s="1"/>
  <c r="X69" i="10"/>
  <c r="Z69" i="10" s="1"/>
  <c r="K69" i="10"/>
  <c r="AH68" i="10"/>
  <c r="W68" i="10"/>
  <c r="V68" i="10"/>
  <c r="AG68" i="10" s="1"/>
  <c r="X68" i="10"/>
  <c r="Z68" i="10" s="1"/>
  <c r="K68" i="10"/>
  <c r="AH67" i="10"/>
  <c r="V67" i="10"/>
  <c r="AG67" i="10" s="1"/>
  <c r="X67" i="10"/>
  <c r="Z67" i="10" s="1"/>
  <c r="K67" i="10"/>
  <c r="AH66" i="10"/>
  <c r="W66" i="10"/>
  <c r="V66" i="10"/>
  <c r="AG66" i="10" s="1"/>
  <c r="X66" i="10"/>
  <c r="Z66" i="10" s="1"/>
  <c r="K66" i="10"/>
  <c r="AH65" i="10"/>
  <c r="V65" i="10"/>
  <c r="W65" i="10" s="1"/>
  <c r="X65" i="10"/>
  <c r="Z65" i="10" s="1"/>
  <c r="K65" i="10"/>
  <c r="AH64" i="10"/>
  <c r="W64" i="10"/>
  <c r="V64" i="10"/>
  <c r="AG64" i="10" s="1"/>
  <c r="X64" i="10"/>
  <c r="Z64" i="10" s="1"/>
  <c r="K64" i="10"/>
  <c r="AH63" i="10"/>
  <c r="V63" i="10"/>
  <c r="AG63" i="10" s="1"/>
  <c r="X63" i="10"/>
  <c r="Z63" i="10" s="1"/>
  <c r="K63" i="10"/>
  <c r="AH62" i="10"/>
  <c r="W62" i="10"/>
  <c r="V62" i="10"/>
  <c r="AG62" i="10" s="1"/>
  <c r="X62" i="10"/>
  <c r="Z62" i="10" s="1"/>
  <c r="K62" i="10"/>
  <c r="AH61" i="10"/>
  <c r="V61" i="10"/>
  <c r="W61" i="10" s="1"/>
  <c r="X61" i="10"/>
  <c r="Z61" i="10" s="1"/>
  <c r="K61" i="10"/>
  <c r="AH60" i="10"/>
  <c r="W60" i="10"/>
  <c r="V60" i="10"/>
  <c r="AG60" i="10" s="1"/>
  <c r="X60" i="10"/>
  <c r="Z60" i="10" s="1"/>
  <c r="K60" i="10"/>
  <c r="AH59" i="10"/>
  <c r="V59" i="10"/>
  <c r="AG59" i="10" s="1"/>
  <c r="X59" i="10"/>
  <c r="Z59" i="10" s="1"/>
  <c r="K59" i="10"/>
  <c r="AH58" i="10"/>
  <c r="W58" i="10"/>
  <c r="V58" i="10"/>
  <c r="AG58" i="10" s="1"/>
  <c r="X58" i="10"/>
  <c r="Z58" i="10" s="1"/>
  <c r="K58" i="10"/>
  <c r="AH57" i="10"/>
  <c r="W57" i="10"/>
  <c r="V57" i="10"/>
  <c r="AG57" i="10" s="1"/>
  <c r="X57" i="10"/>
  <c r="Z57" i="10" s="1"/>
  <c r="K57" i="10"/>
  <c r="AH56" i="10"/>
  <c r="W56" i="10"/>
  <c r="V56" i="10"/>
  <c r="AG56" i="10" s="1"/>
  <c r="X56" i="10"/>
  <c r="Z56" i="10" s="1"/>
  <c r="K56" i="10"/>
  <c r="AH55" i="10"/>
  <c r="V55" i="10"/>
  <c r="AG55" i="10" s="1"/>
  <c r="X55" i="10"/>
  <c r="Z55" i="10" s="1"/>
  <c r="K55" i="10"/>
  <c r="AH54" i="10"/>
  <c r="W54" i="10"/>
  <c r="V54" i="10"/>
  <c r="AG54" i="10" s="1"/>
  <c r="X54" i="10"/>
  <c r="Z54" i="10" s="1"/>
  <c r="K54" i="10"/>
  <c r="AH53" i="10"/>
  <c r="W53" i="10"/>
  <c r="V53" i="10"/>
  <c r="AG53" i="10" s="1"/>
  <c r="X53" i="10"/>
  <c r="Z53" i="10" s="1"/>
  <c r="K53" i="10"/>
  <c r="AH52" i="10"/>
  <c r="W52" i="10"/>
  <c r="V52" i="10"/>
  <c r="AG52" i="10" s="1"/>
  <c r="X52" i="10"/>
  <c r="Z52" i="10" s="1"/>
  <c r="K52" i="10"/>
  <c r="AH51" i="10"/>
  <c r="V51" i="10"/>
  <c r="AG51" i="10" s="1"/>
  <c r="X51" i="10"/>
  <c r="Z51" i="10" s="1"/>
  <c r="K51" i="10"/>
  <c r="AH50" i="10"/>
  <c r="W50" i="10"/>
  <c r="V50" i="10"/>
  <c r="AG50" i="10" s="1"/>
  <c r="X50" i="10"/>
  <c r="Z50" i="10" s="1"/>
  <c r="K50" i="10"/>
  <c r="AH49" i="10"/>
  <c r="W49" i="10"/>
  <c r="V49" i="10"/>
  <c r="AG49" i="10" s="1"/>
  <c r="X49" i="10"/>
  <c r="Z49" i="10" s="1"/>
  <c r="K49" i="10"/>
  <c r="AH48" i="10"/>
  <c r="W48" i="10"/>
  <c r="V48" i="10"/>
  <c r="AG48" i="10" s="1"/>
  <c r="X48" i="10"/>
  <c r="Z48" i="10" s="1"/>
  <c r="K48" i="10"/>
  <c r="AH47" i="10"/>
  <c r="AG47" i="10"/>
  <c r="V47" i="10"/>
  <c r="W47" i="10" s="1"/>
  <c r="X47" i="10"/>
  <c r="Z47" i="10" s="1"/>
  <c r="K47" i="10"/>
  <c r="AH46" i="10"/>
  <c r="W46" i="10"/>
  <c r="V46" i="10"/>
  <c r="AG46" i="10" s="1"/>
  <c r="X46" i="10"/>
  <c r="Z46" i="10" s="1"/>
  <c r="K46" i="10"/>
  <c r="AH45" i="10"/>
  <c r="W45" i="10"/>
  <c r="V45" i="10"/>
  <c r="AG45" i="10" s="1"/>
  <c r="X45" i="10"/>
  <c r="Z45" i="10" s="1"/>
  <c r="K45" i="10"/>
  <c r="AH44" i="10"/>
  <c r="W44" i="10"/>
  <c r="V44" i="10"/>
  <c r="AG44" i="10" s="1"/>
  <c r="X44" i="10"/>
  <c r="Z44" i="10" s="1"/>
  <c r="K44" i="10"/>
  <c r="AH43" i="10"/>
  <c r="AG43" i="10"/>
  <c r="V43" i="10"/>
  <c r="W43" i="10" s="1"/>
  <c r="X43" i="10"/>
  <c r="Z43" i="10" s="1"/>
  <c r="K43" i="10"/>
  <c r="AH42" i="10"/>
  <c r="W42" i="10"/>
  <c r="V42" i="10"/>
  <c r="AG42" i="10" s="1"/>
  <c r="X42" i="10"/>
  <c r="Z42" i="10" s="1"/>
  <c r="K42" i="10"/>
  <c r="AH41" i="10"/>
  <c r="W41" i="10"/>
  <c r="V41" i="10"/>
  <c r="AG41" i="10" s="1"/>
  <c r="X41" i="10"/>
  <c r="Z41" i="10" s="1"/>
  <c r="K41" i="10"/>
  <c r="AH40" i="10"/>
  <c r="W40" i="10"/>
  <c r="V40" i="10"/>
  <c r="AG40" i="10" s="1"/>
  <c r="X40" i="10"/>
  <c r="Z40" i="10" s="1"/>
  <c r="K40" i="10"/>
  <c r="AH39" i="10"/>
  <c r="AG39" i="10"/>
  <c r="V39" i="10"/>
  <c r="W39" i="10" s="1"/>
  <c r="X39" i="10"/>
  <c r="Z39" i="10" s="1"/>
  <c r="K39" i="10"/>
  <c r="AH38" i="10"/>
  <c r="W38" i="10"/>
  <c r="V38" i="10"/>
  <c r="AG38" i="10" s="1"/>
  <c r="X38" i="10"/>
  <c r="Z38" i="10" s="1"/>
  <c r="K38" i="10"/>
  <c r="AH37" i="10"/>
  <c r="W37" i="10"/>
  <c r="V37" i="10"/>
  <c r="AG37" i="10" s="1"/>
  <c r="X37" i="10"/>
  <c r="Z37" i="10" s="1"/>
  <c r="K37" i="10"/>
  <c r="AH36" i="10"/>
  <c r="W36" i="10"/>
  <c r="V36" i="10"/>
  <c r="AG36" i="10" s="1"/>
  <c r="X36" i="10"/>
  <c r="Z36" i="10" s="1"/>
  <c r="K36" i="10"/>
  <c r="AH35" i="10"/>
  <c r="AG35" i="10"/>
  <c r="V35" i="10"/>
  <c r="W35" i="10" s="1"/>
  <c r="X35" i="10"/>
  <c r="Z35" i="10" s="1"/>
  <c r="K35" i="10"/>
  <c r="AH34" i="10"/>
  <c r="W34" i="10"/>
  <c r="V34" i="10"/>
  <c r="AG34" i="10" s="1"/>
  <c r="X34" i="10"/>
  <c r="Z34" i="10" s="1"/>
  <c r="K34" i="10"/>
  <c r="AH33" i="10"/>
  <c r="W33" i="10"/>
  <c r="V33" i="10"/>
  <c r="AG33" i="10" s="1"/>
  <c r="X33" i="10"/>
  <c r="Z33" i="10" s="1"/>
  <c r="K33" i="10"/>
  <c r="AH32" i="10"/>
  <c r="W32" i="10"/>
  <c r="V32" i="10"/>
  <c r="AG32" i="10" s="1"/>
  <c r="X32" i="10"/>
  <c r="Z32" i="10" s="1"/>
  <c r="K32" i="10"/>
  <c r="AH31" i="10"/>
  <c r="AG31" i="10"/>
  <c r="V31" i="10"/>
  <c r="W31" i="10" s="1"/>
  <c r="X31" i="10"/>
  <c r="Z31" i="10" s="1"/>
  <c r="K31" i="10"/>
  <c r="AH30" i="10"/>
  <c r="W30" i="10"/>
  <c r="V30" i="10"/>
  <c r="AG30" i="10" s="1"/>
  <c r="X30" i="10"/>
  <c r="Z30" i="10" s="1"/>
  <c r="K30" i="10"/>
  <c r="AH29" i="10"/>
  <c r="W29" i="10"/>
  <c r="V29" i="10"/>
  <c r="AG29" i="10" s="1"/>
  <c r="X29" i="10"/>
  <c r="Z29" i="10" s="1"/>
  <c r="K29" i="10"/>
  <c r="AH28" i="10"/>
  <c r="W28" i="10"/>
  <c r="V28" i="10"/>
  <c r="AG28" i="10" s="1"/>
  <c r="X28" i="10"/>
  <c r="Z28" i="10" s="1"/>
  <c r="K28" i="10"/>
  <c r="AH27" i="10"/>
  <c r="AG27" i="10"/>
  <c r="V27" i="10"/>
  <c r="W27" i="10" s="1"/>
  <c r="X27" i="10"/>
  <c r="Z27" i="10" s="1"/>
  <c r="K27" i="10"/>
  <c r="AH26" i="10"/>
  <c r="W26" i="10"/>
  <c r="V26" i="10"/>
  <c r="AG26" i="10" s="1"/>
  <c r="X26" i="10"/>
  <c r="Z26" i="10" s="1"/>
  <c r="K26" i="10"/>
  <c r="AH25" i="10"/>
  <c r="W25" i="10"/>
  <c r="V25" i="10"/>
  <c r="AG25" i="10" s="1"/>
  <c r="X25" i="10"/>
  <c r="Z25" i="10" s="1"/>
  <c r="K25" i="10"/>
  <c r="AH24" i="10"/>
  <c r="W24" i="10"/>
  <c r="V24" i="10"/>
  <c r="AG24" i="10" s="1"/>
  <c r="X24" i="10"/>
  <c r="Z24" i="10" s="1"/>
  <c r="K24" i="10"/>
  <c r="AH23" i="10"/>
  <c r="AG23" i="10"/>
  <c r="V23" i="10"/>
  <c r="W23" i="10" s="1"/>
  <c r="X23" i="10"/>
  <c r="Z23" i="10" s="1"/>
  <c r="K23" i="10"/>
  <c r="AH22" i="10"/>
  <c r="W22" i="10"/>
  <c r="V22" i="10"/>
  <c r="AG22" i="10" s="1"/>
  <c r="X22" i="10"/>
  <c r="Z22" i="10" s="1"/>
  <c r="K22" i="10"/>
  <c r="AH21" i="10"/>
  <c r="AG21" i="10"/>
  <c r="W21" i="10"/>
  <c r="V21" i="10"/>
  <c r="X21" i="10"/>
  <c r="Z21" i="10" s="1"/>
  <c r="K21" i="10"/>
  <c r="AH20" i="10"/>
  <c r="W20" i="10"/>
  <c r="V20" i="10"/>
  <c r="AG20" i="10" s="1"/>
  <c r="X20" i="10"/>
  <c r="Z20" i="10" s="1"/>
  <c r="K20" i="10"/>
  <c r="AH19" i="10"/>
  <c r="AG19" i="10"/>
  <c r="V19" i="10"/>
  <c r="W19" i="10" s="1"/>
  <c r="X19" i="10"/>
  <c r="Z19" i="10" s="1"/>
  <c r="K19" i="10"/>
  <c r="AH18" i="10"/>
  <c r="X18" i="10"/>
  <c r="Z18" i="10" s="1"/>
  <c r="W18" i="10"/>
  <c r="V18" i="10"/>
  <c r="AG18" i="10" s="1"/>
  <c r="K18" i="10"/>
  <c r="AH17" i="10"/>
  <c r="AG17" i="10"/>
  <c r="W17" i="10"/>
  <c r="V17" i="10"/>
  <c r="X17" i="10"/>
  <c r="Z17" i="10" s="1"/>
  <c r="K17" i="10"/>
  <c r="AH16" i="10"/>
  <c r="X16" i="10"/>
  <c r="Z16" i="10" s="1"/>
  <c r="W16" i="10"/>
  <c r="V16" i="10"/>
  <c r="AG16" i="10" s="1"/>
  <c r="K16" i="10"/>
  <c r="AH15" i="10"/>
  <c r="AG15" i="10"/>
  <c r="V15" i="10"/>
  <c r="W15" i="10" s="1"/>
  <c r="X15" i="10"/>
  <c r="Z15" i="10" s="1"/>
  <c r="K15" i="10"/>
  <c r="AH14" i="10"/>
  <c r="W14" i="10"/>
  <c r="V14" i="10"/>
  <c r="AG14" i="10" s="1"/>
  <c r="X14" i="10"/>
  <c r="Z14" i="10" s="1"/>
  <c r="K14" i="10"/>
  <c r="AH13" i="10"/>
  <c r="AG13" i="10"/>
  <c r="W13" i="10"/>
  <c r="V13" i="10"/>
  <c r="X13" i="10"/>
  <c r="Z13" i="10" s="1"/>
  <c r="K13" i="10"/>
  <c r="AH12" i="10"/>
  <c r="W12" i="10"/>
  <c r="V12" i="10"/>
  <c r="AG12" i="10" s="1"/>
  <c r="X12" i="10"/>
  <c r="Z12" i="10" s="1"/>
  <c r="K12" i="10"/>
  <c r="AH11" i="10"/>
  <c r="AG11" i="10"/>
  <c r="V11" i="10"/>
  <c r="W11" i="10" s="1"/>
  <c r="X11" i="10"/>
  <c r="Z11" i="10" s="1"/>
  <c r="K11" i="10"/>
  <c r="AH10" i="10"/>
  <c r="W10" i="10"/>
  <c r="V10" i="10"/>
  <c r="AG10" i="10" s="1"/>
  <c r="X10" i="10"/>
  <c r="Z10" i="10" s="1"/>
  <c r="K10" i="10"/>
  <c r="AH9" i="10"/>
  <c r="W9" i="10"/>
  <c r="V9" i="10"/>
  <c r="AG9" i="10" s="1"/>
  <c r="X9" i="10"/>
  <c r="Z9" i="10" s="1"/>
  <c r="K9" i="10"/>
  <c r="AH8" i="10"/>
  <c r="W8" i="10"/>
  <c r="V8" i="10"/>
  <c r="AG8" i="10" s="1"/>
  <c r="X8" i="10"/>
  <c r="Z8" i="10" s="1"/>
  <c r="K8" i="10"/>
  <c r="AH7" i="10"/>
  <c r="W7" i="10"/>
  <c r="V7" i="10"/>
  <c r="AG7" i="10" s="1"/>
  <c r="X7" i="10"/>
  <c r="Z7" i="10" s="1"/>
  <c r="K7" i="10"/>
  <c r="AH6" i="10"/>
  <c r="W6" i="10"/>
  <c r="V6" i="10"/>
  <c r="AG6" i="10" s="1"/>
  <c r="X6" i="10"/>
  <c r="Z6" i="10" s="1"/>
  <c r="K6" i="10"/>
  <c r="AH5" i="10"/>
  <c r="W5" i="10"/>
  <c r="V5" i="10"/>
  <c r="AG5" i="10" s="1"/>
  <c r="X5" i="10"/>
  <c r="Z5" i="10" s="1"/>
  <c r="K5" i="10"/>
  <c r="AH4" i="10"/>
  <c r="W4" i="10"/>
  <c r="V4" i="10"/>
  <c r="AG4" i="10" s="1"/>
  <c r="X4" i="10"/>
  <c r="Z4" i="10" s="1"/>
  <c r="K4" i="10"/>
  <c r="AH3" i="10"/>
  <c r="W3" i="10"/>
  <c r="V3" i="10"/>
  <c r="AG3" i="10" s="1"/>
  <c r="X3" i="10"/>
  <c r="Z3" i="10" s="1"/>
  <c r="K3" i="10"/>
  <c r="AH2" i="10"/>
  <c r="W2" i="10"/>
  <c r="V2" i="10"/>
  <c r="AG2" i="10" s="1"/>
  <c r="X2" i="10"/>
  <c r="Z2" i="10" s="1"/>
  <c r="K2" i="10"/>
  <c r="AL267" i="9"/>
  <c r="AN267" i="9" s="1"/>
  <c r="AI267" i="9"/>
  <c r="AH267" i="9"/>
  <c r="AK267" i="9" s="1"/>
  <c r="AL266" i="9"/>
  <c r="AI266" i="9"/>
  <c r="AH266" i="9"/>
  <c r="AK266" i="9" s="1"/>
  <c r="AL265" i="9"/>
  <c r="AM265" i="9" s="1"/>
  <c r="AP265" i="9" s="1"/>
  <c r="AI265" i="9"/>
  <c r="AH265" i="9"/>
  <c r="AK265" i="9" s="1"/>
  <c r="AL264" i="9"/>
  <c r="AN264" i="9" s="1"/>
  <c r="AI264" i="9"/>
  <c r="AH264" i="9"/>
  <c r="AK264" i="9" s="1"/>
  <c r="AL263" i="9"/>
  <c r="AN263" i="9" s="1"/>
  <c r="AI263" i="9"/>
  <c r="AH263" i="9"/>
  <c r="AK263" i="9" s="1"/>
  <c r="AL262" i="9"/>
  <c r="AN262" i="9" s="1"/>
  <c r="AI262" i="9"/>
  <c r="AH262" i="9"/>
  <c r="AK262" i="9" s="1"/>
  <c r="AL261" i="9"/>
  <c r="AN261" i="9" s="1"/>
  <c r="AI261" i="9"/>
  <c r="AH261" i="9"/>
  <c r="AK261" i="9" s="1"/>
  <c r="AL260" i="9"/>
  <c r="AN260" i="9" s="1"/>
  <c r="AI260" i="9"/>
  <c r="AH260" i="9"/>
  <c r="AK260" i="9" s="1"/>
  <c r="AL259" i="9"/>
  <c r="AN259" i="9" s="1"/>
  <c r="AI259" i="9"/>
  <c r="AH259" i="9"/>
  <c r="AK259" i="9" s="1"/>
  <c r="AL258" i="9"/>
  <c r="AI258" i="9"/>
  <c r="AH258" i="9"/>
  <c r="AK258" i="9" s="1"/>
  <c r="AL257" i="9"/>
  <c r="AN257" i="9" s="1"/>
  <c r="AI257" i="9"/>
  <c r="AH257" i="9"/>
  <c r="AK257" i="9" s="1"/>
  <c r="AL256" i="9"/>
  <c r="AN256" i="9" s="1"/>
  <c r="AI256" i="9"/>
  <c r="AH256" i="9"/>
  <c r="AK256" i="9" s="1"/>
  <c r="AL255" i="9"/>
  <c r="AN255" i="9" s="1"/>
  <c r="AI255" i="9"/>
  <c r="AH255" i="9"/>
  <c r="AK255" i="9" s="1"/>
  <c r="AL254" i="9"/>
  <c r="AI254" i="9"/>
  <c r="AH254" i="9"/>
  <c r="AK254" i="9" s="1"/>
  <c r="AL253" i="9"/>
  <c r="AN253" i="9" s="1"/>
  <c r="AH253" i="9"/>
  <c r="AK253" i="9" s="1"/>
  <c r="AL252" i="9"/>
  <c r="AN252" i="9" s="1"/>
  <c r="AI252" i="9"/>
  <c r="AH252" i="9"/>
  <c r="AK252" i="9" s="1"/>
  <c r="AL251" i="9"/>
  <c r="AN251" i="9" s="1"/>
  <c r="AH251" i="9"/>
  <c r="AK251" i="9" s="1"/>
  <c r="AL250" i="9"/>
  <c r="AI250" i="9"/>
  <c r="AH250" i="9"/>
  <c r="AK250" i="9" s="1"/>
  <c r="AL249" i="9"/>
  <c r="AN249" i="9" s="1"/>
  <c r="AI249" i="9"/>
  <c r="AH249" i="9"/>
  <c r="AK249" i="9" s="1"/>
  <c r="AL248" i="9"/>
  <c r="AN248" i="9" s="1"/>
  <c r="AI248" i="9"/>
  <c r="AH248" i="9"/>
  <c r="AK248" i="9" s="1"/>
  <c r="AL247" i="9"/>
  <c r="AN247" i="9" s="1"/>
  <c r="AI247" i="9"/>
  <c r="AH247" i="9"/>
  <c r="AK247" i="9" s="1"/>
  <c r="AL246" i="9"/>
  <c r="AI246" i="9"/>
  <c r="AH246" i="9"/>
  <c r="AK246" i="9" s="1"/>
  <c r="AL245" i="9"/>
  <c r="AN245" i="9" s="1"/>
  <c r="AI245" i="9"/>
  <c r="AH245" i="9"/>
  <c r="AK245" i="9" s="1"/>
  <c r="AL244" i="9"/>
  <c r="AN244" i="9" s="1"/>
  <c r="AI244" i="9"/>
  <c r="AH244" i="9"/>
  <c r="AK244" i="9" s="1"/>
  <c r="AL243" i="9"/>
  <c r="AN243" i="9" s="1"/>
  <c r="AI243" i="9"/>
  <c r="AH243" i="9"/>
  <c r="AK243" i="9" s="1"/>
  <c r="AL242" i="9"/>
  <c r="AH242" i="9"/>
  <c r="AK242" i="9" s="1"/>
  <c r="AL241" i="9"/>
  <c r="AN241" i="9" s="1"/>
  <c r="AH241" i="9"/>
  <c r="AK241" i="9" s="1"/>
  <c r="AL240" i="9"/>
  <c r="AN240" i="9" s="1"/>
  <c r="AH240" i="9"/>
  <c r="AK240" i="9" s="1"/>
  <c r="AL239" i="9"/>
  <c r="AN239" i="9" s="1"/>
  <c r="AI239" i="9"/>
  <c r="AH239" i="9"/>
  <c r="AK239" i="9" s="1"/>
  <c r="AL238" i="9"/>
  <c r="AI238" i="9"/>
  <c r="AH238" i="9"/>
  <c r="AK238" i="9" s="1"/>
  <c r="AL237" i="9"/>
  <c r="AN237" i="9" s="1"/>
  <c r="AI237" i="9"/>
  <c r="AH237" i="9"/>
  <c r="AK237" i="9" s="1"/>
  <c r="AL236" i="9"/>
  <c r="AN236" i="9" s="1"/>
  <c r="AI236" i="9"/>
  <c r="AH236" i="9"/>
  <c r="AK236" i="9" s="1"/>
  <c r="AL235" i="9"/>
  <c r="AN235" i="9" s="1"/>
  <c r="AI235" i="9"/>
  <c r="AH235" i="9"/>
  <c r="AK235" i="9" s="1"/>
  <c r="AL234" i="9"/>
  <c r="AI234" i="9"/>
  <c r="AH234" i="9"/>
  <c r="AK234" i="9" s="1"/>
  <c r="AL233" i="9"/>
  <c r="AN233" i="9" s="1"/>
  <c r="AI233" i="9"/>
  <c r="AH233" i="9"/>
  <c r="AK233" i="9" s="1"/>
  <c r="AL232" i="9"/>
  <c r="AN232" i="9" s="1"/>
  <c r="AI232" i="9"/>
  <c r="AH232" i="9"/>
  <c r="AK232" i="9" s="1"/>
  <c r="AL231" i="9"/>
  <c r="AN231" i="9" s="1"/>
  <c r="AI231" i="9"/>
  <c r="AH231" i="9"/>
  <c r="AK231" i="9" s="1"/>
  <c r="AL230" i="9"/>
  <c r="AI230" i="9"/>
  <c r="AH230" i="9"/>
  <c r="AK230" i="9" s="1"/>
  <c r="AL229" i="9"/>
  <c r="AN229" i="9" s="1"/>
  <c r="AI229" i="9"/>
  <c r="AH229" i="9"/>
  <c r="AK229" i="9" s="1"/>
  <c r="AL228" i="9"/>
  <c r="AN228" i="9" s="1"/>
  <c r="AI228" i="9"/>
  <c r="AH228" i="9"/>
  <c r="AK228" i="9" s="1"/>
  <c r="AL227" i="9"/>
  <c r="AN227" i="9" s="1"/>
  <c r="AI227" i="9"/>
  <c r="AH227" i="9"/>
  <c r="AK227" i="9" s="1"/>
  <c r="AL226" i="9"/>
  <c r="AI226" i="9"/>
  <c r="AH226" i="9"/>
  <c r="AK226" i="9" s="1"/>
  <c r="AL225" i="9"/>
  <c r="AN225" i="9" s="1"/>
  <c r="AI225" i="9"/>
  <c r="AH225" i="9"/>
  <c r="AK225" i="9" s="1"/>
  <c r="AL224" i="9"/>
  <c r="AN224" i="9" s="1"/>
  <c r="AI224" i="9"/>
  <c r="AH224" i="9"/>
  <c r="AK224" i="9" s="1"/>
  <c r="AL223" i="9"/>
  <c r="AN223" i="9" s="1"/>
  <c r="AI223" i="9"/>
  <c r="AH223" i="9"/>
  <c r="AK223" i="9" s="1"/>
  <c r="AL222" i="9"/>
  <c r="AN222" i="9" s="1"/>
  <c r="AI222" i="9"/>
  <c r="AH222" i="9"/>
  <c r="AK222" i="9" s="1"/>
  <c r="AL221" i="9"/>
  <c r="AN221" i="9" s="1"/>
  <c r="AI221" i="9"/>
  <c r="AH221" i="9"/>
  <c r="AK221" i="9" s="1"/>
  <c r="AL220" i="9"/>
  <c r="AN220" i="9" s="1"/>
  <c r="AI220" i="9"/>
  <c r="AH220" i="9"/>
  <c r="AK220" i="9" s="1"/>
  <c r="AL219" i="9"/>
  <c r="AN219" i="9" s="1"/>
  <c r="AI219" i="9"/>
  <c r="AH219" i="9"/>
  <c r="AK219" i="9" s="1"/>
  <c r="AL218" i="9"/>
  <c r="AN218" i="9" s="1"/>
  <c r="AI218" i="9"/>
  <c r="AH218" i="9"/>
  <c r="AK218" i="9" s="1"/>
  <c r="AL217" i="9"/>
  <c r="AN217" i="9" s="1"/>
  <c r="AI217" i="9"/>
  <c r="AH217" i="9"/>
  <c r="AK217" i="9" s="1"/>
  <c r="AL216" i="9"/>
  <c r="AN216" i="9" s="1"/>
  <c r="AI216" i="9"/>
  <c r="AH216" i="9"/>
  <c r="AK216" i="9" s="1"/>
  <c r="AL215" i="9"/>
  <c r="AN215" i="9" s="1"/>
  <c r="AI215" i="9"/>
  <c r="AH215" i="9"/>
  <c r="AK215" i="9" s="1"/>
  <c r="AL214" i="9"/>
  <c r="AN214" i="9" s="1"/>
  <c r="AI214" i="9"/>
  <c r="AH214" i="9"/>
  <c r="AK214" i="9" s="1"/>
  <c r="AL213" i="9"/>
  <c r="AN213" i="9" s="1"/>
  <c r="AI213" i="9"/>
  <c r="AH213" i="9"/>
  <c r="AK213" i="9" s="1"/>
  <c r="AL212" i="9"/>
  <c r="AN212" i="9" s="1"/>
  <c r="AI212" i="9"/>
  <c r="AH212" i="9"/>
  <c r="AK212" i="9" s="1"/>
  <c r="AL211" i="9"/>
  <c r="AN211" i="9" s="1"/>
  <c r="AI211" i="9"/>
  <c r="AH211" i="9"/>
  <c r="AK211" i="9" s="1"/>
  <c r="AL210" i="9"/>
  <c r="AN210" i="9" s="1"/>
  <c r="AI210" i="9"/>
  <c r="AH210" i="9"/>
  <c r="AK210" i="9" s="1"/>
  <c r="AL209" i="9"/>
  <c r="AN209" i="9" s="1"/>
  <c r="AI209" i="9"/>
  <c r="AH209" i="9"/>
  <c r="AK209" i="9" s="1"/>
  <c r="AL208" i="9"/>
  <c r="AN208" i="9" s="1"/>
  <c r="AI208" i="9"/>
  <c r="AH208" i="9"/>
  <c r="AK208" i="9" s="1"/>
  <c r="AL207" i="9"/>
  <c r="AN207" i="9" s="1"/>
  <c r="AI207" i="9"/>
  <c r="AH207" i="9"/>
  <c r="AK207" i="9" s="1"/>
  <c r="AB207" i="9"/>
  <c r="AL206" i="9"/>
  <c r="AN206" i="9" s="1"/>
  <c r="AI206" i="9"/>
  <c r="AH206" i="9"/>
  <c r="AK206" i="9" s="1"/>
  <c r="AP205" i="9"/>
  <c r="AN205" i="9"/>
  <c r="AI205" i="9"/>
  <c r="AH205" i="9"/>
  <c r="AL204" i="9"/>
  <c r="AN204" i="9" s="1"/>
  <c r="AI204" i="9"/>
  <c r="AH204" i="9"/>
  <c r="AL203" i="9"/>
  <c r="AN203" i="9" s="1"/>
  <c r="AI203" i="9"/>
  <c r="AH203" i="9"/>
  <c r="AH200" i="9"/>
  <c r="W200" i="9"/>
  <c r="V200" i="9"/>
  <c r="AG200" i="9" s="1"/>
  <c r="X200" i="9"/>
  <c r="Z200" i="9" s="1"/>
  <c r="K200" i="9"/>
  <c r="AH199" i="9"/>
  <c r="V199" i="9"/>
  <c r="W199" i="9" s="1"/>
  <c r="X199" i="9"/>
  <c r="Z199" i="9" s="1"/>
  <c r="AH198" i="9"/>
  <c r="V198" i="9"/>
  <c r="W198" i="9" s="1"/>
  <c r="X198" i="9"/>
  <c r="Z198" i="9" s="1"/>
  <c r="AH197" i="9"/>
  <c r="W197" i="9"/>
  <c r="V197" i="9"/>
  <c r="X197" i="9"/>
  <c r="Z197" i="9" s="1"/>
  <c r="AH196" i="9"/>
  <c r="X196" i="9"/>
  <c r="Z196" i="9" s="1"/>
  <c r="W196" i="9"/>
  <c r="V196" i="9"/>
  <c r="AH195" i="9"/>
  <c r="W195" i="9"/>
  <c r="V195" i="9"/>
  <c r="X195" i="9"/>
  <c r="Z195" i="9" s="1"/>
  <c r="AH194" i="9"/>
  <c r="W194" i="9"/>
  <c r="V194" i="9"/>
  <c r="X194" i="9"/>
  <c r="Z194" i="9" s="1"/>
  <c r="AH193" i="9"/>
  <c r="W193" i="9"/>
  <c r="V193" i="9"/>
  <c r="X193" i="9"/>
  <c r="Z193" i="9" s="1"/>
  <c r="AH192" i="9"/>
  <c r="W192" i="9"/>
  <c r="V192" i="9"/>
  <c r="X192" i="9"/>
  <c r="Z192" i="9" s="1"/>
  <c r="AH191" i="9"/>
  <c r="W191" i="9"/>
  <c r="V191" i="9"/>
  <c r="X191" i="9"/>
  <c r="Z191" i="9" s="1"/>
  <c r="AH190" i="9"/>
  <c r="W190" i="9"/>
  <c r="V190" i="9"/>
  <c r="X190" i="9"/>
  <c r="Z190" i="9" s="1"/>
  <c r="AH189" i="9"/>
  <c r="W189" i="9"/>
  <c r="V189" i="9"/>
  <c r="X189" i="9"/>
  <c r="Z189" i="9" s="1"/>
  <c r="AH188" i="9"/>
  <c r="W188" i="9"/>
  <c r="V188" i="9"/>
  <c r="X188" i="9"/>
  <c r="Z188" i="9" s="1"/>
  <c r="AH187" i="9"/>
  <c r="W187" i="9"/>
  <c r="V187" i="9"/>
  <c r="X187" i="9"/>
  <c r="Z187" i="9" s="1"/>
  <c r="AH186" i="9"/>
  <c r="W186" i="9"/>
  <c r="V186" i="9"/>
  <c r="X186" i="9"/>
  <c r="Z186" i="9" s="1"/>
  <c r="AH185" i="9"/>
  <c r="W185" i="9"/>
  <c r="V185" i="9"/>
  <c r="X185" i="9"/>
  <c r="Z185" i="9" s="1"/>
  <c r="AH184" i="9"/>
  <c r="W184" i="9"/>
  <c r="V184" i="9"/>
  <c r="X184" i="9"/>
  <c r="Z184" i="9" s="1"/>
  <c r="AH183" i="9"/>
  <c r="W183" i="9"/>
  <c r="V183" i="9"/>
  <c r="X183" i="9"/>
  <c r="Z183" i="9" s="1"/>
  <c r="AH182" i="9"/>
  <c r="W182" i="9"/>
  <c r="V182" i="9"/>
  <c r="X182" i="9"/>
  <c r="Z182" i="9" s="1"/>
  <c r="AH181" i="9"/>
  <c r="X181" i="9"/>
  <c r="Z181" i="9" s="1"/>
  <c r="W181" i="9"/>
  <c r="V181" i="9"/>
  <c r="AH180" i="9"/>
  <c r="W180" i="9"/>
  <c r="V180" i="9"/>
  <c r="X180" i="9"/>
  <c r="Z180" i="9" s="1"/>
  <c r="AH179" i="9"/>
  <c r="W179" i="9"/>
  <c r="V179" i="9"/>
  <c r="X179" i="9"/>
  <c r="Z179" i="9" s="1"/>
  <c r="AH178" i="9"/>
  <c r="W178" i="9"/>
  <c r="V178" i="9"/>
  <c r="X178" i="9"/>
  <c r="Z178" i="9" s="1"/>
  <c r="AH177" i="9"/>
  <c r="W177" i="9"/>
  <c r="V177" i="9"/>
  <c r="X177" i="9"/>
  <c r="Z177" i="9" s="1"/>
  <c r="AH176" i="9"/>
  <c r="W176" i="9"/>
  <c r="V176" i="9"/>
  <c r="X176" i="9"/>
  <c r="Z176" i="9" s="1"/>
  <c r="AH175" i="9"/>
  <c r="X175" i="9"/>
  <c r="Z175" i="9" s="1"/>
  <c r="W175" i="9"/>
  <c r="V175" i="9"/>
  <c r="AH174" i="9"/>
  <c r="W174" i="9"/>
  <c r="V174" i="9"/>
  <c r="X174" i="9"/>
  <c r="Z174" i="9" s="1"/>
  <c r="AH173" i="9"/>
  <c r="X173" i="9"/>
  <c r="Z173" i="9" s="1"/>
  <c r="W173" i="9"/>
  <c r="V173" i="9"/>
  <c r="AH172" i="9"/>
  <c r="W172" i="9"/>
  <c r="V172" i="9"/>
  <c r="X172" i="9"/>
  <c r="Z172" i="9" s="1"/>
  <c r="AH171" i="9"/>
  <c r="W171" i="9"/>
  <c r="V171" i="9"/>
  <c r="X171" i="9"/>
  <c r="Z171" i="9" s="1"/>
  <c r="AH170" i="9"/>
  <c r="W170" i="9"/>
  <c r="V170" i="9"/>
  <c r="X170" i="9"/>
  <c r="Z170" i="9" s="1"/>
  <c r="AH169" i="9"/>
  <c r="W169" i="9"/>
  <c r="V169" i="9"/>
  <c r="X169" i="9"/>
  <c r="Z169" i="9" s="1"/>
  <c r="AH168" i="9"/>
  <c r="W168" i="9"/>
  <c r="V168" i="9"/>
  <c r="X168" i="9"/>
  <c r="Z168" i="9" s="1"/>
  <c r="AH167" i="9"/>
  <c r="X167" i="9"/>
  <c r="Z167" i="9" s="1"/>
  <c r="W167" i="9"/>
  <c r="V167" i="9"/>
  <c r="AH166" i="9"/>
  <c r="W166" i="9"/>
  <c r="V166" i="9"/>
  <c r="X166" i="9"/>
  <c r="Z166" i="9" s="1"/>
  <c r="AH165" i="9"/>
  <c r="X165" i="9"/>
  <c r="Z165" i="9" s="1"/>
  <c r="W165" i="9"/>
  <c r="V165" i="9"/>
  <c r="AH164" i="9"/>
  <c r="W164" i="9"/>
  <c r="V164" i="9"/>
  <c r="X164" i="9"/>
  <c r="Z164" i="9" s="1"/>
  <c r="AH163" i="9"/>
  <c r="X163" i="9"/>
  <c r="Z163" i="9" s="1"/>
  <c r="W163" i="9"/>
  <c r="V163" i="9"/>
  <c r="AH162" i="9"/>
  <c r="W162" i="9"/>
  <c r="V162" i="9"/>
  <c r="X162" i="9"/>
  <c r="Z162" i="9" s="1"/>
  <c r="AH161" i="9"/>
  <c r="W161" i="9"/>
  <c r="V161" i="9"/>
  <c r="X161" i="9"/>
  <c r="Z161" i="9" s="1"/>
  <c r="AH160" i="9"/>
  <c r="W160" i="9"/>
  <c r="V160" i="9"/>
  <c r="X160" i="9"/>
  <c r="Z160" i="9" s="1"/>
  <c r="AH159" i="9"/>
  <c r="W159" i="9"/>
  <c r="V159" i="9"/>
  <c r="X159" i="9"/>
  <c r="Z159" i="9" s="1"/>
  <c r="AH158" i="9"/>
  <c r="W158" i="9"/>
  <c r="V158" i="9"/>
  <c r="X158" i="9"/>
  <c r="Z158" i="9" s="1"/>
  <c r="AH157" i="9"/>
  <c r="X157" i="9"/>
  <c r="Z157" i="9" s="1"/>
  <c r="W157" i="9"/>
  <c r="V157" i="9"/>
  <c r="AH156" i="9"/>
  <c r="W156" i="9"/>
  <c r="V156" i="9"/>
  <c r="X156" i="9"/>
  <c r="Z156" i="9" s="1"/>
  <c r="AH155" i="9"/>
  <c r="W155" i="9"/>
  <c r="V155" i="9"/>
  <c r="X155" i="9"/>
  <c r="Z155" i="9" s="1"/>
  <c r="AH154" i="9"/>
  <c r="W154" i="9"/>
  <c r="V154" i="9"/>
  <c r="X154" i="9"/>
  <c r="Z154" i="9" s="1"/>
  <c r="AH153" i="9"/>
  <c r="W153" i="9"/>
  <c r="V153" i="9"/>
  <c r="X153" i="9"/>
  <c r="Z153" i="9" s="1"/>
  <c r="AH152" i="9"/>
  <c r="W152" i="9"/>
  <c r="V152" i="9"/>
  <c r="X152" i="9"/>
  <c r="Z152" i="9" s="1"/>
  <c r="AH151" i="9"/>
  <c r="X151" i="9"/>
  <c r="Z151" i="9" s="1"/>
  <c r="W151" i="9"/>
  <c r="V151" i="9"/>
  <c r="AH150" i="9"/>
  <c r="W150" i="9"/>
  <c r="V150" i="9"/>
  <c r="X150" i="9"/>
  <c r="Z150" i="9" s="1"/>
  <c r="AH149" i="9"/>
  <c r="X149" i="9"/>
  <c r="Z149" i="9" s="1"/>
  <c r="W149" i="9"/>
  <c r="V149" i="9"/>
  <c r="AH148" i="9"/>
  <c r="W148" i="9"/>
  <c r="V148" i="9"/>
  <c r="X148" i="9"/>
  <c r="Z148" i="9" s="1"/>
  <c r="AH147" i="9"/>
  <c r="W147" i="9"/>
  <c r="V147" i="9"/>
  <c r="X147" i="9"/>
  <c r="Z147" i="9" s="1"/>
  <c r="AH146" i="9"/>
  <c r="W146" i="9"/>
  <c r="V146" i="9"/>
  <c r="X146" i="9"/>
  <c r="Z146" i="9" s="1"/>
  <c r="AH145" i="9"/>
  <c r="W145" i="9"/>
  <c r="V145" i="9"/>
  <c r="X145" i="9"/>
  <c r="Z145" i="9" s="1"/>
  <c r="AH144" i="9"/>
  <c r="W144" i="9"/>
  <c r="V144" i="9"/>
  <c r="X144" i="9"/>
  <c r="Z144" i="9" s="1"/>
  <c r="AH143" i="9"/>
  <c r="W143" i="9"/>
  <c r="V143" i="9"/>
  <c r="X143" i="9"/>
  <c r="Z143" i="9" s="1"/>
  <c r="AH142" i="9"/>
  <c r="W142" i="9"/>
  <c r="V142" i="9"/>
  <c r="X142" i="9"/>
  <c r="Z142" i="9" s="1"/>
  <c r="AH141" i="9"/>
  <c r="X141" i="9"/>
  <c r="Z141" i="9" s="1"/>
  <c r="W141" i="9"/>
  <c r="V141" i="9"/>
  <c r="AH140" i="9"/>
  <c r="W140" i="9"/>
  <c r="V140" i="9"/>
  <c r="X140" i="9"/>
  <c r="Z140" i="9" s="1"/>
  <c r="AH139" i="9"/>
  <c r="X139" i="9"/>
  <c r="Z139" i="9" s="1"/>
  <c r="W139" i="9"/>
  <c r="V139" i="9"/>
  <c r="AH138" i="9"/>
  <c r="W138" i="9"/>
  <c r="V138" i="9"/>
  <c r="X138" i="9"/>
  <c r="Z138" i="9" s="1"/>
  <c r="AH137" i="9"/>
  <c r="W137" i="9"/>
  <c r="V137" i="9"/>
  <c r="X137" i="9"/>
  <c r="Z137" i="9" s="1"/>
  <c r="AH136" i="9"/>
  <c r="W136" i="9"/>
  <c r="V136" i="9"/>
  <c r="X136" i="9"/>
  <c r="Z136" i="9" s="1"/>
  <c r="AH135" i="9"/>
  <c r="X135" i="9"/>
  <c r="Z135" i="9" s="1"/>
  <c r="W135" i="9"/>
  <c r="V135" i="9"/>
  <c r="AH134" i="9"/>
  <c r="W134" i="9"/>
  <c r="V134" i="9"/>
  <c r="X134" i="9"/>
  <c r="Z134" i="9" s="1"/>
  <c r="AH133" i="9"/>
  <c r="W133" i="9"/>
  <c r="V133" i="9"/>
  <c r="X133" i="9"/>
  <c r="Z133" i="9" s="1"/>
  <c r="AH132" i="9"/>
  <c r="W132" i="9"/>
  <c r="V132" i="9"/>
  <c r="X132" i="9"/>
  <c r="Z132" i="9" s="1"/>
  <c r="AH131" i="9"/>
  <c r="X131" i="9"/>
  <c r="Z131" i="9" s="1"/>
  <c r="W131" i="9"/>
  <c r="V131" i="9"/>
  <c r="AH130" i="9"/>
  <c r="W130" i="9"/>
  <c r="V130" i="9"/>
  <c r="X130" i="9"/>
  <c r="Z130" i="9" s="1"/>
  <c r="AH129" i="9"/>
  <c r="W129" i="9"/>
  <c r="V129" i="9"/>
  <c r="X129" i="9"/>
  <c r="Z129" i="9" s="1"/>
  <c r="AH128" i="9"/>
  <c r="W128" i="9"/>
  <c r="V128" i="9"/>
  <c r="X128" i="9"/>
  <c r="Z128" i="9" s="1"/>
  <c r="AH127" i="9"/>
  <c r="X127" i="9"/>
  <c r="Z127" i="9" s="1"/>
  <c r="W127" i="9"/>
  <c r="V127" i="9"/>
  <c r="AH126" i="9"/>
  <c r="W126" i="9"/>
  <c r="V126" i="9"/>
  <c r="X126" i="9"/>
  <c r="Z126" i="9" s="1"/>
  <c r="AH125" i="9"/>
  <c r="X125" i="9"/>
  <c r="Z125" i="9" s="1"/>
  <c r="W125" i="9"/>
  <c r="V125" i="9"/>
  <c r="AH124" i="9"/>
  <c r="W124" i="9"/>
  <c r="V124" i="9"/>
  <c r="X124" i="9"/>
  <c r="Z124" i="9" s="1"/>
  <c r="AH123" i="9"/>
  <c r="W123" i="9"/>
  <c r="V123" i="9"/>
  <c r="X123" i="9"/>
  <c r="Z123" i="9" s="1"/>
  <c r="AH122" i="9"/>
  <c r="W122" i="9"/>
  <c r="V122" i="9"/>
  <c r="X122" i="9"/>
  <c r="Z122" i="9" s="1"/>
  <c r="AH121" i="9"/>
  <c r="W121" i="9"/>
  <c r="V121" i="9"/>
  <c r="X121" i="9"/>
  <c r="Z121" i="9" s="1"/>
  <c r="AH120" i="9"/>
  <c r="W120" i="9"/>
  <c r="V120" i="9"/>
  <c r="X120" i="9"/>
  <c r="Z120" i="9" s="1"/>
  <c r="AH119" i="9"/>
  <c r="W119" i="9"/>
  <c r="V119" i="9"/>
  <c r="X119" i="9"/>
  <c r="Z119" i="9" s="1"/>
  <c r="AH118" i="9"/>
  <c r="W118" i="9"/>
  <c r="V118" i="9"/>
  <c r="X118" i="9"/>
  <c r="Z118" i="9" s="1"/>
  <c r="AH117" i="9"/>
  <c r="X117" i="9"/>
  <c r="Z117" i="9" s="1"/>
  <c r="W117" i="9"/>
  <c r="V117" i="9"/>
  <c r="AH116" i="9"/>
  <c r="W116" i="9"/>
  <c r="V116" i="9"/>
  <c r="X116" i="9"/>
  <c r="Z116" i="9" s="1"/>
  <c r="AH115" i="9"/>
  <c r="W115" i="9"/>
  <c r="V115" i="9"/>
  <c r="X115" i="9"/>
  <c r="Z115" i="9" s="1"/>
  <c r="AH114" i="9"/>
  <c r="W114" i="9"/>
  <c r="V114" i="9"/>
  <c r="X114" i="9"/>
  <c r="Z114" i="9" s="1"/>
  <c r="AH113" i="9"/>
  <c r="W113" i="9"/>
  <c r="V113" i="9"/>
  <c r="X113" i="9"/>
  <c r="Z113" i="9" s="1"/>
  <c r="AH112" i="9"/>
  <c r="W112" i="9"/>
  <c r="V112" i="9"/>
  <c r="X112" i="9"/>
  <c r="Z112" i="9" s="1"/>
  <c r="AH111" i="9"/>
  <c r="X111" i="9"/>
  <c r="Z111" i="9" s="1"/>
  <c r="W111" i="9"/>
  <c r="V111" i="9"/>
  <c r="AH110" i="9"/>
  <c r="W110" i="9"/>
  <c r="V110" i="9"/>
  <c r="X110" i="9"/>
  <c r="Z110" i="9" s="1"/>
  <c r="AH109" i="9"/>
  <c r="X109" i="9"/>
  <c r="Z109" i="9" s="1"/>
  <c r="W109" i="9"/>
  <c r="V109" i="9"/>
  <c r="AH108" i="9"/>
  <c r="W108" i="9"/>
  <c r="V108" i="9"/>
  <c r="X108" i="9"/>
  <c r="Z108" i="9" s="1"/>
  <c r="AH107" i="9"/>
  <c r="W107" i="9"/>
  <c r="V107" i="9"/>
  <c r="X107" i="9"/>
  <c r="Z107" i="9" s="1"/>
  <c r="AH106" i="9"/>
  <c r="W106" i="9"/>
  <c r="V106" i="9"/>
  <c r="X106" i="9"/>
  <c r="Z106" i="9" s="1"/>
  <c r="AH105" i="9"/>
  <c r="W105" i="9"/>
  <c r="V105" i="9"/>
  <c r="X105" i="9"/>
  <c r="Z105" i="9" s="1"/>
  <c r="AH104" i="9"/>
  <c r="W104" i="9"/>
  <c r="V104" i="9"/>
  <c r="X104" i="9"/>
  <c r="Z104" i="9" s="1"/>
  <c r="AH103" i="9"/>
  <c r="W103" i="9"/>
  <c r="V103" i="9"/>
  <c r="X103" i="9"/>
  <c r="Z103" i="9" s="1"/>
  <c r="AH102" i="9"/>
  <c r="W102" i="9"/>
  <c r="V102" i="9"/>
  <c r="X102" i="9"/>
  <c r="Z102" i="9" s="1"/>
  <c r="AH101" i="9"/>
  <c r="W101" i="9"/>
  <c r="V101" i="9"/>
  <c r="X101" i="9"/>
  <c r="Z101" i="9" s="1"/>
  <c r="AH100" i="9"/>
  <c r="W100" i="9"/>
  <c r="V100" i="9"/>
  <c r="X100" i="9"/>
  <c r="Z100" i="9" s="1"/>
  <c r="AH99" i="9"/>
  <c r="W99" i="9"/>
  <c r="V99" i="9"/>
  <c r="X99" i="9"/>
  <c r="Z99" i="9" s="1"/>
  <c r="AH98" i="9"/>
  <c r="W98" i="9"/>
  <c r="V98" i="9"/>
  <c r="X98" i="9"/>
  <c r="Z98" i="9" s="1"/>
  <c r="AH97" i="9"/>
  <c r="W97" i="9"/>
  <c r="V97" i="9"/>
  <c r="X97" i="9"/>
  <c r="Z97" i="9" s="1"/>
  <c r="AH96" i="9"/>
  <c r="W96" i="9"/>
  <c r="V96" i="9"/>
  <c r="X96" i="9"/>
  <c r="Z96" i="9" s="1"/>
  <c r="AH95" i="9"/>
  <c r="W95" i="9"/>
  <c r="V95" i="9"/>
  <c r="X95" i="9"/>
  <c r="Z95" i="9" s="1"/>
  <c r="AH94" i="9"/>
  <c r="W94" i="9"/>
  <c r="V94" i="9"/>
  <c r="X94" i="9"/>
  <c r="Z94" i="9" s="1"/>
  <c r="AH93" i="9"/>
  <c r="W93" i="9"/>
  <c r="V93" i="9"/>
  <c r="X93" i="9"/>
  <c r="Z93" i="9" s="1"/>
  <c r="AH92" i="9"/>
  <c r="W92" i="9"/>
  <c r="V92" i="9"/>
  <c r="X92" i="9"/>
  <c r="Z92" i="9" s="1"/>
  <c r="AH91" i="9"/>
  <c r="W91" i="9"/>
  <c r="V91" i="9"/>
  <c r="X91" i="9"/>
  <c r="Z91" i="9" s="1"/>
  <c r="AH90" i="9"/>
  <c r="W90" i="9"/>
  <c r="V90" i="9"/>
  <c r="X90" i="9"/>
  <c r="Z90" i="9" s="1"/>
  <c r="AH89" i="9"/>
  <c r="W89" i="9"/>
  <c r="V89" i="9"/>
  <c r="X89" i="9"/>
  <c r="Z89" i="9" s="1"/>
  <c r="AH88" i="9"/>
  <c r="W88" i="9"/>
  <c r="V88" i="9"/>
  <c r="X88" i="9"/>
  <c r="Z88" i="9" s="1"/>
  <c r="AH87" i="9"/>
  <c r="AG87" i="9"/>
  <c r="V87" i="9"/>
  <c r="W87" i="9" s="1"/>
  <c r="X87" i="9"/>
  <c r="Z87" i="9" s="1"/>
  <c r="K87" i="9"/>
  <c r="AH86" i="9"/>
  <c r="AG86" i="9"/>
  <c r="V86" i="9"/>
  <c r="W86" i="9" s="1"/>
  <c r="X86" i="9"/>
  <c r="Z86" i="9" s="1"/>
  <c r="K86" i="9"/>
  <c r="AH85" i="9"/>
  <c r="AG85" i="9"/>
  <c r="V85" i="9"/>
  <c r="W85" i="9" s="1"/>
  <c r="X85" i="9"/>
  <c r="Z85" i="9" s="1"/>
  <c r="K85" i="9"/>
  <c r="AH84" i="9"/>
  <c r="W84" i="9"/>
  <c r="V84" i="9"/>
  <c r="AG84" i="9" s="1"/>
  <c r="X84" i="9"/>
  <c r="Z84" i="9" s="1"/>
  <c r="K84" i="9"/>
  <c r="AH83" i="9"/>
  <c r="AG83" i="9"/>
  <c r="V83" i="9"/>
  <c r="W83" i="9" s="1"/>
  <c r="X83" i="9"/>
  <c r="Z83" i="9" s="1"/>
  <c r="K83" i="9"/>
  <c r="AH82" i="9"/>
  <c r="AG82" i="9"/>
  <c r="V82" i="9"/>
  <c r="W82" i="9" s="1"/>
  <c r="X82" i="9"/>
  <c r="Z82" i="9" s="1"/>
  <c r="K82" i="9"/>
  <c r="AH81" i="9"/>
  <c r="AG81" i="9"/>
  <c r="V81" i="9"/>
  <c r="W81" i="9" s="1"/>
  <c r="X81" i="9"/>
  <c r="Z81" i="9" s="1"/>
  <c r="K81" i="9"/>
  <c r="AH80" i="9"/>
  <c r="X80" i="9"/>
  <c r="Z80" i="9" s="1"/>
  <c r="W80" i="9"/>
  <c r="V80" i="9"/>
  <c r="AG80" i="9" s="1"/>
  <c r="K80" i="9"/>
  <c r="AH79" i="9"/>
  <c r="AG79" i="9"/>
  <c r="V79" i="9"/>
  <c r="W79" i="9" s="1"/>
  <c r="X79" i="9"/>
  <c r="Z79" i="9" s="1"/>
  <c r="K79" i="9"/>
  <c r="AH78" i="9"/>
  <c r="AG78" i="9"/>
  <c r="V78" i="9"/>
  <c r="W78" i="9" s="1"/>
  <c r="X78" i="9"/>
  <c r="Z78" i="9" s="1"/>
  <c r="K78" i="9"/>
  <c r="AH77" i="9"/>
  <c r="AG77" i="9"/>
  <c r="V77" i="9"/>
  <c r="W77" i="9" s="1"/>
  <c r="X77" i="9"/>
  <c r="Z77" i="9" s="1"/>
  <c r="K77" i="9"/>
  <c r="AH76" i="9"/>
  <c r="X76" i="9"/>
  <c r="Z76" i="9" s="1"/>
  <c r="W76" i="9"/>
  <c r="V76" i="9"/>
  <c r="AG76" i="9" s="1"/>
  <c r="K76" i="9"/>
  <c r="AH75" i="9"/>
  <c r="AG75" i="9"/>
  <c r="V75" i="9"/>
  <c r="W75" i="9" s="1"/>
  <c r="X75" i="9"/>
  <c r="Z75" i="9" s="1"/>
  <c r="K75" i="9"/>
  <c r="AH74" i="9"/>
  <c r="AG74" i="9"/>
  <c r="V74" i="9"/>
  <c r="W74" i="9" s="1"/>
  <c r="X74" i="9"/>
  <c r="Z74" i="9" s="1"/>
  <c r="K74" i="9"/>
  <c r="AH73" i="9"/>
  <c r="AG73" i="9"/>
  <c r="V73" i="9"/>
  <c r="W73" i="9" s="1"/>
  <c r="X73" i="9"/>
  <c r="Z73" i="9" s="1"/>
  <c r="K73" i="9"/>
  <c r="AH72" i="9"/>
  <c r="X72" i="9"/>
  <c r="Z72" i="9" s="1"/>
  <c r="W72" i="9"/>
  <c r="V72" i="9"/>
  <c r="AG72" i="9" s="1"/>
  <c r="K72" i="9"/>
  <c r="AH71" i="9"/>
  <c r="V71" i="9"/>
  <c r="W71" i="9" s="1"/>
  <c r="X71" i="9"/>
  <c r="Z71" i="9" s="1"/>
  <c r="K71" i="9"/>
  <c r="AH70" i="9"/>
  <c r="X70" i="9"/>
  <c r="Z70" i="9" s="1"/>
  <c r="W70" i="9"/>
  <c r="V70" i="9"/>
  <c r="AG70" i="9" s="1"/>
  <c r="K70" i="9"/>
  <c r="AH69" i="9"/>
  <c r="V69" i="9"/>
  <c r="W69" i="9" s="1"/>
  <c r="X69" i="9"/>
  <c r="Z69" i="9" s="1"/>
  <c r="K69" i="9"/>
  <c r="AH68" i="9"/>
  <c r="W68" i="9"/>
  <c r="V68" i="9"/>
  <c r="AG68" i="9" s="1"/>
  <c r="X68" i="9"/>
  <c r="Z68" i="9" s="1"/>
  <c r="K68" i="9"/>
  <c r="AH67" i="9"/>
  <c r="V67" i="9"/>
  <c r="W67" i="9" s="1"/>
  <c r="X67" i="9"/>
  <c r="Z67" i="9" s="1"/>
  <c r="K67" i="9"/>
  <c r="AH66" i="9"/>
  <c r="W66" i="9"/>
  <c r="V66" i="9"/>
  <c r="AG66" i="9" s="1"/>
  <c r="X66" i="9"/>
  <c r="Z66" i="9" s="1"/>
  <c r="K66" i="9"/>
  <c r="AH65" i="9"/>
  <c r="V65" i="9"/>
  <c r="W65" i="9" s="1"/>
  <c r="X65" i="9"/>
  <c r="Z65" i="9" s="1"/>
  <c r="K65" i="9"/>
  <c r="AH64" i="9"/>
  <c r="W64" i="9"/>
  <c r="V64" i="9"/>
  <c r="AG64" i="9" s="1"/>
  <c r="X64" i="9"/>
  <c r="Z64" i="9" s="1"/>
  <c r="K64" i="9"/>
  <c r="AH63" i="9"/>
  <c r="V63" i="9"/>
  <c r="W63" i="9" s="1"/>
  <c r="X63" i="9"/>
  <c r="Z63" i="9" s="1"/>
  <c r="K63" i="9"/>
  <c r="AH62" i="9"/>
  <c r="W62" i="9"/>
  <c r="V62" i="9"/>
  <c r="AG62" i="9" s="1"/>
  <c r="X62" i="9"/>
  <c r="Z62" i="9" s="1"/>
  <c r="K62" i="9"/>
  <c r="AH61" i="9"/>
  <c r="V61" i="9"/>
  <c r="W61" i="9" s="1"/>
  <c r="X61" i="9"/>
  <c r="Z61" i="9" s="1"/>
  <c r="K61" i="9"/>
  <c r="AH60" i="9"/>
  <c r="W60" i="9"/>
  <c r="V60" i="9"/>
  <c r="AG60" i="9" s="1"/>
  <c r="X60" i="9"/>
  <c r="Z60" i="9" s="1"/>
  <c r="K60" i="9"/>
  <c r="AH59" i="9"/>
  <c r="V59" i="9"/>
  <c r="W59" i="9" s="1"/>
  <c r="X59" i="9"/>
  <c r="Z59" i="9" s="1"/>
  <c r="K59" i="9"/>
  <c r="AH58" i="9"/>
  <c r="W58" i="9"/>
  <c r="V58" i="9"/>
  <c r="AG58" i="9" s="1"/>
  <c r="X58" i="9"/>
  <c r="Z58" i="9" s="1"/>
  <c r="K58" i="9"/>
  <c r="AH57" i="9"/>
  <c r="V57" i="9"/>
  <c r="W57" i="9" s="1"/>
  <c r="X57" i="9"/>
  <c r="Z57" i="9" s="1"/>
  <c r="K57" i="9"/>
  <c r="AH56" i="9"/>
  <c r="W56" i="9"/>
  <c r="V56" i="9"/>
  <c r="AG56" i="9" s="1"/>
  <c r="X56" i="9"/>
  <c r="Z56" i="9" s="1"/>
  <c r="K56" i="9"/>
  <c r="AH55" i="9"/>
  <c r="V55" i="9"/>
  <c r="W55" i="9" s="1"/>
  <c r="X55" i="9"/>
  <c r="Z55" i="9" s="1"/>
  <c r="K55" i="9"/>
  <c r="AH54" i="9"/>
  <c r="X54" i="9"/>
  <c r="Z54" i="9" s="1"/>
  <c r="W54" i="9"/>
  <c r="V54" i="9"/>
  <c r="AG54" i="9" s="1"/>
  <c r="K54" i="9"/>
  <c r="AH53" i="9"/>
  <c r="V53" i="9"/>
  <c r="W53" i="9" s="1"/>
  <c r="X53" i="9"/>
  <c r="Z53" i="9" s="1"/>
  <c r="K53" i="9"/>
  <c r="AH52" i="9"/>
  <c r="W52" i="9"/>
  <c r="V52" i="9"/>
  <c r="AG52" i="9" s="1"/>
  <c r="X52" i="9"/>
  <c r="Z52" i="9" s="1"/>
  <c r="K52" i="9"/>
  <c r="AH51" i="9"/>
  <c r="V51" i="9"/>
  <c r="W51" i="9" s="1"/>
  <c r="X51" i="9"/>
  <c r="Z51" i="9" s="1"/>
  <c r="K51" i="9"/>
  <c r="AH50" i="9"/>
  <c r="W50" i="9"/>
  <c r="V50" i="9"/>
  <c r="AG50" i="9" s="1"/>
  <c r="X50" i="9"/>
  <c r="Z50" i="9" s="1"/>
  <c r="K50" i="9"/>
  <c r="AH49" i="9"/>
  <c r="V49" i="9"/>
  <c r="W49" i="9" s="1"/>
  <c r="X49" i="9"/>
  <c r="Z49" i="9" s="1"/>
  <c r="K49" i="9"/>
  <c r="AH48" i="9"/>
  <c r="X48" i="9"/>
  <c r="Z48" i="9" s="1"/>
  <c r="W48" i="9"/>
  <c r="V48" i="9"/>
  <c r="AG48" i="9" s="1"/>
  <c r="K48" i="9"/>
  <c r="AH47" i="9"/>
  <c r="Z47" i="9"/>
  <c r="V47" i="9"/>
  <c r="W47" i="9" s="1"/>
  <c r="X47" i="9"/>
  <c r="K47" i="9"/>
  <c r="AH46" i="9"/>
  <c r="X46" i="9"/>
  <c r="Z46" i="9" s="1"/>
  <c r="W46" i="9"/>
  <c r="V46" i="9"/>
  <c r="AG46" i="9" s="1"/>
  <c r="K46" i="9"/>
  <c r="AH45" i="9"/>
  <c r="V45" i="9"/>
  <c r="W45" i="9" s="1"/>
  <c r="X45" i="9"/>
  <c r="Z45" i="9" s="1"/>
  <c r="K45" i="9"/>
  <c r="AH44" i="9"/>
  <c r="W44" i="9"/>
  <c r="V44" i="9"/>
  <c r="AG44" i="9" s="1"/>
  <c r="X44" i="9"/>
  <c r="Z44" i="9" s="1"/>
  <c r="K44" i="9"/>
  <c r="AH43" i="9"/>
  <c r="AG43" i="9"/>
  <c r="W43" i="9"/>
  <c r="V43" i="9"/>
  <c r="X43" i="9"/>
  <c r="Z43" i="9" s="1"/>
  <c r="K43" i="9"/>
  <c r="AH42" i="9"/>
  <c r="W42" i="9"/>
  <c r="V42" i="9"/>
  <c r="AG42" i="9" s="1"/>
  <c r="X42" i="9"/>
  <c r="Z42" i="9" s="1"/>
  <c r="K42" i="9"/>
  <c r="AH41" i="9"/>
  <c r="AG41" i="9"/>
  <c r="W41" i="9"/>
  <c r="V41" i="9"/>
  <c r="X41" i="9"/>
  <c r="Z41" i="9" s="1"/>
  <c r="K41" i="9"/>
  <c r="AH40" i="9"/>
  <c r="W40" i="9"/>
  <c r="V40" i="9"/>
  <c r="AG40" i="9" s="1"/>
  <c r="X40" i="9"/>
  <c r="Z40" i="9" s="1"/>
  <c r="K40" i="9"/>
  <c r="AH39" i="9"/>
  <c r="AG39" i="9"/>
  <c r="W39" i="9"/>
  <c r="V39" i="9"/>
  <c r="X39" i="9"/>
  <c r="Z39" i="9" s="1"/>
  <c r="K39" i="9"/>
  <c r="AH38" i="9"/>
  <c r="W38" i="9"/>
  <c r="V38" i="9"/>
  <c r="AG38" i="9" s="1"/>
  <c r="X38" i="9"/>
  <c r="Z38" i="9" s="1"/>
  <c r="K38" i="9"/>
  <c r="AH37" i="9"/>
  <c r="AG37" i="9"/>
  <c r="W37" i="9"/>
  <c r="V37" i="9"/>
  <c r="X37" i="9"/>
  <c r="Z37" i="9" s="1"/>
  <c r="K37" i="9"/>
  <c r="AH36" i="9"/>
  <c r="AG36" i="9"/>
  <c r="AH35" i="9"/>
  <c r="V35" i="9"/>
  <c r="W35" i="9" s="1"/>
  <c r="X35" i="9"/>
  <c r="Z35" i="9" s="1"/>
  <c r="K35" i="9"/>
  <c r="AH34" i="9"/>
  <c r="V34" i="9"/>
  <c r="X34" i="9"/>
  <c r="Z34" i="9" s="1"/>
  <c r="K34" i="9"/>
  <c r="AH33" i="9"/>
  <c r="AG33" i="9"/>
  <c r="W33" i="9"/>
  <c r="V33" i="9"/>
  <c r="X33" i="9"/>
  <c r="Z33" i="9" s="1"/>
  <c r="K33" i="9"/>
  <c r="AH32" i="9"/>
  <c r="V32" i="9"/>
  <c r="AG32" i="9" s="1"/>
  <c r="X32" i="9"/>
  <c r="Z32" i="9" s="1"/>
  <c r="K32" i="9"/>
  <c r="AH31" i="9"/>
  <c r="V31" i="9"/>
  <c r="AG31" i="9" s="1"/>
  <c r="X31" i="9"/>
  <c r="Z31" i="9" s="1"/>
  <c r="K31" i="9"/>
  <c r="AH30" i="9"/>
  <c r="W30" i="9"/>
  <c r="V30" i="9"/>
  <c r="AG30" i="9" s="1"/>
  <c r="X30" i="9"/>
  <c r="Z30" i="9" s="1"/>
  <c r="K30" i="9"/>
  <c r="AH29" i="9"/>
  <c r="V29" i="9"/>
  <c r="AG29" i="9" s="1"/>
  <c r="X29" i="9"/>
  <c r="Z29" i="9" s="1"/>
  <c r="K29" i="9"/>
  <c r="AH28" i="9"/>
  <c r="V28" i="9"/>
  <c r="AG28" i="9" s="1"/>
  <c r="X28" i="9"/>
  <c r="Z28" i="9" s="1"/>
  <c r="K28" i="9"/>
  <c r="AH27" i="9"/>
  <c r="AG27" i="9"/>
  <c r="W27" i="9"/>
  <c r="V27" i="9"/>
  <c r="X27" i="9"/>
  <c r="Z27" i="9" s="1"/>
  <c r="K27" i="9"/>
  <c r="AH26" i="9"/>
  <c r="V26" i="9"/>
  <c r="AG26" i="9" s="1"/>
  <c r="X26" i="9"/>
  <c r="Z26" i="9" s="1"/>
  <c r="K26" i="9"/>
  <c r="AH25" i="9"/>
  <c r="W25" i="9"/>
  <c r="V25" i="9"/>
  <c r="AG25" i="9" s="1"/>
  <c r="X25" i="9"/>
  <c r="Z25" i="9" s="1"/>
  <c r="K25" i="9"/>
  <c r="AH24" i="9"/>
  <c r="W24" i="9"/>
  <c r="V24" i="9"/>
  <c r="AG24" i="9" s="1"/>
  <c r="X24" i="9"/>
  <c r="Z24" i="9" s="1"/>
  <c r="K24" i="9"/>
  <c r="AH23" i="9"/>
  <c r="V23" i="9"/>
  <c r="AG23" i="9" s="1"/>
  <c r="X23" i="9"/>
  <c r="Z23" i="9" s="1"/>
  <c r="K23" i="9"/>
  <c r="AH22" i="9"/>
  <c r="W22" i="9"/>
  <c r="V22" i="9"/>
  <c r="AG22" i="9" s="1"/>
  <c r="X22" i="9"/>
  <c r="Z22" i="9" s="1"/>
  <c r="K22" i="9"/>
  <c r="AH21" i="9"/>
  <c r="V21" i="9"/>
  <c r="AG21" i="9" s="1"/>
  <c r="X21" i="9"/>
  <c r="Z21" i="9" s="1"/>
  <c r="K21" i="9"/>
  <c r="AH20" i="9"/>
  <c r="V20" i="9"/>
  <c r="AG20" i="9" s="1"/>
  <c r="X20" i="9"/>
  <c r="Z20" i="9" s="1"/>
  <c r="K20" i="9"/>
  <c r="AH19" i="9"/>
  <c r="AG19" i="9"/>
  <c r="W19" i="9"/>
  <c r="V19" i="9"/>
  <c r="X19" i="9"/>
  <c r="Z19" i="9" s="1"/>
  <c r="K19" i="9"/>
  <c r="AH18" i="9"/>
  <c r="V18" i="9"/>
  <c r="AG18" i="9" s="1"/>
  <c r="X18" i="9"/>
  <c r="Z18" i="9" s="1"/>
  <c r="K18" i="9"/>
  <c r="AH17" i="9"/>
  <c r="AG17" i="9"/>
  <c r="V17" i="9"/>
  <c r="W17" i="9" s="1"/>
  <c r="X17" i="9"/>
  <c r="Z17" i="9" s="1"/>
  <c r="K17" i="9"/>
  <c r="AH16" i="9"/>
  <c r="V16" i="9"/>
  <c r="AG16" i="9" s="1"/>
  <c r="X16" i="9"/>
  <c r="Z16" i="9" s="1"/>
  <c r="K16" i="9"/>
  <c r="AH15" i="9"/>
  <c r="AG15" i="9"/>
  <c r="W15" i="9"/>
  <c r="V15" i="9"/>
  <c r="X15" i="9"/>
  <c r="Z15" i="9" s="1"/>
  <c r="K15" i="9"/>
  <c r="AH14" i="9"/>
  <c r="V14" i="9"/>
  <c r="AG14" i="9" s="1"/>
  <c r="X14" i="9"/>
  <c r="Z14" i="9" s="1"/>
  <c r="K14" i="9"/>
  <c r="AH13" i="9"/>
  <c r="V13" i="9"/>
  <c r="AG13" i="9" s="1"/>
  <c r="X13" i="9"/>
  <c r="Z13" i="9" s="1"/>
  <c r="K13" i="9"/>
  <c r="AH12" i="9"/>
  <c r="W12" i="9"/>
  <c r="V12" i="9"/>
  <c r="AG12" i="9" s="1"/>
  <c r="X12" i="9"/>
  <c r="Z12" i="9" s="1"/>
  <c r="K12" i="9"/>
  <c r="AH11" i="9"/>
  <c r="V11" i="9"/>
  <c r="AG11" i="9" s="1"/>
  <c r="X11" i="9"/>
  <c r="Z11" i="9" s="1"/>
  <c r="K11" i="9"/>
  <c r="AH10" i="9"/>
  <c r="V10" i="9"/>
  <c r="AG10" i="9" s="1"/>
  <c r="X10" i="9"/>
  <c r="Z10" i="9" s="1"/>
  <c r="K10" i="9"/>
  <c r="AH9" i="9"/>
  <c r="AG9" i="9"/>
  <c r="W9" i="9"/>
  <c r="V9" i="9"/>
  <c r="X9" i="9"/>
  <c r="Z9" i="9" s="1"/>
  <c r="K9" i="9"/>
  <c r="AH8" i="9"/>
  <c r="V8" i="9"/>
  <c r="AG8" i="9" s="1"/>
  <c r="X8" i="9"/>
  <c r="Z8" i="9" s="1"/>
  <c r="K8" i="9"/>
  <c r="AH7" i="9"/>
  <c r="AG7" i="9"/>
  <c r="W7" i="9"/>
  <c r="V7" i="9"/>
  <c r="X7" i="9"/>
  <c r="Z7" i="9" s="1"/>
  <c r="K7" i="9"/>
  <c r="AH6" i="9"/>
  <c r="V6" i="9"/>
  <c r="AG6" i="9" s="1"/>
  <c r="X6" i="9"/>
  <c r="Z6" i="9" s="1"/>
  <c r="K6" i="9"/>
  <c r="AH5" i="9"/>
  <c r="AG5" i="9"/>
  <c r="V5" i="9"/>
  <c r="W5" i="9" s="1"/>
  <c r="X5" i="9"/>
  <c r="Z5" i="9" s="1"/>
  <c r="K5" i="9"/>
  <c r="AH4" i="9"/>
  <c r="V4" i="9"/>
  <c r="AG4" i="9" s="1"/>
  <c r="X4" i="9"/>
  <c r="Z4" i="9" s="1"/>
  <c r="K4" i="9"/>
  <c r="AH3" i="9"/>
  <c r="V3" i="9"/>
  <c r="AG3" i="9" s="1"/>
  <c r="X3" i="9"/>
  <c r="Z3" i="9" s="1"/>
  <c r="K3" i="9"/>
  <c r="AH2" i="9"/>
  <c r="V2" i="9"/>
  <c r="W2" i="9" s="1"/>
  <c r="X2" i="9"/>
  <c r="Z2" i="9" s="1"/>
  <c r="K2" i="9"/>
  <c r="AL267" i="8"/>
  <c r="AI267" i="8"/>
  <c r="AH267" i="8"/>
  <c r="AK267" i="8" s="1"/>
  <c r="AL266" i="8"/>
  <c r="AN266" i="8" s="1"/>
  <c r="AI266" i="8"/>
  <c r="AH266" i="8"/>
  <c r="AK266" i="8" s="1"/>
  <c r="AL265" i="8"/>
  <c r="AM265" i="8" s="1"/>
  <c r="AP265" i="8" s="1"/>
  <c r="AI265" i="8"/>
  <c r="AH265" i="8"/>
  <c r="AK265" i="8" s="1"/>
  <c r="AL264" i="8"/>
  <c r="AN264" i="8" s="1"/>
  <c r="AI264" i="8"/>
  <c r="AH264" i="8"/>
  <c r="AK264" i="8" s="1"/>
  <c r="AL263" i="8"/>
  <c r="AN263" i="8" s="1"/>
  <c r="AI263" i="8"/>
  <c r="AH263" i="8"/>
  <c r="AK263" i="8" s="1"/>
  <c r="AL262" i="8"/>
  <c r="AN262" i="8" s="1"/>
  <c r="AI262" i="8"/>
  <c r="AH262" i="8"/>
  <c r="AL261" i="8"/>
  <c r="AN261" i="8" s="1"/>
  <c r="AI261" i="8"/>
  <c r="AH261" i="8"/>
  <c r="AL260" i="8"/>
  <c r="AN260" i="8" s="1"/>
  <c r="AI260" i="8"/>
  <c r="AH260" i="8"/>
  <c r="AL259" i="8"/>
  <c r="AN259" i="8" s="1"/>
  <c r="AI259" i="8"/>
  <c r="AH259" i="8"/>
  <c r="AL258" i="8"/>
  <c r="AN258" i="8" s="1"/>
  <c r="AI258" i="8"/>
  <c r="AH258" i="8"/>
  <c r="AL257" i="8"/>
  <c r="AN257" i="8" s="1"/>
  <c r="AI257" i="8"/>
  <c r="AH257" i="8"/>
  <c r="AL256" i="8"/>
  <c r="AN256" i="8" s="1"/>
  <c r="AI256" i="8"/>
  <c r="AH256" i="8"/>
  <c r="AL255" i="8"/>
  <c r="AN255" i="8" s="1"/>
  <c r="AI255" i="8"/>
  <c r="AH255" i="8"/>
  <c r="AL254" i="8"/>
  <c r="AN254" i="8" s="1"/>
  <c r="AI254" i="8"/>
  <c r="AH254" i="8"/>
  <c r="AL253" i="8"/>
  <c r="AN253" i="8" s="1"/>
  <c r="AI253" i="8"/>
  <c r="AH253" i="8"/>
  <c r="AL252" i="8"/>
  <c r="AN252" i="8" s="1"/>
  <c r="AH252" i="8"/>
  <c r="AL251" i="8"/>
  <c r="AN251" i="8" s="1"/>
  <c r="AH251" i="8"/>
  <c r="AL250" i="8"/>
  <c r="AN250" i="8" s="1"/>
  <c r="AI250" i="8"/>
  <c r="AH250" i="8"/>
  <c r="AL249" i="8"/>
  <c r="AN249" i="8" s="1"/>
  <c r="AI249" i="8"/>
  <c r="AH249" i="8"/>
  <c r="AL248" i="8"/>
  <c r="AN248" i="8" s="1"/>
  <c r="AI248" i="8"/>
  <c r="AH248" i="8"/>
  <c r="AL247" i="8"/>
  <c r="AN247" i="8" s="1"/>
  <c r="AI247" i="8"/>
  <c r="AH247" i="8"/>
  <c r="AL246" i="8"/>
  <c r="AN246" i="8" s="1"/>
  <c r="AI246" i="8"/>
  <c r="AH246" i="8"/>
  <c r="AL245" i="8"/>
  <c r="AN245" i="8" s="1"/>
  <c r="AI245" i="8"/>
  <c r="AH245" i="8"/>
  <c r="AL244" i="8"/>
  <c r="AN244" i="8" s="1"/>
  <c r="AI244" i="8"/>
  <c r="AH244" i="8"/>
  <c r="AL243" i="8"/>
  <c r="AN243" i="8" s="1"/>
  <c r="AI243" i="8"/>
  <c r="AH243" i="8"/>
  <c r="AL242" i="8"/>
  <c r="AN242" i="8" s="1"/>
  <c r="AH242" i="8"/>
  <c r="AL241" i="8"/>
  <c r="AN241" i="8" s="1"/>
  <c r="AI241" i="8"/>
  <c r="AH241" i="8"/>
  <c r="AL240" i="8"/>
  <c r="AN240" i="8" s="1"/>
  <c r="AH240" i="8"/>
  <c r="AL239" i="8"/>
  <c r="AN239" i="8" s="1"/>
  <c r="AI239" i="8"/>
  <c r="AH239" i="8"/>
  <c r="AL238" i="8"/>
  <c r="AN238" i="8" s="1"/>
  <c r="AI238" i="8"/>
  <c r="AH238" i="8"/>
  <c r="AL237" i="8"/>
  <c r="AN237" i="8" s="1"/>
  <c r="AI237" i="8"/>
  <c r="AH237" i="8"/>
  <c r="AL236" i="8"/>
  <c r="AN236" i="8" s="1"/>
  <c r="AI236" i="8"/>
  <c r="AH236" i="8"/>
  <c r="AL235" i="8"/>
  <c r="AN235" i="8" s="1"/>
  <c r="AI235" i="8"/>
  <c r="AH235" i="8"/>
  <c r="AL234" i="8"/>
  <c r="AN234" i="8" s="1"/>
  <c r="AI234" i="8"/>
  <c r="AH234" i="8"/>
  <c r="AL233" i="8"/>
  <c r="AN233" i="8" s="1"/>
  <c r="AI233" i="8"/>
  <c r="AH233" i="8"/>
  <c r="AL232" i="8"/>
  <c r="AN232" i="8" s="1"/>
  <c r="AI232" i="8"/>
  <c r="AH232" i="8"/>
  <c r="AL231" i="8"/>
  <c r="AN231" i="8" s="1"/>
  <c r="AI231" i="8"/>
  <c r="AH231" i="8"/>
  <c r="AL230" i="8"/>
  <c r="AN230" i="8" s="1"/>
  <c r="AI230" i="8"/>
  <c r="AH230" i="8"/>
  <c r="AL229" i="8"/>
  <c r="AN229" i="8" s="1"/>
  <c r="AI229" i="8"/>
  <c r="AH229" i="8"/>
  <c r="AL228" i="8"/>
  <c r="AN228" i="8" s="1"/>
  <c r="AI228" i="8"/>
  <c r="AH228" i="8"/>
  <c r="AL227" i="8"/>
  <c r="AN227" i="8" s="1"/>
  <c r="AI227" i="8"/>
  <c r="AH227" i="8"/>
  <c r="AL226" i="8"/>
  <c r="AN226" i="8" s="1"/>
  <c r="AI226" i="8"/>
  <c r="AH226" i="8"/>
  <c r="AL225" i="8"/>
  <c r="AN225" i="8" s="1"/>
  <c r="AI225" i="8"/>
  <c r="AH225" i="8"/>
  <c r="AL224" i="8"/>
  <c r="AN224" i="8" s="1"/>
  <c r="AI224" i="8"/>
  <c r="AH224" i="8"/>
  <c r="AL223" i="8"/>
  <c r="AN223" i="8" s="1"/>
  <c r="AI223" i="8"/>
  <c r="AH223" i="8"/>
  <c r="AL222" i="8"/>
  <c r="AN222" i="8" s="1"/>
  <c r="AI222" i="8"/>
  <c r="AH222" i="8"/>
  <c r="AL221" i="8"/>
  <c r="AN221" i="8" s="1"/>
  <c r="AI221" i="8"/>
  <c r="AH221" i="8"/>
  <c r="AL220" i="8"/>
  <c r="AN220" i="8" s="1"/>
  <c r="AI220" i="8"/>
  <c r="AH220" i="8"/>
  <c r="AL219" i="8"/>
  <c r="AN219" i="8" s="1"/>
  <c r="AI219" i="8"/>
  <c r="AH219" i="8"/>
  <c r="AL218" i="8"/>
  <c r="AN218" i="8" s="1"/>
  <c r="AI218" i="8"/>
  <c r="AH218" i="8"/>
  <c r="AL217" i="8"/>
  <c r="AN217" i="8" s="1"/>
  <c r="AI217" i="8"/>
  <c r="AH217" i="8"/>
  <c r="AL216" i="8"/>
  <c r="AN216" i="8" s="1"/>
  <c r="AI216" i="8"/>
  <c r="AH216" i="8"/>
  <c r="AL215" i="8"/>
  <c r="AN215" i="8" s="1"/>
  <c r="AI215" i="8"/>
  <c r="AH215" i="8"/>
  <c r="AL214" i="8"/>
  <c r="AN214" i="8" s="1"/>
  <c r="AI214" i="8"/>
  <c r="AH214" i="8"/>
  <c r="AL213" i="8"/>
  <c r="AN213" i="8" s="1"/>
  <c r="AI213" i="8"/>
  <c r="AH213" i="8"/>
  <c r="AL212" i="8"/>
  <c r="AN212" i="8" s="1"/>
  <c r="AI212" i="8"/>
  <c r="AH212" i="8"/>
  <c r="AL211" i="8"/>
  <c r="AN211" i="8" s="1"/>
  <c r="AI211" i="8"/>
  <c r="AH211" i="8"/>
  <c r="AL210" i="8"/>
  <c r="AN210" i="8" s="1"/>
  <c r="AI210" i="8"/>
  <c r="AH210" i="8"/>
  <c r="AL209" i="8"/>
  <c r="AN209" i="8" s="1"/>
  <c r="AI209" i="8"/>
  <c r="AH209" i="8"/>
  <c r="AL208" i="8"/>
  <c r="AN208" i="8" s="1"/>
  <c r="AI208" i="8"/>
  <c r="AH208" i="8"/>
  <c r="AL207" i="8"/>
  <c r="AN207" i="8" s="1"/>
  <c r="AI207" i="8"/>
  <c r="AH207" i="8"/>
  <c r="AB207" i="8"/>
  <c r="AL206" i="8"/>
  <c r="AN206" i="8" s="1"/>
  <c r="AI206" i="8"/>
  <c r="AH206" i="8"/>
  <c r="AK206" i="8" s="1"/>
  <c r="AP205" i="8"/>
  <c r="AN205" i="8"/>
  <c r="AI205" i="8"/>
  <c r="AH205" i="8"/>
  <c r="AK205" i="8" s="1"/>
  <c r="AL204" i="8"/>
  <c r="AN204" i="8" s="1"/>
  <c r="AI204" i="8"/>
  <c r="AH204" i="8"/>
  <c r="AK204" i="8" s="1"/>
  <c r="AL203" i="8"/>
  <c r="AN203" i="8" s="1"/>
  <c r="AI203" i="8"/>
  <c r="AH203" i="8"/>
  <c r="AK203" i="8" s="1"/>
  <c r="V200" i="8"/>
  <c r="W200" i="8" s="1"/>
  <c r="X200" i="8"/>
  <c r="Z200" i="8" s="1"/>
  <c r="K200" i="8"/>
  <c r="W199" i="8"/>
  <c r="V199" i="8"/>
  <c r="X199" i="8"/>
  <c r="Z199" i="8" s="1"/>
  <c r="W198" i="8"/>
  <c r="V198" i="8"/>
  <c r="X198" i="8"/>
  <c r="Z198" i="8" s="1"/>
  <c r="W197" i="8"/>
  <c r="V197" i="8"/>
  <c r="X197" i="8"/>
  <c r="Z197" i="8" s="1"/>
  <c r="W196" i="8"/>
  <c r="V196" i="8"/>
  <c r="X196" i="8"/>
  <c r="Z196" i="8" s="1"/>
  <c r="W195" i="8"/>
  <c r="V195" i="8"/>
  <c r="X195" i="8"/>
  <c r="Z195" i="8" s="1"/>
  <c r="W194" i="8"/>
  <c r="V194" i="8"/>
  <c r="X194" i="8"/>
  <c r="Z194" i="8" s="1"/>
  <c r="W193" i="8"/>
  <c r="V193" i="8"/>
  <c r="X193" i="8"/>
  <c r="Z193" i="8" s="1"/>
  <c r="X192" i="8"/>
  <c r="Z192" i="8" s="1"/>
  <c r="W192" i="8"/>
  <c r="V192" i="8"/>
  <c r="W191" i="8"/>
  <c r="V191" i="8"/>
  <c r="X191" i="8"/>
  <c r="Z191" i="8" s="1"/>
  <c r="X190" i="8"/>
  <c r="Z190" i="8" s="1"/>
  <c r="W190" i="8"/>
  <c r="V190" i="8"/>
  <c r="W189" i="8"/>
  <c r="V189" i="8"/>
  <c r="X189" i="8"/>
  <c r="Z189" i="8" s="1"/>
  <c r="W188" i="8"/>
  <c r="V188" i="8"/>
  <c r="X188" i="8"/>
  <c r="Z188" i="8" s="1"/>
  <c r="W187" i="8"/>
  <c r="V187" i="8"/>
  <c r="X187" i="8"/>
  <c r="Z187" i="8" s="1"/>
  <c r="W186" i="8"/>
  <c r="V186" i="8"/>
  <c r="X186" i="8"/>
  <c r="Z186" i="8" s="1"/>
  <c r="W185" i="8"/>
  <c r="V185" i="8"/>
  <c r="X185" i="8"/>
  <c r="Z185" i="8" s="1"/>
  <c r="W184" i="8"/>
  <c r="V184" i="8"/>
  <c r="X184" i="8"/>
  <c r="Z184" i="8" s="1"/>
  <c r="W183" i="8"/>
  <c r="V183" i="8"/>
  <c r="X183" i="8"/>
  <c r="Z183" i="8" s="1"/>
  <c r="X182" i="8"/>
  <c r="Z182" i="8" s="1"/>
  <c r="W182" i="8"/>
  <c r="V182" i="8"/>
  <c r="W181" i="8"/>
  <c r="V181" i="8"/>
  <c r="X181" i="8"/>
  <c r="Z181" i="8" s="1"/>
  <c r="W180" i="8"/>
  <c r="V180" i="8"/>
  <c r="X180" i="8"/>
  <c r="Z180" i="8" s="1"/>
  <c r="W179" i="8"/>
  <c r="V179" i="8"/>
  <c r="X179" i="8"/>
  <c r="Z179" i="8" s="1"/>
  <c r="W178" i="8"/>
  <c r="V178" i="8"/>
  <c r="X178" i="8"/>
  <c r="Z178" i="8" s="1"/>
  <c r="W177" i="8"/>
  <c r="V177" i="8"/>
  <c r="X177" i="8"/>
  <c r="Z177" i="8" s="1"/>
  <c r="X176" i="8"/>
  <c r="Z176" i="8" s="1"/>
  <c r="W176" i="8"/>
  <c r="V176" i="8"/>
  <c r="W175" i="8"/>
  <c r="V175" i="8"/>
  <c r="X175" i="8"/>
  <c r="Z175" i="8" s="1"/>
  <c r="X174" i="8"/>
  <c r="Z174" i="8" s="1"/>
  <c r="W174" i="8"/>
  <c r="V174" i="8"/>
  <c r="W173" i="8"/>
  <c r="V173" i="8"/>
  <c r="X173" i="8"/>
  <c r="Z173" i="8" s="1"/>
  <c r="W172" i="8"/>
  <c r="V172" i="8"/>
  <c r="X172" i="8"/>
  <c r="Z172" i="8" s="1"/>
  <c r="W171" i="8"/>
  <c r="V171" i="8"/>
  <c r="X171" i="8"/>
  <c r="Z171" i="8" s="1"/>
  <c r="W170" i="8"/>
  <c r="V170" i="8"/>
  <c r="X170" i="8"/>
  <c r="Z170" i="8" s="1"/>
  <c r="W169" i="8"/>
  <c r="V169" i="8"/>
  <c r="X169" i="8"/>
  <c r="Z169" i="8" s="1"/>
  <c r="X168" i="8"/>
  <c r="Z168" i="8" s="1"/>
  <c r="W168" i="8"/>
  <c r="V168" i="8"/>
  <c r="W167" i="8"/>
  <c r="V167" i="8"/>
  <c r="X167" i="8"/>
  <c r="Z167" i="8" s="1"/>
  <c r="X166" i="8"/>
  <c r="Z166" i="8" s="1"/>
  <c r="W166" i="8"/>
  <c r="V166" i="8"/>
  <c r="W165" i="8"/>
  <c r="V165" i="8"/>
  <c r="X165" i="8"/>
  <c r="Z165" i="8" s="1"/>
  <c r="X164" i="8"/>
  <c r="Z164" i="8" s="1"/>
  <c r="W164" i="8"/>
  <c r="V164" i="8"/>
  <c r="W163" i="8"/>
  <c r="V163" i="8"/>
  <c r="X163" i="8"/>
  <c r="Z163" i="8" s="1"/>
  <c r="W162" i="8"/>
  <c r="V162" i="8"/>
  <c r="X162" i="8"/>
  <c r="Z162" i="8" s="1"/>
  <c r="W161" i="8"/>
  <c r="V161" i="8"/>
  <c r="X161" i="8"/>
  <c r="Z161" i="8" s="1"/>
  <c r="W160" i="8"/>
  <c r="V160" i="8"/>
  <c r="X160" i="8"/>
  <c r="Z160" i="8" s="1"/>
  <c r="W159" i="8"/>
  <c r="V159" i="8"/>
  <c r="X159" i="8"/>
  <c r="Z159" i="8" s="1"/>
  <c r="X158" i="8"/>
  <c r="Z158" i="8" s="1"/>
  <c r="W158" i="8"/>
  <c r="V158" i="8"/>
  <c r="W157" i="8"/>
  <c r="V157" i="8"/>
  <c r="X157" i="8"/>
  <c r="Z157" i="8" s="1"/>
  <c r="W156" i="8"/>
  <c r="V156" i="8"/>
  <c r="X156" i="8"/>
  <c r="Z156" i="8" s="1"/>
  <c r="W155" i="8"/>
  <c r="V155" i="8"/>
  <c r="X155" i="8"/>
  <c r="Z155" i="8" s="1"/>
  <c r="W154" i="8"/>
  <c r="V154" i="8"/>
  <c r="X154" i="8"/>
  <c r="Z154" i="8" s="1"/>
  <c r="W153" i="8"/>
  <c r="V153" i="8"/>
  <c r="X153" i="8"/>
  <c r="Z153" i="8" s="1"/>
  <c r="X152" i="8"/>
  <c r="Z152" i="8" s="1"/>
  <c r="W152" i="8"/>
  <c r="V152" i="8"/>
  <c r="W151" i="8"/>
  <c r="V151" i="8"/>
  <c r="X151" i="8"/>
  <c r="Z151" i="8" s="1"/>
  <c r="X150" i="8"/>
  <c r="Z150" i="8" s="1"/>
  <c r="W150" i="8"/>
  <c r="V150" i="8"/>
  <c r="W149" i="8"/>
  <c r="V149" i="8"/>
  <c r="X149" i="8"/>
  <c r="Z149" i="8" s="1"/>
  <c r="W148" i="8"/>
  <c r="V148" i="8"/>
  <c r="X148" i="8"/>
  <c r="Z148" i="8" s="1"/>
  <c r="W147" i="8"/>
  <c r="V147" i="8"/>
  <c r="X147" i="8"/>
  <c r="Z147" i="8" s="1"/>
  <c r="W146" i="8"/>
  <c r="V146" i="8"/>
  <c r="X146" i="8"/>
  <c r="Z146" i="8" s="1"/>
  <c r="W145" i="8"/>
  <c r="V145" i="8"/>
  <c r="X145" i="8"/>
  <c r="Z145" i="8" s="1"/>
  <c r="W144" i="8"/>
  <c r="V144" i="8"/>
  <c r="X144" i="8"/>
  <c r="Z144" i="8" s="1"/>
  <c r="W143" i="8"/>
  <c r="V143" i="8"/>
  <c r="X143" i="8"/>
  <c r="Z143" i="8" s="1"/>
  <c r="X142" i="8"/>
  <c r="Z142" i="8" s="1"/>
  <c r="W142" i="8"/>
  <c r="V142" i="8"/>
  <c r="W141" i="8"/>
  <c r="V141" i="8"/>
  <c r="X141" i="8"/>
  <c r="Z141" i="8" s="1"/>
  <c r="X140" i="8"/>
  <c r="Z140" i="8" s="1"/>
  <c r="W140" i="8"/>
  <c r="V140" i="8"/>
  <c r="W139" i="8"/>
  <c r="V139" i="8"/>
  <c r="X139" i="8"/>
  <c r="Z139" i="8" s="1"/>
  <c r="W138" i="8"/>
  <c r="V138" i="8"/>
  <c r="X138" i="8"/>
  <c r="Z138" i="8" s="1"/>
  <c r="W137" i="8"/>
  <c r="V137" i="8"/>
  <c r="X137" i="8"/>
  <c r="Z137" i="8" s="1"/>
  <c r="X136" i="8"/>
  <c r="Z136" i="8" s="1"/>
  <c r="W136" i="8"/>
  <c r="V136" i="8"/>
  <c r="W135" i="8"/>
  <c r="V135" i="8"/>
  <c r="X135" i="8"/>
  <c r="Z135" i="8" s="1"/>
  <c r="W134" i="8"/>
  <c r="V134" i="8"/>
  <c r="X134" i="8"/>
  <c r="Z134" i="8" s="1"/>
  <c r="W133" i="8"/>
  <c r="V133" i="8"/>
  <c r="X133" i="8"/>
  <c r="Z133" i="8" s="1"/>
  <c r="X132" i="8"/>
  <c r="Z132" i="8" s="1"/>
  <c r="W132" i="8"/>
  <c r="V132" i="8"/>
  <c r="W131" i="8"/>
  <c r="V131" i="8"/>
  <c r="X131" i="8"/>
  <c r="Z131" i="8" s="1"/>
  <c r="W130" i="8"/>
  <c r="V130" i="8"/>
  <c r="X130" i="8"/>
  <c r="Z130" i="8" s="1"/>
  <c r="W129" i="8"/>
  <c r="V129" i="8"/>
  <c r="X129" i="8"/>
  <c r="Z129" i="8" s="1"/>
  <c r="X128" i="8"/>
  <c r="Z128" i="8" s="1"/>
  <c r="W128" i="8"/>
  <c r="V128" i="8"/>
  <c r="W127" i="8"/>
  <c r="V127" i="8"/>
  <c r="X127" i="8"/>
  <c r="Z127" i="8" s="1"/>
  <c r="X126" i="8"/>
  <c r="Z126" i="8" s="1"/>
  <c r="W126" i="8"/>
  <c r="V126" i="8"/>
  <c r="W125" i="8"/>
  <c r="V125" i="8"/>
  <c r="X125" i="8"/>
  <c r="Z125" i="8" s="1"/>
  <c r="W124" i="8"/>
  <c r="V124" i="8"/>
  <c r="X124" i="8"/>
  <c r="Z124" i="8" s="1"/>
  <c r="W123" i="8"/>
  <c r="V123" i="8"/>
  <c r="X123" i="8"/>
  <c r="Z123" i="8" s="1"/>
  <c r="W122" i="8"/>
  <c r="V122" i="8"/>
  <c r="X122" i="8"/>
  <c r="Z122" i="8" s="1"/>
  <c r="W121" i="8"/>
  <c r="V121" i="8"/>
  <c r="X121" i="8"/>
  <c r="Z121" i="8" s="1"/>
  <c r="W120" i="8"/>
  <c r="V120" i="8"/>
  <c r="X120" i="8"/>
  <c r="Z120" i="8" s="1"/>
  <c r="W119" i="8"/>
  <c r="V119" i="8"/>
  <c r="X119" i="8"/>
  <c r="Z119" i="8" s="1"/>
  <c r="X118" i="8"/>
  <c r="Z118" i="8" s="1"/>
  <c r="W118" i="8"/>
  <c r="V118" i="8"/>
  <c r="W117" i="8"/>
  <c r="V117" i="8"/>
  <c r="X117" i="8"/>
  <c r="Z117" i="8" s="1"/>
  <c r="W116" i="8"/>
  <c r="V116" i="8"/>
  <c r="X116" i="8"/>
  <c r="Z116" i="8" s="1"/>
  <c r="W115" i="8"/>
  <c r="V115" i="8"/>
  <c r="X115" i="8"/>
  <c r="Z115" i="8" s="1"/>
  <c r="W114" i="8"/>
  <c r="V114" i="8"/>
  <c r="X114" i="8"/>
  <c r="Z114" i="8" s="1"/>
  <c r="W113" i="8"/>
  <c r="V113" i="8"/>
  <c r="X113" i="8"/>
  <c r="Z113" i="8" s="1"/>
  <c r="X112" i="8"/>
  <c r="Z112" i="8" s="1"/>
  <c r="W112" i="8"/>
  <c r="V112" i="8"/>
  <c r="W111" i="8"/>
  <c r="V111" i="8"/>
  <c r="X111" i="8"/>
  <c r="Z111" i="8" s="1"/>
  <c r="X110" i="8"/>
  <c r="Z110" i="8" s="1"/>
  <c r="W110" i="8"/>
  <c r="V110" i="8"/>
  <c r="W109" i="8"/>
  <c r="V109" i="8"/>
  <c r="X109" i="8"/>
  <c r="Z109" i="8" s="1"/>
  <c r="W108" i="8"/>
  <c r="V108" i="8"/>
  <c r="X108" i="8"/>
  <c r="Z108" i="8" s="1"/>
  <c r="W107" i="8"/>
  <c r="V107" i="8"/>
  <c r="X107" i="8"/>
  <c r="Z107" i="8" s="1"/>
  <c r="W106" i="8"/>
  <c r="V106" i="8"/>
  <c r="X106" i="8"/>
  <c r="Z106" i="8" s="1"/>
  <c r="W105" i="8"/>
  <c r="V105" i="8"/>
  <c r="X105" i="8"/>
  <c r="Z105" i="8" s="1"/>
  <c r="X104" i="8"/>
  <c r="Z104" i="8" s="1"/>
  <c r="W104" i="8"/>
  <c r="V104" i="8"/>
  <c r="W103" i="8"/>
  <c r="V103" i="8"/>
  <c r="X103" i="8"/>
  <c r="Z103" i="8" s="1"/>
  <c r="X102" i="8"/>
  <c r="Z102" i="8" s="1"/>
  <c r="W102" i="8"/>
  <c r="V102" i="8"/>
  <c r="W101" i="8"/>
  <c r="V101" i="8"/>
  <c r="X101" i="8"/>
  <c r="Z101" i="8" s="1"/>
  <c r="X100" i="8"/>
  <c r="Z100" i="8" s="1"/>
  <c r="W100" i="8"/>
  <c r="V100" i="8"/>
  <c r="W99" i="8"/>
  <c r="V99" i="8"/>
  <c r="X99" i="8"/>
  <c r="Z99" i="8" s="1"/>
  <c r="W98" i="8"/>
  <c r="V98" i="8"/>
  <c r="X98" i="8"/>
  <c r="Z98" i="8" s="1"/>
  <c r="W97" i="8"/>
  <c r="V97" i="8"/>
  <c r="X97" i="8"/>
  <c r="Z97" i="8" s="1"/>
  <c r="W96" i="8"/>
  <c r="V96" i="8"/>
  <c r="X96" i="8"/>
  <c r="Z96" i="8" s="1"/>
  <c r="W95" i="8"/>
  <c r="V95" i="8"/>
  <c r="X95" i="8"/>
  <c r="Z95" i="8" s="1"/>
  <c r="X94" i="8"/>
  <c r="Z94" i="8" s="1"/>
  <c r="W94" i="8"/>
  <c r="V94" i="8"/>
  <c r="W93" i="8"/>
  <c r="V93" i="8"/>
  <c r="X93" i="8"/>
  <c r="Z93" i="8" s="1"/>
  <c r="W92" i="8"/>
  <c r="V92" i="8"/>
  <c r="X92" i="8"/>
  <c r="Z92" i="8" s="1"/>
  <c r="W91" i="8"/>
  <c r="V91" i="8"/>
  <c r="X91" i="8"/>
  <c r="Z91" i="8" s="1"/>
  <c r="W90" i="8"/>
  <c r="V90" i="8"/>
  <c r="X90" i="8"/>
  <c r="Z90" i="8" s="1"/>
  <c r="W89" i="8"/>
  <c r="V89" i="8"/>
  <c r="X89" i="8"/>
  <c r="Z89" i="8" s="1"/>
  <c r="X88" i="8"/>
  <c r="Z88" i="8" s="1"/>
  <c r="W88" i="8"/>
  <c r="V88" i="8"/>
  <c r="AG87" i="8"/>
  <c r="V87" i="8"/>
  <c r="W87" i="8" s="1"/>
  <c r="X87" i="8"/>
  <c r="Z87" i="8" s="1"/>
  <c r="K87" i="8"/>
  <c r="AG86" i="8"/>
  <c r="V86" i="8"/>
  <c r="W86" i="8" s="1"/>
  <c r="X86" i="8"/>
  <c r="Z86" i="8" s="1"/>
  <c r="K86" i="8"/>
  <c r="V85" i="8"/>
  <c r="X85" i="8"/>
  <c r="Z85" i="8" s="1"/>
  <c r="K85" i="8"/>
  <c r="X84" i="8"/>
  <c r="Z84" i="8" s="1"/>
  <c r="W84" i="8"/>
  <c r="V84" i="8"/>
  <c r="AG84" i="8" s="1"/>
  <c r="K84" i="8"/>
  <c r="AG83" i="8"/>
  <c r="V83" i="8"/>
  <c r="W83" i="8" s="1"/>
  <c r="X83" i="8"/>
  <c r="Z83" i="8" s="1"/>
  <c r="K83" i="8"/>
  <c r="V82" i="8"/>
  <c r="AG82" i="8" s="1"/>
  <c r="X82" i="8"/>
  <c r="Z82" i="8" s="1"/>
  <c r="K82" i="8"/>
  <c r="X81" i="8"/>
  <c r="Z81" i="8" s="1"/>
  <c r="W81" i="8"/>
  <c r="V81" i="8"/>
  <c r="AG81" i="8" s="1"/>
  <c r="K81" i="8"/>
  <c r="AG80" i="8"/>
  <c r="W80" i="8"/>
  <c r="V80" i="8"/>
  <c r="X80" i="8"/>
  <c r="Z80" i="8" s="1"/>
  <c r="K80" i="8"/>
  <c r="X79" i="8"/>
  <c r="Z79" i="8" s="1"/>
  <c r="W79" i="8"/>
  <c r="V79" i="8"/>
  <c r="AG79" i="8" s="1"/>
  <c r="K79" i="8"/>
  <c r="AG78" i="8"/>
  <c r="W78" i="8"/>
  <c r="V78" i="8"/>
  <c r="X78" i="8"/>
  <c r="Z78" i="8" s="1"/>
  <c r="K78" i="8"/>
  <c r="W77" i="8"/>
  <c r="V77" i="8"/>
  <c r="AG77" i="8" s="1"/>
  <c r="X77" i="8"/>
  <c r="Z77" i="8" s="1"/>
  <c r="K77" i="8"/>
  <c r="V76" i="8"/>
  <c r="AG76" i="8" s="1"/>
  <c r="X76" i="8"/>
  <c r="Z76" i="8" s="1"/>
  <c r="K76" i="8"/>
  <c r="W75" i="8"/>
  <c r="V75" i="8"/>
  <c r="AG75" i="8" s="1"/>
  <c r="X75" i="8"/>
  <c r="Z75" i="8" s="1"/>
  <c r="K75" i="8"/>
  <c r="V74" i="8"/>
  <c r="AG74" i="8" s="1"/>
  <c r="X74" i="8"/>
  <c r="Z74" i="8" s="1"/>
  <c r="K74" i="8"/>
  <c r="W73" i="8"/>
  <c r="V73" i="8"/>
  <c r="AG73" i="8" s="1"/>
  <c r="X73" i="8"/>
  <c r="Z73" i="8" s="1"/>
  <c r="K73" i="8"/>
  <c r="AG72" i="8"/>
  <c r="W72" i="8"/>
  <c r="V72" i="8"/>
  <c r="X72" i="8"/>
  <c r="Z72" i="8" s="1"/>
  <c r="K72" i="8"/>
  <c r="W71" i="8"/>
  <c r="V71" i="8"/>
  <c r="AG71" i="8" s="1"/>
  <c r="X71" i="8"/>
  <c r="Z71" i="8" s="1"/>
  <c r="K71" i="8"/>
  <c r="AG70" i="8"/>
  <c r="W70" i="8"/>
  <c r="V70" i="8"/>
  <c r="X70" i="8"/>
  <c r="Z70" i="8" s="1"/>
  <c r="K70" i="8"/>
  <c r="W69" i="8"/>
  <c r="V69" i="8"/>
  <c r="AG69" i="8" s="1"/>
  <c r="X69" i="8"/>
  <c r="Z69" i="8" s="1"/>
  <c r="K69" i="8"/>
  <c r="V68" i="8"/>
  <c r="AG68" i="8" s="1"/>
  <c r="X68" i="8"/>
  <c r="Z68" i="8" s="1"/>
  <c r="K68" i="8"/>
  <c r="W67" i="8"/>
  <c r="V67" i="8"/>
  <c r="AG67" i="8" s="1"/>
  <c r="X67" i="8"/>
  <c r="Z67" i="8" s="1"/>
  <c r="K67" i="8"/>
  <c r="V66" i="8"/>
  <c r="AG66" i="8" s="1"/>
  <c r="X66" i="8"/>
  <c r="Z66" i="8" s="1"/>
  <c r="K66" i="8"/>
  <c r="X65" i="8"/>
  <c r="Z65" i="8" s="1"/>
  <c r="V65" i="8"/>
  <c r="W65" i="8" s="1"/>
  <c r="K65" i="8"/>
  <c r="W64" i="8"/>
  <c r="V64" i="8"/>
  <c r="AG64" i="8" s="1"/>
  <c r="X64" i="8"/>
  <c r="Z64" i="8" s="1"/>
  <c r="K64" i="8"/>
  <c r="V63" i="8"/>
  <c r="W63" i="8" s="1"/>
  <c r="X63" i="8"/>
  <c r="Z63" i="8" s="1"/>
  <c r="K63" i="8"/>
  <c r="AG62" i="8"/>
  <c r="W62" i="8"/>
  <c r="V62" i="8"/>
  <c r="X62" i="8"/>
  <c r="Z62" i="8" s="1"/>
  <c r="K62" i="8"/>
  <c r="V61" i="8"/>
  <c r="W61" i="8" s="1"/>
  <c r="X61" i="8"/>
  <c r="Z61" i="8" s="1"/>
  <c r="K61" i="8"/>
  <c r="AG60" i="8"/>
  <c r="V60" i="8"/>
  <c r="W60" i="8" s="1"/>
  <c r="X60" i="8"/>
  <c r="Z60" i="8" s="1"/>
  <c r="K60" i="8"/>
  <c r="V59" i="8"/>
  <c r="W59" i="8" s="1"/>
  <c r="X59" i="8"/>
  <c r="Z59" i="8" s="1"/>
  <c r="K59" i="8"/>
  <c r="V58" i="8"/>
  <c r="AG58" i="8" s="1"/>
  <c r="X58" i="8"/>
  <c r="Z58" i="8" s="1"/>
  <c r="K58" i="8"/>
  <c r="V57" i="8"/>
  <c r="W57" i="8" s="1"/>
  <c r="X57" i="8"/>
  <c r="Z57" i="8" s="1"/>
  <c r="K57" i="8"/>
  <c r="W56" i="8"/>
  <c r="V56" i="8"/>
  <c r="AG56" i="8" s="1"/>
  <c r="X56" i="8"/>
  <c r="Z56" i="8" s="1"/>
  <c r="K56" i="8"/>
  <c r="V55" i="8"/>
  <c r="W55" i="8" s="1"/>
  <c r="X55" i="8"/>
  <c r="Z55" i="8" s="1"/>
  <c r="K55" i="8"/>
  <c r="AG54" i="8"/>
  <c r="W54" i="8"/>
  <c r="V54" i="8"/>
  <c r="X54" i="8"/>
  <c r="Z54" i="8" s="1"/>
  <c r="K54" i="8"/>
  <c r="V53" i="8"/>
  <c r="W53" i="8" s="1"/>
  <c r="X53" i="8"/>
  <c r="Z53" i="8" s="1"/>
  <c r="K53" i="8"/>
  <c r="AG52" i="8"/>
  <c r="V52" i="8"/>
  <c r="W52" i="8" s="1"/>
  <c r="X52" i="8"/>
  <c r="Z52" i="8" s="1"/>
  <c r="K52" i="8"/>
  <c r="V51" i="8"/>
  <c r="W51" i="8" s="1"/>
  <c r="X51" i="8"/>
  <c r="Z51" i="8" s="1"/>
  <c r="K51" i="8"/>
  <c r="V50" i="8"/>
  <c r="AG50" i="8" s="1"/>
  <c r="X50" i="8"/>
  <c r="Z50" i="8" s="1"/>
  <c r="K50" i="8"/>
  <c r="V49" i="8"/>
  <c r="W49" i="8" s="1"/>
  <c r="X49" i="8"/>
  <c r="Z49" i="8" s="1"/>
  <c r="K49" i="8"/>
  <c r="W48" i="8"/>
  <c r="V48" i="8"/>
  <c r="AG48" i="8" s="1"/>
  <c r="X48" i="8"/>
  <c r="Z48" i="8" s="1"/>
  <c r="K48" i="8"/>
  <c r="V47" i="8"/>
  <c r="W47" i="8" s="1"/>
  <c r="X47" i="8"/>
  <c r="Z47" i="8" s="1"/>
  <c r="K47" i="8"/>
  <c r="AG46" i="8"/>
  <c r="W46" i="8"/>
  <c r="V46" i="8"/>
  <c r="X46" i="8"/>
  <c r="Z46" i="8" s="1"/>
  <c r="K46" i="8"/>
  <c r="V45" i="8"/>
  <c r="W45" i="8" s="1"/>
  <c r="X45" i="8"/>
  <c r="Z45" i="8" s="1"/>
  <c r="K45" i="8"/>
  <c r="AG44" i="8"/>
  <c r="V44" i="8"/>
  <c r="W44" i="8" s="1"/>
  <c r="X44" i="8"/>
  <c r="Z44" i="8" s="1"/>
  <c r="K44" i="8"/>
  <c r="V43" i="8"/>
  <c r="W43" i="8" s="1"/>
  <c r="X43" i="8"/>
  <c r="Z43" i="8" s="1"/>
  <c r="K43" i="8"/>
  <c r="V42" i="8"/>
  <c r="AG42" i="8" s="1"/>
  <c r="X42" i="8"/>
  <c r="Z42" i="8" s="1"/>
  <c r="K42" i="8"/>
  <c r="V41" i="8"/>
  <c r="W41" i="8" s="1"/>
  <c r="X41" i="8"/>
  <c r="Z41" i="8" s="1"/>
  <c r="K41" i="8"/>
  <c r="W40" i="8"/>
  <c r="V40" i="8"/>
  <c r="AG40" i="8" s="1"/>
  <c r="X40" i="8"/>
  <c r="Z40" i="8" s="1"/>
  <c r="K40" i="8"/>
  <c r="V39" i="8"/>
  <c r="W39" i="8" s="1"/>
  <c r="X39" i="8"/>
  <c r="Z39" i="8" s="1"/>
  <c r="K39" i="8"/>
  <c r="AG38" i="8"/>
  <c r="W38" i="8"/>
  <c r="V38" i="8"/>
  <c r="X38" i="8"/>
  <c r="Z38" i="8" s="1"/>
  <c r="K38" i="8"/>
  <c r="V37" i="8"/>
  <c r="W37" i="8" s="1"/>
  <c r="X37" i="8"/>
  <c r="Z37" i="8" s="1"/>
  <c r="K37" i="8"/>
  <c r="AG36" i="8"/>
  <c r="X36" i="8"/>
  <c r="Z36" i="8" s="1"/>
  <c r="V36" i="8"/>
  <c r="W36" i="8" s="1"/>
  <c r="K36" i="8"/>
  <c r="V35" i="8"/>
  <c r="W35" i="8" s="1"/>
  <c r="X35" i="8"/>
  <c r="Z35" i="8" s="1"/>
  <c r="K35" i="8"/>
  <c r="V34" i="8"/>
  <c r="AG34" i="8" s="1"/>
  <c r="X34" i="8"/>
  <c r="Z34" i="8" s="1"/>
  <c r="K34" i="8"/>
  <c r="V33" i="8"/>
  <c r="W33" i="8" s="1"/>
  <c r="X33" i="8"/>
  <c r="Z33" i="8" s="1"/>
  <c r="K33" i="8"/>
  <c r="AG32" i="8"/>
  <c r="V31" i="8"/>
  <c r="W31" i="8" s="1"/>
  <c r="X31" i="8"/>
  <c r="Z31" i="8" s="1"/>
  <c r="K31" i="8"/>
  <c r="W30" i="8"/>
  <c r="V30" i="8"/>
  <c r="AG30" i="8" s="1"/>
  <c r="X30" i="8"/>
  <c r="Z30" i="8" s="1"/>
  <c r="K30" i="8"/>
  <c r="V29" i="8"/>
  <c r="W29" i="8" s="1"/>
  <c r="X29" i="8"/>
  <c r="Z29" i="8" s="1"/>
  <c r="K29" i="8"/>
  <c r="AG28" i="8"/>
  <c r="V28" i="8"/>
  <c r="W28" i="8" s="1"/>
  <c r="X28" i="8"/>
  <c r="Z28" i="8" s="1"/>
  <c r="K28" i="8"/>
  <c r="V27" i="8"/>
  <c r="W27" i="8" s="1"/>
  <c r="X27" i="8"/>
  <c r="Z27" i="8" s="1"/>
  <c r="K27" i="8"/>
  <c r="V26" i="8"/>
  <c r="AG26" i="8" s="1"/>
  <c r="X26" i="8"/>
  <c r="Z26" i="8" s="1"/>
  <c r="K26" i="8"/>
  <c r="V25" i="8"/>
  <c r="W25" i="8" s="1"/>
  <c r="X25" i="8"/>
  <c r="Z25" i="8" s="1"/>
  <c r="K25" i="8"/>
  <c r="V24" i="8"/>
  <c r="AG24" i="8" s="1"/>
  <c r="X24" i="8"/>
  <c r="Z24" i="8" s="1"/>
  <c r="K24" i="8"/>
  <c r="X23" i="8"/>
  <c r="Z23" i="8" s="1"/>
  <c r="V23" i="8"/>
  <c r="W23" i="8" s="1"/>
  <c r="K23" i="8"/>
  <c r="AG22" i="8"/>
  <c r="W22" i="8"/>
  <c r="V22" i="8"/>
  <c r="X22" i="8"/>
  <c r="Z22" i="8" s="1"/>
  <c r="K22" i="8"/>
  <c r="V21" i="8"/>
  <c r="W21" i="8" s="1"/>
  <c r="X21" i="8"/>
  <c r="Z21" i="8" s="1"/>
  <c r="K21" i="8"/>
  <c r="AG20" i="8"/>
  <c r="V20" i="8"/>
  <c r="W20" i="8" s="1"/>
  <c r="X20" i="8"/>
  <c r="Z20" i="8" s="1"/>
  <c r="K20" i="8"/>
  <c r="V19" i="8"/>
  <c r="W19" i="8" s="1"/>
  <c r="X19" i="8"/>
  <c r="Z19" i="8" s="1"/>
  <c r="K19" i="8"/>
  <c r="V18" i="8"/>
  <c r="AG18" i="8" s="1"/>
  <c r="X18" i="8"/>
  <c r="Z18" i="8" s="1"/>
  <c r="K18" i="8"/>
  <c r="V17" i="8"/>
  <c r="W17" i="8" s="1"/>
  <c r="X17" i="8"/>
  <c r="Z17" i="8" s="1"/>
  <c r="K17" i="8"/>
  <c r="V16" i="8"/>
  <c r="AG16" i="8" s="1"/>
  <c r="X16" i="8"/>
  <c r="Z16" i="8" s="1"/>
  <c r="K16" i="8"/>
  <c r="V15" i="8"/>
  <c r="W15" i="8" s="1"/>
  <c r="X15" i="8"/>
  <c r="Z15" i="8" s="1"/>
  <c r="K15" i="8"/>
  <c r="V14" i="8"/>
  <c r="AI251" i="8" s="1"/>
  <c r="X14" i="8"/>
  <c r="Z14" i="8" s="1"/>
  <c r="K14" i="8"/>
  <c r="V13" i="8"/>
  <c r="W13" i="8" s="1"/>
  <c r="X13" i="8"/>
  <c r="Z13" i="8" s="1"/>
  <c r="K13" i="8"/>
  <c r="V12" i="8"/>
  <c r="W12" i="8" s="1"/>
  <c r="X12" i="8"/>
  <c r="Z12" i="8" s="1"/>
  <c r="K12" i="8"/>
  <c r="AH11" i="8"/>
  <c r="V11" i="8"/>
  <c r="W11" i="8" s="1"/>
  <c r="X11" i="8"/>
  <c r="Z11" i="8" s="1"/>
  <c r="K11" i="8"/>
  <c r="AH10" i="8"/>
  <c r="V10" i="8"/>
  <c r="AG10" i="8" s="1"/>
  <c r="X10" i="8"/>
  <c r="Z10" i="8" s="1"/>
  <c r="K10" i="8"/>
  <c r="AH9" i="8"/>
  <c r="V9" i="8"/>
  <c r="W9" i="8" s="1"/>
  <c r="X9" i="8"/>
  <c r="Z9" i="8" s="1"/>
  <c r="K9" i="8"/>
  <c r="AH8" i="8"/>
  <c r="V8" i="8"/>
  <c r="AG8" i="8" s="1"/>
  <c r="X8" i="8"/>
  <c r="Z8" i="8" s="1"/>
  <c r="K8" i="8"/>
  <c r="AH7" i="8"/>
  <c r="V7" i="8"/>
  <c r="W7" i="8" s="1"/>
  <c r="X7" i="8"/>
  <c r="Z7" i="8" s="1"/>
  <c r="K7" i="8"/>
  <c r="AH6" i="8"/>
  <c r="AG6" i="8"/>
  <c r="W6" i="8"/>
  <c r="V6" i="8"/>
  <c r="X6" i="8"/>
  <c r="Z6" i="8" s="1"/>
  <c r="K6" i="8"/>
  <c r="AH5" i="8"/>
  <c r="V5" i="8"/>
  <c r="W5" i="8" s="1"/>
  <c r="X5" i="8"/>
  <c r="Z5" i="8" s="1"/>
  <c r="K5" i="8"/>
  <c r="AH4" i="8"/>
  <c r="AG4" i="8"/>
  <c r="AH3" i="8"/>
  <c r="AH2" i="8"/>
  <c r="AL267" i="7"/>
  <c r="AN267" i="7" s="1"/>
  <c r="AI267" i="7"/>
  <c r="AH267" i="7"/>
  <c r="AK267" i="7" s="1"/>
  <c r="AL266" i="7"/>
  <c r="AI266" i="7"/>
  <c r="AH266" i="7"/>
  <c r="AK266" i="7" s="1"/>
  <c r="AL265" i="7"/>
  <c r="AM265" i="7" s="1"/>
  <c r="AP265" i="7" s="1"/>
  <c r="AI265" i="7"/>
  <c r="AH265" i="7"/>
  <c r="AK265" i="7" s="1"/>
  <c r="AL264" i="7"/>
  <c r="AN264" i="7" s="1"/>
  <c r="AI264" i="7"/>
  <c r="AH264" i="7"/>
  <c r="AK264" i="7" s="1"/>
  <c r="AL263" i="7"/>
  <c r="AN263" i="7" s="1"/>
  <c r="AI263" i="7"/>
  <c r="AH263" i="7"/>
  <c r="AK263" i="7" s="1"/>
  <c r="AL262" i="7"/>
  <c r="AN262" i="7" s="1"/>
  <c r="AI262" i="7"/>
  <c r="AH262" i="7"/>
  <c r="AK262" i="7" s="1"/>
  <c r="AL261" i="7"/>
  <c r="AN261" i="7" s="1"/>
  <c r="AI261" i="7"/>
  <c r="AH261" i="7"/>
  <c r="AK261" i="7" s="1"/>
  <c r="AL260" i="7"/>
  <c r="AN260" i="7" s="1"/>
  <c r="AI260" i="7"/>
  <c r="AH260" i="7"/>
  <c r="AK260" i="7" s="1"/>
  <c r="AL259" i="7"/>
  <c r="AN259" i="7" s="1"/>
  <c r="AI259" i="7"/>
  <c r="AH259" i="7"/>
  <c r="AK259" i="7" s="1"/>
  <c r="AL258" i="7"/>
  <c r="AN258" i="7" s="1"/>
  <c r="AI258" i="7"/>
  <c r="AH258" i="7"/>
  <c r="AK258" i="7" s="1"/>
  <c r="AL257" i="7"/>
  <c r="AN257" i="7" s="1"/>
  <c r="AI257" i="7"/>
  <c r="AH257" i="7"/>
  <c r="AK257" i="7" s="1"/>
  <c r="AL256" i="7"/>
  <c r="AN256" i="7" s="1"/>
  <c r="AI256" i="7"/>
  <c r="AH256" i="7"/>
  <c r="AK256" i="7" s="1"/>
  <c r="AL255" i="7"/>
  <c r="AN255" i="7" s="1"/>
  <c r="AI255" i="7"/>
  <c r="AH255" i="7"/>
  <c r="AK255" i="7" s="1"/>
  <c r="AL254" i="7"/>
  <c r="AN254" i="7" s="1"/>
  <c r="AH254" i="7"/>
  <c r="AK254" i="7" s="1"/>
  <c r="AL253" i="7"/>
  <c r="AN253" i="7" s="1"/>
  <c r="AH253" i="7"/>
  <c r="AK253" i="7" s="1"/>
  <c r="AL252" i="7"/>
  <c r="AN252" i="7" s="1"/>
  <c r="AH252" i="7"/>
  <c r="AK252" i="7" s="1"/>
  <c r="AL251" i="7"/>
  <c r="AN251" i="7" s="1"/>
  <c r="AH251" i="7"/>
  <c r="AK251" i="7" s="1"/>
  <c r="AL250" i="7"/>
  <c r="AN250" i="7" s="1"/>
  <c r="AI250" i="7"/>
  <c r="AH250" i="7"/>
  <c r="AK250" i="7" s="1"/>
  <c r="AL249" i="7"/>
  <c r="AN249" i="7" s="1"/>
  <c r="AI249" i="7"/>
  <c r="AH249" i="7"/>
  <c r="AK249" i="7" s="1"/>
  <c r="AL248" i="7"/>
  <c r="AN248" i="7" s="1"/>
  <c r="AI248" i="7"/>
  <c r="AH248" i="7"/>
  <c r="AK248" i="7" s="1"/>
  <c r="AL247" i="7"/>
  <c r="AN247" i="7" s="1"/>
  <c r="AI247" i="7"/>
  <c r="AH247" i="7"/>
  <c r="AK247" i="7" s="1"/>
  <c r="AL246" i="7"/>
  <c r="AN246" i="7" s="1"/>
  <c r="AI246" i="7"/>
  <c r="AH246" i="7"/>
  <c r="AK246" i="7" s="1"/>
  <c r="AL245" i="7"/>
  <c r="AN245" i="7" s="1"/>
  <c r="AI245" i="7"/>
  <c r="AH245" i="7"/>
  <c r="AK245" i="7" s="1"/>
  <c r="AL244" i="7"/>
  <c r="AN244" i="7" s="1"/>
  <c r="AI244" i="7"/>
  <c r="AH244" i="7"/>
  <c r="AK244" i="7" s="1"/>
  <c r="AL243" i="7"/>
  <c r="AN243" i="7" s="1"/>
  <c r="AI243" i="7"/>
  <c r="AH243" i="7"/>
  <c r="AK243" i="7" s="1"/>
  <c r="AL242" i="7"/>
  <c r="AN242" i="7" s="1"/>
  <c r="AH242" i="7"/>
  <c r="AK242" i="7" s="1"/>
  <c r="AL241" i="7"/>
  <c r="AN241" i="7" s="1"/>
  <c r="AH241" i="7"/>
  <c r="AK241" i="7" s="1"/>
  <c r="AL240" i="7"/>
  <c r="AN240" i="7" s="1"/>
  <c r="AH240" i="7"/>
  <c r="AK240" i="7" s="1"/>
  <c r="AL239" i="7"/>
  <c r="AN239" i="7" s="1"/>
  <c r="AI239" i="7"/>
  <c r="AH239" i="7"/>
  <c r="AK239" i="7" s="1"/>
  <c r="AL238" i="7"/>
  <c r="AN238" i="7" s="1"/>
  <c r="AI238" i="7"/>
  <c r="AH238" i="7"/>
  <c r="AK238" i="7" s="1"/>
  <c r="AL237" i="7"/>
  <c r="AN237" i="7" s="1"/>
  <c r="AI237" i="7"/>
  <c r="AH237" i="7"/>
  <c r="AK237" i="7" s="1"/>
  <c r="AL236" i="7"/>
  <c r="AN236" i="7" s="1"/>
  <c r="AI236" i="7"/>
  <c r="AH236" i="7"/>
  <c r="AK236" i="7" s="1"/>
  <c r="AL235" i="7"/>
  <c r="AN235" i="7" s="1"/>
  <c r="AI235" i="7"/>
  <c r="AH235" i="7"/>
  <c r="AK235" i="7" s="1"/>
  <c r="AL234" i="7"/>
  <c r="AN234" i="7" s="1"/>
  <c r="AI234" i="7"/>
  <c r="AH234" i="7"/>
  <c r="AK234" i="7" s="1"/>
  <c r="AL233" i="7"/>
  <c r="AN233" i="7" s="1"/>
  <c r="AI233" i="7"/>
  <c r="AH233" i="7"/>
  <c r="AK233" i="7" s="1"/>
  <c r="AL232" i="7"/>
  <c r="AN232" i="7" s="1"/>
  <c r="AI232" i="7"/>
  <c r="AH232" i="7"/>
  <c r="AK232" i="7" s="1"/>
  <c r="AL231" i="7"/>
  <c r="AN231" i="7" s="1"/>
  <c r="AI231" i="7"/>
  <c r="AH231" i="7"/>
  <c r="AK231" i="7" s="1"/>
  <c r="AL230" i="7"/>
  <c r="AN230" i="7" s="1"/>
  <c r="AI230" i="7"/>
  <c r="AH230" i="7"/>
  <c r="AK230" i="7" s="1"/>
  <c r="AL229" i="7"/>
  <c r="AN229" i="7" s="1"/>
  <c r="AI229" i="7"/>
  <c r="AH229" i="7"/>
  <c r="AK229" i="7" s="1"/>
  <c r="AL228" i="7"/>
  <c r="AN228" i="7" s="1"/>
  <c r="AI228" i="7"/>
  <c r="AH228" i="7"/>
  <c r="AK228" i="7" s="1"/>
  <c r="AL227" i="7"/>
  <c r="AN227" i="7" s="1"/>
  <c r="AI227" i="7"/>
  <c r="AH227" i="7"/>
  <c r="AK227" i="7" s="1"/>
  <c r="AL226" i="7"/>
  <c r="AN226" i="7" s="1"/>
  <c r="AI226" i="7"/>
  <c r="AH226" i="7"/>
  <c r="AK226" i="7" s="1"/>
  <c r="AL225" i="7"/>
  <c r="AN225" i="7" s="1"/>
  <c r="AI225" i="7"/>
  <c r="AH225" i="7"/>
  <c r="AK225" i="7" s="1"/>
  <c r="AL224" i="7"/>
  <c r="AN224" i="7" s="1"/>
  <c r="AI224" i="7"/>
  <c r="AH224" i="7"/>
  <c r="AK224" i="7" s="1"/>
  <c r="AL223" i="7"/>
  <c r="AN223" i="7" s="1"/>
  <c r="AI223" i="7"/>
  <c r="AH223" i="7"/>
  <c r="AK223" i="7" s="1"/>
  <c r="AL222" i="7"/>
  <c r="AN222" i="7" s="1"/>
  <c r="AI222" i="7"/>
  <c r="AH222" i="7"/>
  <c r="AK222" i="7" s="1"/>
  <c r="AL221" i="7"/>
  <c r="AN221" i="7" s="1"/>
  <c r="AI221" i="7"/>
  <c r="AH221" i="7"/>
  <c r="AK221" i="7" s="1"/>
  <c r="AL220" i="7"/>
  <c r="AN220" i="7" s="1"/>
  <c r="AI220" i="7"/>
  <c r="AH220" i="7"/>
  <c r="AK220" i="7" s="1"/>
  <c r="AL219" i="7"/>
  <c r="AN219" i="7" s="1"/>
  <c r="AI219" i="7"/>
  <c r="AH219" i="7"/>
  <c r="AK219" i="7" s="1"/>
  <c r="AL218" i="7"/>
  <c r="AN218" i="7" s="1"/>
  <c r="AI218" i="7"/>
  <c r="AH218" i="7"/>
  <c r="AK218" i="7" s="1"/>
  <c r="AL217" i="7"/>
  <c r="AN217" i="7" s="1"/>
  <c r="AI217" i="7"/>
  <c r="AH217" i="7"/>
  <c r="AK217" i="7" s="1"/>
  <c r="AL216" i="7"/>
  <c r="AN216" i="7" s="1"/>
  <c r="AI216" i="7"/>
  <c r="AH216" i="7"/>
  <c r="AK216" i="7" s="1"/>
  <c r="AL215" i="7"/>
  <c r="AN215" i="7" s="1"/>
  <c r="AI215" i="7"/>
  <c r="AH215" i="7"/>
  <c r="AK215" i="7" s="1"/>
  <c r="AL214" i="7"/>
  <c r="AN214" i="7" s="1"/>
  <c r="AI214" i="7"/>
  <c r="AH214" i="7"/>
  <c r="AK214" i="7" s="1"/>
  <c r="AL213" i="7"/>
  <c r="AN213" i="7" s="1"/>
  <c r="AI213" i="7"/>
  <c r="AH213" i="7"/>
  <c r="AK213" i="7" s="1"/>
  <c r="AL212" i="7"/>
  <c r="AN212" i="7" s="1"/>
  <c r="AI212" i="7"/>
  <c r="AH212" i="7"/>
  <c r="AK212" i="7" s="1"/>
  <c r="AL211" i="7"/>
  <c r="AN211" i="7" s="1"/>
  <c r="AI211" i="7"/>
  <c r="AH211" i="7"/>
  <c r="AK211" i="7" s="1"/>
  <c r="AL210" i="7"/>
  <c r="AN210" i="7" s="1"/>
  <c r="AI210" i="7"/>
  <c r="AH210" i="7"/>
  <c r="AK210" i="7" s="1"/>
  <c r="AL209" i="7"/>
  <c r="AN209" i="7" s="1"/>
  <c r="AI209" i="7"/>
  <c r="AH209" i="7"/>
  <c r="AK209" i="7" s="1"/>
  <c r="AL208" i="7"/>
  <c r="AN208" i="7" s="1"/>
  <c r="AI208" i="7"/>
  <c r="AH208" i="7"/>
  <c r="AK208" i="7" s="1"/>
  <c r="AL207" i="7"/>
  <c r="AN207" i="7" s="1"/>
  <c r="AI207" i="7"/>
  <c r="AH207" i="7"/>
  <c r="AK207" i="7" s="1"/>
  <c r="AB207" i="7"/>
  <c r="AL206" i="7"/>
  <c r="AN206" i="7" s="1"/>
  <c r="AI206" i="7"/>
  <c r="AH206" i="7"/>
  <c r="AK206" i="7" s="1"/>
  <c r="AP205" i="7"/>
  <c r="AN205" i="7"/>
  <c r="AI205" i="7"/>
  <c r="AH205" i="7"/>
  <c r="AL204" i="7"/>
  <c r="AN204" i="7" s="1"/>
  <c r="AI204" i="7"/>
  <c r="AH204" i="7"/>
  <c r="AL203" i="7"/>
  <c r="AN203" i="7" s="1"/>
  <c r="AI203" i="7"/>
  <c r="AH203" i="7"/>
  <c r="AH200" i="7"/>
  <c r="W200" i="7"/>
  <c r="V200" i="7"/>
  <c r="AG200" i="7" s="1"/>
  <c r="X200" i="7"/>
  <c r="Z200" i="7" s="1"/>
  <c r="K200" i="7"/>
  <c r="AH199" i="7"/>
  <c r="V199" i="7"/>
  <c r="W199" i="7" s="1"/>
  <c r="X199" i="7"/>
  <c r="Z199" i="7" s="1"/>
  <c r="AH198" i="7"/>
  <c r="W198" i="7"/>
  <c r="V198" i="7"/>
  <c r="X198" i="7"/>
  <c r="Z198" i="7" s="1"/>
  <c r="AH197" i="7"/>
  <c r="W197" i="7"/>
  <c r="V197" i="7"/>
  <c r="X197" i="7"/>
  <c r="Z197" i="7" s="1"/>
  <c r="AH196" i="7"/>
  <c r="W196" i="7"/>
  <c r="V196" i="7"/>
  <c r="X196" i="7"/>
  <c r="Z196" i="7" s="1"/>
  <c r="AH195" i="7"/>
  <c r="W195" i="7"/>
  <c r="V195" i="7"/>
  <c r="X195" i="7"/>
  <c r="Z195" i="7" s="1"/>
  <c r="AH194" i="7"/>
  <c r="W194" i="7"/>
  <c r="V194" i="7"/>
  <c r="X194" i="7"/>
  <c r="Z194" i="7" s="1"/>
  <c r="AH193" i="7"/>
  <c r="W193" i="7"/>
  <c r="V193" i="7"/>
  <c r="X193" i="7"/>
  <c r="Z193" i="7" s="1"/>
  <c r="AH192" i="7"/>
  <c r="W192" i="7"/>
  <c r="V192" i="7"/>
  <c r="X192" i="7"/>
  <c r="Z192" i="7" s="1"/>
  <c r="AH191" i="7"/>
  <c r="W191" i="7"/>
  <c r="V191" i="7"/>
  <c r="X191" i="7"/>
  <c r="Z191" i="7" s="1"/>
  <c r="AH190" i="7"/>
  <c r="W190" i="7"/>
  <c r="V190" i="7"/>
  <c r="X190" i="7"/>
  <c r="Z190" i="7" s="1"/>
  <c r="AH189" i="7"/>
  <c r="W189" i="7"/>
  <c r="V189" i="7"/>
  <c r="X189" i="7"/>
  <c r="Z189" i="7" s="1"/>
  <c r="AH188" i="7"/>
  <c r="W188" i="7"/>
  <c r="V188" i="7"/>
  <c r="X188" i="7"/>
  <c r="Z188" i="7" s="1"/>
  <c r="AH187" i="7"/>
  <c r="W187" i="7"/>
  <c r="V187" i="7"/>
  <c r="X187" i="7"/>
  <c r="Z187" i="7" s="1"/>
  <c r="AH186" i="7"/>
  <c r="W186" i="7"/>
  <c r="V186" i="7"/>
  <c r="X186" i="7"/>
  <c r="Z186" i="7" s="1"/>
  <c r="AH185" i="7"/>
  <c r="W185" i="7"/>
  <c r="V185" i="7"/>
  <c r="X185" i="7"/>
  <c r="Z185" i="7" s="1"/>
  <c r="AH184" i="7"/>
  <c r="W184" i="7"/>
  <c r="V184" i="7"/>
  <c r="X184" i="7"/>
  <c r="Z184" i="7" s="1"/>
  <c r="AH183" i="7"/>
  <c r="W183" i="7"/>
  <c r="V183" i="7"/>
  <c r="X183" i="7"/>
  <c r="Z183" i="7" s="1"/>
  <c r="AH182" i="7"/>
  <c r="W182" i="7"/>
  <c r="V182" i="7"/>
  <c r="X182" i="7"/>
  <c r="Z182" i="7" s="1"/>
  <c r="AH181" i="7"/>
  <c r="W181" i="7"/>
  <c r="V181" i="7"/>
  <c r="X181" i="7"/>
  <c r="Z181" i="7" s="1"/>
  <c r="AH180" i="7"/>
  <c r="W180" i="7"/>
  <c r="V180" i="7"/>
  <c r="X180" i="7"/>
  <c r="Z180" i="7" s="1"/>
  <c r="AH179" i="7"/>
  <c r="W179" i="7"/>
  <c r="V179" i="7"/>
  <c r="X179" i="7"/>
  <c r="Z179" i="7" s="1"/>
  <c r="AH178" i="7"/>
  <c r="W178" i="7"/>
  <c r="V178" i="7"/>
  <c r="X178" i="7"/>
  <c r="Z178" i="7" s="1"/>
  <c r="AH177" i="7"/>
  <c r="W177" i="7"/>
  <c r="V177" i="7"/>
  <c r="X177" i="7"/>
  <c r="Z177" i="7" s="1"/>
  <c r="AH176" i="7"/>
  <c r="W176" i="7"/>
  <c r="V176" i="7"/>
  <c r="X176" i="7"/>
  <c r="Z176" i="7" s="1"/>
  <c r="AH175" i="7"/>
  <c r="W175" i="7"/>
  <c r="V175" i="7"/>
  <c r="X175" i="7"/>
  <c r="Z175" i="7" s="1"/>
  <c r="AH174" i="7"/>
  <c r="W174" i="7"/>
  <c r="V174" i="7"/>
  <c r="X174" i="7"/>
  <c r="Z174" i="7" s="1"/>
  <c r="AH173" i="7"/>
  <c r="W173" i="7"/>
  <c r="V173" i="7"/>
  <c r="X173" i="7"/>
  <c r="Z173" i="7" s="1"/>
  <c r="AH172" i="7"/>
  <c r="W172" i="7"/>
  <c r="V172" i="7"/>
  <c r="X172" i="7"/>
  <c r="Z172" i="7" s="1"/>
  <c r="AH171" i="7"/>
  <c r="W171" i="7"/>
  <c r="V171" i="7"/>
  <c r="X171" i="7"/>
  <c r="Z171" i="7" s="1"/>
  <c r="AH170" i="7"/>
  <c r="W170" i="7"/>
  <c r="V170" i="7"/>
  <c r="X170" i="7"/>
  <c r="Z170" i="7" s="1"/>
  <c r="AH169" i="7"/>
  <c r="W169" i="7"/>
  <c r="V169" i="7"/>
  <c r="X169" i="7"/>
  <c r="Z169" i="7" s="1"/>
  <c r="AH168" i="7"/>
  <c r="W168" i="7"/>
  <c r="V168" i="7"/>
  <c r="X168" i="7"/>
  <c r="Z168" i="7" s="1"/>
  <c r="AH167" i="7"/>
  <c r="W167" i="7"/>
  <c r="V167" i="7"/>
  <c r="X167" i="7"/>
  <c r="Z167" i="7" s="1"/>
  <c r="AH166" i="7"/>
  <c r="W166" i="7"/>
  <c r="V166" i="7"/>
  <c r="X166" i="7"/>
  <c r="Z166" i="7" s="1"/>
  <c r="AH165" i="7"/>
  <c r="W165" i="7"/>
  <c r="V165" i="7"/>
  <c r="X165" i="7"/>
  <c r="Z165" i="7" s="1"/>
  <c r="AH164" i="7"/>
  <c r="W164" i="7"/>
  <c r="V164" i="7"/>
  <c r="X164" i="7"/>
  <c r="Z164" i="7" s="1"/>
  <c r="AH163" i="7"/>
  <c r="W163" i="7"/>
  <c r="V163" i="7"/>
  <c r="X163" i="7"/>
  <c r="Z163" i="7" s="1"/>
  <c r="AH162" i="7"/>
  <c r="W162" i="7"/>
  <c r="V162" i="7"/>
  <c r="X162" i="7"/>
  <c r="Z162" i="7" s="1"/>
  <c r="AH161" i="7"/>
  <c r="W161" i="7"/>
  <c r="V161" i="7"/>
  <c r="X161" i="7"/>
  <c r="Z161" i="7" s="1"/>
  <c r="AH160" i="7"/>
  <c r="W160" i="7"/>
  <c r="V160" i="7"/>
  <c r="X160" i="7"/>
  <c r="Z160" i="7" s="1"/>
  <c r="AH159" i="7"/>
  <c r="W159" i="7"/>
  <c r="V159" i="7"/>
  <c r="X159" i="7"/>
  <c r="Z159" i="7" s="1"/>
  <c r="AH158" i="7"/>
  <c r="W158" i="7"/>
  <c r="V158" i="7"/>
  <c r="X158" i="7"/>
  <c r="Z158" i="7" s="1"/>
  <c r="AH157" i="7"/>
  <c r="W157" i="7"/>
  <c r="V157" i="7"/>
  <c r="X157" i="7"/>
  <c r="Z157" i="7" s="1"/>
  <c r="AH156" i="7"/>
  <c r="W156" i="7"/>
  <c r="V156" i="7"/>
  <c r="X156" i="7"/>
  <c r="Z156" i="7" s="1"/>
  <c r="AH155" i="7"/>
  <c r="W155" i="7"/>
  <c r="V155" i="7"/>
  <c r="X155" i="7"/>
  <c r="Z155" i="7" s="1"/>
  <c r="AH154" i="7"/>
  <c r="W154" i="7"/>
  <c r="V154" i="7"/>
  <c r="X154" i="7"/>
  <c r="Z154" i="7" s="1"/>
  <c r="AH153" i="7"/>
  <c r="W153" i="7"/>
  <c r="V153" i="7"/>
  <c r="X153" i="7"/>
  <c r="Z153" i="7" s="1"/>
  <c r="AH152" i="7"/>
  <c r="W152" i="7"/>
  <c r="V152" i="7"/>
  <c r="X152" i="7"/>
  <c r="Z152" i="7" s="1"/>
  <c r="AH151" i="7"/>
  <c r="W151" i="7"/>
  <c r="V151" i="7"/>
  <c r="X151" i="7"/>
  <c r="Z151" i="7" s="1"/>
  <c r="AH150" i="7"/>
  <c r="W150" i="7"/>
  <c r="V150" i="7"/>
  <c r="X150" i="7"/>
  <c r="Z150" i="7" s="1"/>
  <c r="AH149" i="7"/>
  <c r="W149" i="7"/>
  <c r="V149" i="7"/>
  <c r="X149" i="7"/>
  <c r="Z149" i="7" s="1"/>
  <c r="AH148" i="7"/>
  <c r="W148" i="7"/>
  <c r="V148" i="7"/>
  <c r="X148" i="7"/>
  <c r="Z148" i="7" s="1"/>
  <c r="AH147" i="7"/>
  <c r="W147" i="7"/>
  <c r="V147" i="7"/>
  <c r="X147" i="7"/>
  <c r="Z147" i="7" s="1"/>
  <c r="AH146" i="7"/>
  <c r="W146" i="7"/>
  <c r="V146" i="7"/>
  <c r="X146" i="7"/>
  <c r="Z146" i="7" s="1"/>
  <c r="AH145" i="7"/>
  <c r="W145" i="7"/>
  <c r="V145" i="7"/>
  <c r="X145" i="7"/>
  <c r="Z145" i="7" s="1"/>
  <c r="AH144" i="7"/>
  <c r="W144" i="7"/>
  <c r="V144" i="7"/>
  <c r="X144" i="7"/>
  <c r="Z144" i="7" s="1"/>
  <c r="AH143" i="7"/>
  <c r="W143" i="7"/>
  <c r="V143" i="7"/>
  <c r="X143" i="7"/>
  <c r="Z143" i="7" s="1"/>
  <c r="AH142" i="7"/>
  <c r="W142" i="7"/>
  <c r="V142" i="7"/>
  <c r="X142" i="7"/>
  <c r="Z142" i="7" s="1"/>
  <c r="AH141" i="7"/>
  <c r="W141" i="7"/>
  <c r="V141" i="7"/>
  <c r="X141" i="7"/>
  <c r="Z141" i="7" s="1"/>
  <c r="AH140" i="7"/>
  <c r="W140" i="7"/>
  <c r="V140" i="7"/>
  <c r="X140" i="7"/>
  <c r="Z140" i="7" s="1"/>
  <c r="AH139" i="7"/>
  <c r="W139" i="7"/>
  <c r="V139" i="7"/>
  <c r="X139" i="7"/>
  <c r="Z139" i="7" s="1"/>
  <c r="AH138" i="7"/>
  <c r="W138" i="7"/>
  <c r="V138" i="7"/>
  <c r="X138" i="7"/>
  <c r="Z138" i="7" s="1"/>
  <c r="AH137" i="7"/>
  <c r="W137" i="7"/>
  <c r="V137" i="7"/>
  <c r="X137" i="7"/>
  <c r="Z137" i="7" s="1"/>
  <c r="AH136" i="7"/>
  <c r="W136" i="7"/>
  <c r="V136" i="7"/>
  <c r="X136" i="7"/>
  <c r="Z136" i="7" s="1"/>
  <c r="AH135" i="7"/>
  <c r="W135" i="7"/>
  <c r="V135" i="7"/>
  <c r="X135" i="7"/>
  <c r="Z135" i="7" s="1"/>
  <c r="AH134" i="7"/>
  <c r="W134" i="7"/>
  <c r="V134" i="7"/>
  <c r="X134" i="7"/>
  <c r="Z134" i="7" s="1"/>
  <c r="AH133" i="7"/>
  <c r="W133" i="7"/>
  <c r="V133" i="7"/>
  <c r="X133" i="7"/>
  <c r="Z133" i="7" s="1"/>
  <c r="AH132" i="7"/>
  <c r="W132" i="7"/>
  <c r="V132" i="7"/>
  <c r="X132" i="7"/>
  <c r="Z132" i="7" s="1"/>
  <c r="AH131" i="7"/>
  <c r="W131" i="7"/>
  <c r="V131" i="7"/>
  <c r="X131" i="7"/>
  <c r="Z131" i="7" s="1"/>
  <c r="AH130" i="7"/>
  <c r="W130" i="7"/>
  <c r="V130" i="7"/>
  <c r="X130" i="7"/>
  <c r="Z130" i="7" s="1"/>
  <c r="AH129" i="7"/>
  <c r="W129" i="7"/>
  <c r="V129" i="7"/>
  <c r="X129" i="7"/>
  <c r="Z129" i="7" s="1"/>
  <c r="AH128" i="7"/>
  <c r="W128" i="7"/>
  <c r="V128" i="7"/>
  <c r="X128" i="7"/>
  <c r="Z128" i="7" s="1"/>
  <c r="AH127" i="7"/>
  <c r="W127" i="7"/>
  <c r="V127" i="7"/>
  <c r="X127" i="7"/>
  <c r="Z127" i="7" s="1"/>
  <c r="AH126" i="7"/>
  <c r="W126" i="7"/>
  <c r="V126" i="7"/>
  <c r="X126" i="7"/>
  <c r="Z126" i="7" s="1"/>
  <c r="AH125" i="7"/>
  <c r="W125" i="7"/>
  <c r="V125" i="7"/>
  <c r="X125" i="7"/>
  <c r="Z125" i="7" s="1"/>
  <c r="AH124" i="7"/>
  <c r="W124" i="7"/>
  <c r="V124" i="7"/>
  <c r="X124" i="7"/>
  <c r="Z124" i="7" s="1"/>
  <c r="AH123" i="7"/>
  <c r="W123" i="7"/>
  <c r="V123" i="7"/>
  <c r="X123" i="7"/>
  <c r="Z123" i="7" s="1"/>
  <c r="AH122" i="7"/>
  <c r="W122" i="7"/>
  <c r="V122" i="7"/>
  <c r="X122" i="7"/>
  <c r="Z122" i="7" s="1"/>
  <c r="AH121" i="7"/>
  <c r="W121" i="7"/>
  <c r="V121" i="7"/>
  <c r="X121" i="7"/>
  <c r="Z121" i="7" s="1"/>
  <c r="AH120" i="7"/>
  <c r="W120" i="7"/>
  <c r="V120" i="7"/>
  <c r="X120" i="7"/>
  <c r="Z120" i="7" s="1"/>
  <c r="AH119" i="7"/>
  <c r="W119" i="7"/>
  <c r="V119" i="7"/>
  <c r="X119" i="7"/>
  <c r="Z119" i="7" s="1"/>
  <c r="AH118" i="7"/>
  <c r="W118" i="7"/>
  <c r="V118" i="7"/>
  <c r="X118" i="7"/>
  <c r="Z118" i="7" s="1"/>
  <c r="AH117" i="7"/>
  <c r="W117" i="7"/>
  <c r="V117" i="7"/>
  <c r="X117" i="7"/>
  <c r="Z117" i="7" s="1"/>
  <c r="AH116" i="7"/>
  <c r="W116" i="7"/>
  <c r="V116" i="7"/>
  <c r="X116" i="7"/>
  <c r="Z116" i="7" s="1"/>
  <c r="AH115" i="7"/>
  <c r="W115" i="7"/>
  <c r="V115" i="7"/>
  <c r="X115" i="7"/>
  <c r="Z115" i="7" s="1"/>
  <c r="AH114" i="7"/>
  <c r="W114" i="7"/>
  <c r="V114" i="7"/>
  <c r="X114" i="7"/>
  <c r="Z114" i="7" s="1"/>
  <c r="AH113" i="7"/>
  <c r="W113" i="7"/>
  <c r="V113" i="7"/>
  <c r="X113" i="7"/>
  <c r="Z113" i="7" s="1"/>
  <c r="AH112" i="7"/>
  <c r="W112" i="7"/>
  <c r="V112" i="7"/>
  <c r="X112" i="7"/>
  <c r="Z112" i="7" s="1"/>
  <c r="AH111" i="7"/>
  <c r="W111" i="7"/>
  <c r="V111" i="7"/>
  <c r="X111" i="7"/>
  <c r="Z111" i="7" s="1"/>
  <c r="AH110" i="7"/>
  <c r="W110" i="7"/>
  <c r="V110" i="7"/>
  <c r="X110" i="7"/>
  <c r="Z110" i="7" s="1"/>
  <c r="AH109" i="7"/>
  <c r="W109" i="7"/>
  <c r="V109" i="7"/>
  <c r="X109" i="7"/>
  <c r="Z109" i="7" s="1"/>
  <c r="AH108" i="7"/>
  <c r="W108" i="7"/>
  <c r="V108" i="7"/>
  <c r="X108" i="7"/>
  <c r="Z108" i="7" s="1"/>
  <c r="AH107" i="7"/>
  <c r="W107" i="7"/>
  <c r="V107" i="7"/>
  <c r="X107" i="7"/>
  <c r="Z107" i="7" s="1"/>
  <c r="AH106" i="7"/>
  <c r="W106" i="7"/>
  <c r="V106" i="7"/>
  <c r="X106" i="7"/>
  <c r="Z106" i="7" s="1"/>
  <c r="AH105" i="7"/>
  <c r="W105" i="7"/>
  <c r="V105" i="7"/>
  <c r="X105" i="7"/>
  <c r="Z105" i="7" s="1"/>
  <c r="AH104" i="7"/>
  <c r="W104" i="7"/>
  <c r="V104" i="7"/>
  <c r="X104" i="7"/>
  <c r="Z104" i="7" s="1"/>
  <c r="AH103" i="7"/>
  <c r="W103" i="7"/>
  <c r="V103" i="7"/>
  <c r="X103" i="7"/>
  <c r="Z103" i="7" s="1"/>
  <c r="AH102" i="7"/>
  <c r="W102" i="7"/>
  <c r="V102" i="7"/>
  <c r="X102" i="7"/>
  <c r="Z102" i="7" s="1"/>
  <c r="AH101" i="7"/>
  <c r="W101" i="7"/>
  <c r="V101" i="7"/>
  <c r="X101" i="7"/>
  <c r="Z101" i="7" s="1"/>
  <c r="AH100" i="7"/>
  <c r="W100" i="7"/>
  <c r="V100" i="7"/>
  <c r="X100" i="7"/>
  <c r="Z100" i="7" s="1"/>
  <c r="AH99" i="7"/>
  <c r="W99" i="7"/>
  <c r="V99" i="7"/>
  <c r="X99" i="7"/>
  <c r="Z99" i="7" s="1"/>
  <c r="AH98" i="7"/>
  <c r="W98" i="7"/>
  <c r="V98" i="7"/>
  <c r="X98" i="7"/>
  <c r="Z98" i="7" s="1"/>
  <c r="AH97" i="7"/>
  <c r="W97" i="7"/>
  <c r="V97" i="7"/>
  <c r="X97" i="7"/>
  <c r="Z97" i="7" s="1"/>
  <c r="AH96" i="7"/>
  <c r="W96" i="7"/>
  <c r="V96" i="7"/>
  <c r="X96" i="7"/>
  <c r="Z96" i="7" s="1"/>
  <c r="AH95" i="7"/>
  <c r="W95" i="7"/>
  <c r="V95" i="7"/>
  <c r="X95" i="7"/>
  <c r="Z95" i="7" s="1"/>
  <c r="AH94" i="7"/>
  <c r="W94" i="7"/>
  <c r="V94" i="7"/>
  <c r="X94" i="7"/>
  <c r="Z94" i="7" s="1"/>
  <c r="AH93" i="7"/>
  <c r="W93" i="7"/>
  <c r="V93" i="7"/>
  <c r="X93" i="7"/>
  <c r="Z93" i="7" s="1"/>
  <c r="AH92" i="7"/>
  <c r="W92" i="7"/>
  <c r="V92" i="7"/>
  <c r="X92" i="7"/>
  <c r="Z92" i="7" s="1"/>
  <c r="AH91" i="7"/>
  <c r="W91" i="7"/>
  <c r="V91" i="7"/>
  <c r="X91" i="7"/>
  <c r="Z91" i="7" s="1"/>
  <c r="AH90" i="7"/>
  <c r="W90" i="7"/>
  <c r="V90" i="7"/>
  <c r="X90" i="7"/>
  <c r="Z90" i="7" s="1"/>
  <c r="AH89" i="7"/>
  <c r="W89" i="7"/>
  <c r="V89" i="7"/>
  <c r="X89" i="7"/>
  <c r="Z89" i="7" s="1"/>
  <c r="AH88" i="7"/>
  <c r="W88" i="7"/>
  <c r="V88" i="7"/>
  <c r="X88" i="7"/>
  <c r="Z88" i="7" s="1"/>
  <c r="AH87" i="7"/>
  <c r="V87" i="7"/>
  <c r="W87" i="7" s="1"/>
  <c r="X87" i="7"/>
  <c r="Z87" i="7" s="1"/>
  <c r="K87" i="7"/>
  <c r="AH86" i="7"/>
  <c r="X86" i="7"/>
  <c r="Z86" i="7" s="1"/>
  <c r="V86" i="7"/>
  <c r="AG86" i="7" s="1"/>
  <c r="K86" i="7"/>
  <c r="AH85" i="7"/>
  <c r="V85" i="7"/>
  <c r="X85" i="7"/>
  <c r="Z85" i="7" s="1"/>
  <c r="K85" i="7"/>
  <c r="AH84" i="7"/>
  <c r="W84" i="7"/>
  <c r="V84" i="7"/>
  <c r="AG84" i="7" s="1"/>
  <c r="X84" i="7"/>
  <c r="Z84" i="7" s="1"/>
  <c r="K84" i="7"/>
  <c r="AH83" i="7"/>
  <c r="AG83" i="7"/>
  <c r="V83" i="7"/>
  <c r="W83" i="7" s="1"/>
  <c r="X83" i="7"/>
  <c r="Z83" i="7" s="1"/>
  <c r="K83" i="7"/>
  <c r="AH82" i="7"/>
  <c r="V82" i="7"/>
  <c r="W82" i="7" s="1"/>
  <c r="X82" i="7"/>
  <c r="Z82" i="7" s="1"/>
  <c r="K82" i="7"/>
  <c r="AH81" i="7"/>
  <c r="V81" i="7"/>
  <c r="X81" i="7"/>
  <c r="Z81" i="7" s="1"/>
  <c r="K81" i="7"/>
  <c r="AH80" i="7"/>
  <c r="X80" i="7"/>
  <c r="Z80" i="7" s="1"/>
  <c r="W80" i="7"/>
  <c r="V80" i="7"/>
  <c r="AG80" i="7" s="1"/>
  <c r="K80" i="7"/>
  <c r="AH79" i="7"/>
  <c r="AG79" i="7"/>
  <c r="V79" i="7"/>
  <c r="W79" i="7" s="1"/>
  <c r="X79" i="7"/>
  <c r="Z79" i="7" s="1"/>
  <c r="K79" i="7"/>
  <c r="AH78" i="7"/>
  <c r="V78" i="7"/>
  <c r="W78" i="7" s="1"/>
  <c r="X78" i="7"/>
  <c r="Z78" i="7" s="1"/>
  <c r="K78" i="7"/>
  <c r="AH77" i="7"/>
  <c r="V77" i="7"/>
  <c r="X77" i="7"/>
  <c r="Z77" i="7" s="1"/>
  <c r="K77" i="7"/>
  <c r="AH76" i="7"/>
  <c r="W76" i="7"/>
  <c r="V76" i="7"/>
  <c r="AG76" i="7" s="1"/>
  <c r="X76" i="7"/>
  <c r="Z76" i="7" s="1"/>
  <c r="K76" i="7"/>
  <c r="AH75" i="7"/>
  <c r="AG75" i="7"/>
  <c r="V75" i="7"/>
  <c r="W75" i="7" s="1"/>
  <c r="X75" i="7"/>
  <c r="Z75" i="7" s="1"/>
  <c r="K75" i="7"/>
  <c r="AH74" i="7"/>
  <c r="AG74" i="7"/>
  <c r="V74" i="7"/>
  <c r="W74" i="7" s="1"/>
  <c r="X74" i="7"/>
  <c r="Z74" i="7" s="1"/>
  <c r="K74" i="7"/>
  <c r="AH73" i="7"/>
  <c r="V73" i="7"/>
  <c r="X73" i="7"/>
  <c r="Z73" i="7" s="1"/>
  <c r="K73" i="7"/>
  <c r="AH72" i="7"/>
  <c r="W72" i="7"/>
  <c r="V72" i="7"/>
  <c r="AG72" i="7" s="1"/>
  <c r="X72" i="7"/>
  <c r="Z72" i="7" s="1"/>
  <c r="K72" i="7"/>
  <c r="AH71" i="7"/>
  <c r="V71" i="7"/>
  <c r="W71" i="7" s="1"/>
  <c r="X71" i="7"/>
  <c r="Z71" i="7" s="1"/>
  <c r="K71" i="7"/>
  <c r="AH70" i="7"/>
  <c r="W70" i="7"/>
  <c r="V70" i="7"/>
  <c r="AG70" i="7" s="1"/>
  <c r="X70" i="7"/>
  <c r="Z70" i="7" s="1"/>
  <c r="K70" i="7"/>
  <c r="AH69" i="7"/>
  <c r="V69" i="7"/>
  <c r="AG69" i="7" s="1"/>
  <c r="X69" i="7"/>
  <c r="Z69" i="7" s="1"/>
  <c r="K69" i="7"/>
  <c r="AH68" i="7"/>
  <c r="W68" i="7"/>
  <c r="V68" i="7"/>
  <c r="AG68" i="7" s="1"/>
  <c r="X68" i="7"/>
  <c r="Z68" i="7" s="1"/>
  <c r="K68" i="7"/>
  <c r="AH67" i="7"/>
  <c r="W67" i="7"/>
  <c r="V67" i="7"/>
  <c r="AG67" i="7" s="1"/>
  <c r="X67" i="7"/>
  <c r="Z67" i="7" s="1"/>
  <c r="K67" i="7"/>
  <c r="AH66" i="7"/>
  <c r="V66" i="7"/>
  <c r="AG66" i="7" s="1"/>
  <c r="X66" i="7"/>
  <c r="Z66" i="7" s="1"/>
  <c r="K66" i="7"/>
  <c r="AH65" i="7"/>
  <c r="V65" i="7"/>
  <c r="W65" i="7" s="1"/>
  <c r="X65" i="7"/>
  <c r="Z65" i="7" s="1"/>
  <c r="K65" i="7"/>
  <c r="AH64" i="7"/>
  <c r="V64" i="7"/>
  <c r="AG64" i="7" s="1"/>
  <c r="X64" i="7"/>
  <c r="Z64" i="7" s="1"/>
  <c r="K64" i="7"/>
  <c r="AH63" i="7"/>
  <c r="AG63" i="7"/>
  <c r="V63" i="7"/>
  <c r="W63" i="7" s="1"/>
  <c r="X63" i="7"/>
  <c r="Z63" i="7" s="1"/>
  <c r="K63" i="7"/>
  <c r="AH62" i="7"/>
  <c r="W62" i="7"/>
  <c r="V62" i="7"/>
  <c r="AG62" i="7" s="1"/>
  <c r="X62" i="7"/>
  <c r="Z62" i="7" s="1"/>
  <c r="K62" i="7"/>
  <c r="AH61" i="7"/>
  <c r="V61" i="7"/>
  <c r="AG61" i="7" s="1"/>
  <c r="X61" i="7"/>
  <c r="Z61" i="7" s="1"/>
  <c r="K61" i="7"/>
  <c r="AH60" i="7"/>
  <c r="V60" i="7"/>
  <c r="AG60" i="7" s="1"/>
  <c r="X60" i="7"/>
  <c r="Z60" i="7" s="1"/>
  <c r="K60" i="7"/>
  <c r="AH59" i="7"/>
  <c r="W59" i="7"/>
  <c r="V59" i="7"/>
  <c r="AG59" i="7" s="1"/>
  <c r="X59" i="7"/>
  <c r="Z59" i="7" s="1"/>
  <c r="K59" i="7"/>
  <c r="AH58" i="7"/>
  <c r="W58" i="7"/>
  <c r="V58" i="7"/>
  <c r="AG58" i="7" s="1"/>
  <c r="X58" i="7"/>
  <c r="Z58" i="7" s="1"/>
  <c r="K58" i="7"/>
  <c r="AH57" i="7"/>
  <c r="V57" i="7"/>
  <c r="W57" i="7" s="1"/>
  <c r="X57" i="7"/>
  <c r="Z57" i="7" s="1"/>
  <c r="K57" i="7"/>
  <c r="AH56" i="7"/>
  <c r="V56" i="7"/>
  <c r="AG56" i="7" s="1"/>
  <c r="X56" i="7"/>
  <c r="Z56" i="7" s="1"/>
  <c r="K56" i="7"/>
  <c r="AH55" i="7"/>
  <c r="V55" i="7"/>
  <c r="AG55" i="7" s="1"/>
  <c r="X55" i="7"/>
  <c r="Z55" i="7" s="1"/>
  <c r="K55" i="7"/>
  <c r="AH54" i="7"/>
  <c r="W54" i="7"/>
  <c r="V54" i="7"/>
  <c r="AG54" i="7" s="1"/>
  <c r="X54" i="7"/>
  <c r="Z54" i="7" s="1"/>
  <c r="K54" i="7"/>
  <c r="AH53" i="7"/>
  <c r="V53" i="7"/>
  <c r="W53" i="7" s="1"/>
  <c r="X53" i="7"/>
  <c r="Z53" i="7" s="1"/>
  <c r="K53" i="7"/>
  <c r="AH52" i="7"/>
  <c r="V52" i="7"/>
  <c r="AG52" i="7" s="1"/>
  <c r="X52" i="7"/>
  <c r="Z52" i="7" s="1"/>
  <c r="K52" i="7"/>
  <c r="AH51" i="7"/>
  <c r="V51" i="7"/>
  <c r="AG51" i="7" s="1"/>
  <c r="X51" i="7"/>
  <c r="Z51" i="7" s="1"/>
  <c r="K51" i="7"/>
  <c r="AH50" i="7"/>
  <c r="W50" i="7"/>
  <c r="V50" i="7"/>
  <c r="AG50" i="7" s="1"/>
  <c r="X50" i="7"/>
  <c r="Z50" i="7" s="1"/>
  <c r="K50" i="7"/>
  <c r="AH49" i="7"/>
  <c r="V49" i="7"/>
  <c r="W49" i="7" s="1"/>
  <c r="X49" i="7"/>
  <c r="Z49" i="7" s="1"/>
  <c r="K49" i="7"/>
  <c r="AH48" i="7"/>
  <c r="V48" i="7"/>
  <c r="AG48" i="7" s="1"/>
  <c r="X48" i="7"/>
  <c r="Z48" i="7" s="1"/>
  <c r="K48" i="7"/>
  <c r="AH47" i="7"/>
  <c r="V47" i="7"/>
  <c r="AG47" i="7" s="1"/>
  <c r="X47" i="7"/>
  <c r="Z47" i="7" s="1"/>
  <c r="K47" i="7"/>
  <c r="AH46" i="7"/>
  <c r="W46" i="7"/>
  <c r="V46" i="7"/>
  <c r="AG46" i="7" s="1"/>
  <c r="X46" i="7"/>
  <c r="Z46" i="7" s="1"/>
  <c r="K46" i="7"/>
  <c r="AH45" i="7"/>
  <c r="V45" i="7"/>
  <c r="W45" i="7" s="1"/>
  <c r="X45" i="7"/>
  <c r="Z45" i="7" s="1"/>
  <c r="K45" i="7"/>
  <c r="AH44" i="7"/>
  <c r="W44" i="7"/>
  <c r="V44" i="7"/>
  <c r="AG44" i="7" s="1"/>
  <c r="X44" i="7"/>
  <c r="Z44" i="7" s="1"/>
  <c r="K44" i="7"/>
  <c r="AH43" i="7"/>
  <c r="W43" i="7"/>
  <c r="V43" i="7"/>
  <c r="AG43" i="7" s="1"/>
  <c r="X43" i="7"/>
  <c r="Z43" i="7" s="1"/>
  <c r="K43" i="7"/>
  <c r="AH42" i="7"/>
  <c r="W42" i="7"/>
  <c r="V42" i="7"/>
  <c r="AG42" i="7" s="1"/>
  <c r="X42" i="7"/>
  <c r="Z42" i="7" s="1"/>
  <c r="K42" i="7"/>
  <c r="AH41" i="7"/>
  <c r="V41" i="7"/>
  <c r="W41" i="7" s="1"/>
  <c r="X41" i="7"/>
  <c r="Z41" i="7" s="1"/>
  <c r="K41" i="7"/>
  <c r="AH40" i="7"/>
  <c r="V40" i="7"/>
  <c r="AG40" i="7" s="1"/>
  <c r="X40" i="7"/>
  <c r="Z40" i="7" s="1"/>
  <c r="K40" i="7"/>
  <c r="AH39" i="7"/>
  <c r="W39" i="7"/>
  <c r="V39" i="7"/>
  <c r="AG39" i="7" s="1"/>
  <c r="X39" i="7"/>
  <c r="Z39" i="7" s="1"/>
  <c r="K39" i="7"/>
  <c r="AH38" i="7"/>
  <c r="W38" i="7"/>
  <c r="V38" i="7"/>
  <c r="AG38" i="7" s="1"/>
  <c r="X38" i="7"/>
  <c r="Z38" i="7" s="1"/>
  <c r="K38" i="7"/>
  <c r="AH37" i="7"/>
  <c r="V37" i="7"/>
  <c r="W37" i="7" s="1"/>
  <c r="X37" i="7"/>
  <c r="Z37" i="7" s="1"/>
  <c r="K37" i="7"/>
  <c r="AH36" i="7"/>
  <c r="V36" i="7"/>
  <c r="AG36" i="7" s="1"/>
  <c r="X36" i="7"/>
  <c r="Z36" i="7" s="1"/>
  <c r="K36" i="7"/>
  <c r="AH35" i="7"/>
  <c r="W35" i="7"/>
  <c r="V35" i="7"/>
  <c r="AG35" i="7" s="1"/>
  <c r="X35" i="7"/>
  <c r="Z35" i="7" s="1"/>
  <c r="K35" i="7"/>
  <c r="AH34" i="7"/>
  <c r="W34" i="7"/>
  <c r="V34" i="7"/>
  <c r="AG34" i="7" s="1"/>
  <c r="X34" i="7"/>
  <c r="Z34" i="7" s="1"/>
  <c r="K34" i="7"/>
  <c r="AH33" i="7"/>
  <c r="AG33" i="7"/>
  <c r="V33" i="7"/>
  <c r="W33" i="7" s="1"/>
  <c r="X33" i="7"/>
  <c r="Z33" i="7" s="1"/>
  <c r="K33" i="7"/>
  <c r="AH32" i="7"/>
  <c r="W32" i="7"/>
  <c r="V32" i="7"/>
  <c r="AG32" i="7" s="1"/>
  <c r="X32" i="7"/>
  <c r="Z32" i="7" s="1"/>
  <c r="K32" i="7"/>
  <c r="AH31" i="7"/>
  <c r="V31" i="7"/>
  <c r="AG31" i="7" s="1"/>
  <c r="X31" i="7"/>
  <c r="Z31" i="7" s="1"/>
  <c r="K31" i="7"/>
  <c r="AH30" i="7"/>
  <c r="V30" i="7"/>
  <c r="AG30" i="7" s="1"/>
  <c r="X30" i="7"/>
  <c r="Z30" i="7" s="1"/>
  <c r="K30" i="7"/>
  <c r="AH29" i="7"/>
  <c r="V29" i="7"/>
  <c r="W29" i="7" s="1"/>
  <c r="X29" i="7"/>
  <c r="Z29" i="7" s="1"/>
  <c r="K29" i="7"/>
  <c r="AH28" i="7"/>
  <c r="W28" i="7"/>
  <c r="V28" i="7"/>
  <c r="AG28" i="7" s="1"/>
  <c r="X28" i="7"/>
  <c r="Z28" i="7" s="1"/>
  <c r="K28" i="7"/>
  <c r="AH27" i="7"/>
  <c r="V27" i="7"/>
  <c r="AG27" i="7" s="1"/>
  <c r="X27" i="7"/>
  <c r="Z27" i="7" s="1"/>
  <c r="K27" i="7"/>
  <c r="AH26" i="7"/>
  <c r="V26" i="7"/>
  <c r="AG26" i="7" s="1"/>
  <c r="X26" i="7"/>
  <c r="Z26" i="7" s="1"/>
  <c r="K26" i="7"/>
  <c r="AH25" i="7"/>
  <c r="V25" i="7"/>
  <c r="W25" i="7" s="1"/>
  <c r="X25" i="7"/>
  <c r="Z25" i="7" s="1"/>
  <c r="K25" i="7"/>
  <c r="AH24" i="7"/>
  <c r="W24" i="7"/>
  <c r="V24" i="7"/>
  <c r="AG24" i="7" s="1"/>
  <c r="X24" i="7"/>
  <c r="Z24" i="7" s="1"/>
  <c r="K24" i="7"/>
  <c r="AH23" i="7"/>
  <c r="V23" i="7"/>
  <c r="AG23" i="7" s="1"/>
  <c r="X23" i="7"/>
  <c r="Z23" i="7" s="1"/>
  <c r="K23" i="7"/>
  <c r="AH22" i="7"/>
  <c r="V22" i="7"/>
  <c r="AG22" i="7" s="1"/>
  <c r="X22" i="7"/>
  <c r="Z22" i="7" s="1"/>
  <c r="K22" i="7"/>
  <c r="AH21" i="7"/>
  <c r="V21" i="7"/>
  <c r="W21" i="7" s="1"/>
  <c r="X21" i="7"/>
  <c r="Z21" i="7" s="1"/>
  <c r="AH20" i="7"/>
  <c r="V20" i="7"/>
  <c r="AG20" i="7" s="1"/>
  <c r="X20" i="7"/>
  <c r="Z20" i="7" s="1"/>
  <c r="K20" i="7"/>
  <c r="AH19" i="7"/>
  <c r="V19" i="7"/>
  <c r="AG19" i="7" s="1"/>
  <c r="X19" i="7"/>
  <c r="Z19" i="7" s="1"/>
  <c r="K19" i="7"/>
  <c r="AH18" i="7"/>
  <c r="W18" i="7"/>
  <c r="V18" i="7"/>
  <c r="AG18" i="7" s="1"/>
  <c r="X18" i="7"/>
  <c r="Z18" i="7" s="1"/>
  <c r="K18" i="7"/>
  <c r="AH17" i="7"/>
  <c r="AG17" i="7"/>
  <c r="V17" i="7"/>
  <c r="W17" i="7" s="1"/>
  <c r="X17" i="7"/>
  <c r="Z17" i="7" s="1"/>
  <c r="K17" i="7"/>
  <c r="AH16" i="7"/>
  <c r="V16" i="7"/>
  <c r="AG16" i="7" s="1"/>
  <c r="X16" i="7"/>
  <c r="Z16" i="7" s="1"/>
  <c r="K16" i="7"/>
  <c r="AH15" i="7"/>
  <c r="V15" i="7"/>
  <c r="W15" i="7" s="1"/>
  <c r="X15" i="7"/>
  <c r="Z15" i="7" s="1"/>
  <c r="K15" i="7"/>
  <c r="AH14" i="7"/>
  <c r="W14" i="7"/>
  <c r="V14" i="7"/>
  <c r="AG14" i="7" s="1"/>
  <c r="X14" i="7"/>
  <c r="Z14" i="7" s="1"/>
  <c r="K14" i="7"/>
  <c r="AH13" i="7"/>
  <c r="V13" i="7"/>
  <c r="W13" i="7" s="1"/>
  <c r="X13" i="7"/>
  <c r="Z13" i="7" s="1"/>
  <c r="K13" i="7"/>
  <c r="AH12" i="7"/>
  <c r="W12" i="7"/>
  <c r="V12" i="7"/>
  <c r="AG12" i="7" s="1"/>
  <c r="X12" i="7"/>
  <c r="Z12" i="7" s="1"/>
  <c r="K12" i="7"/>
  <c r="AH11" i="7"/>
  <c r="V11" i="7"/>
  <c r="W11" i="7" s="1"/>
  <c r="X11" i="7"/>
  <c r="Z11" i="7" s="1"/>
  <c r="K11" i="7"/>
  <c r="AH10" i="7"/>
  <c r="X10" i="7"/>
  <c r="Z10" i="7" s="1"/>
  <c r="W10" i="7"/>
  <c r="V10" i="7"/>
  <c r="AG10" i="7" s="1"/>
  <c r="K10" i="7"/>
  <c r="AH9" i="7"/>
  <c r="V9" i="7"/>
  <c r="W9" i="7" s="1"/>
  <c r="X9" i="7"/>
  <c r="Z9" i="7" s="1"/>
  <c r="K9" i="7"/>
  <c r="AH8" i="7"/>
  <c r="V8" i="7"/>
  <c r="AG8" i="7" s="1"/>
  <c r="X8" i="7"/>
  <c r="Z8" i="7" s="1"/>
  <c r="K8" i="7"/>
  <c r="AH7" i="7"/>
  <c r="V7" i="7"/>
  <c r="W7" i="7" s="1"/>
  <c r="X7" i="7"/>
  <c r="Z7" i="7" s="1"/>
  <c r="K7" i="7"/>
  <c r="AH6" i="7"/>
  <c r="V6" i="7"/>
  <c r="AG6" i="7" s="1"/>
  <c r="X6" i="7"/>
  <c r="Z6" i="7" s="1"/>
  <c r="K6" i="7"/>
  <c r="AH5" i="7"/>
  <c r="V5" i="7"/>
  <c r="W5" i="7" s="1"/>
  <c r="X5" i="7"/>
  <c r="Z5" i="7" s="1"/>
  <c r="K5" i="7"/>
  <c r="AH4" i="7"/>
  <c r="W4" i="7"/>
  <c r="V4" i="7"/>
  <c r="AG4" i="7" s="1"/>
  <c r="X4" i="7"/>
  <c r="Z4" i="7" s="1"/>
  <c r="K4" i="7"/>
  <c r="AH3" i="7"/>
  <c r="V3" i="7"/>
  <c r="W3" i="7" s="1"/>
  <c r="X3" i="7"/>
  <c r="Z3" i="7" s="1"/>
  <c r="K3" i="7"/>
  <c r="AH2" i="7"/>
  <c r="W2" i="7"/>
  <c r="V2" i="7"/>
  <c r="AG2" i="7" s="1"/>
  <c r="X2" i="7"/>
  <c r="Z2" i="7" s="1"/>
  <c r="K2" i="7"/>
  <c r="AL267" i="6"/>
  <c r="AN267" i="6" s="1"/>
  <c r="AI267" i="6"/>
  <c r="AH267" i="6"/>
  <c r="AK267" i="6" s="1"/>
  <c r="AL266" i="6"/>
  <c r="AI266" i="6"/>
  <c r="AH266" i="6"/>
  <c r="AK266" i="6" s="1"/>
  <c r="AL265" i="6"/>
  <c r="AM265" i="6" s="1"/>
  <c r="AP265" i="6" s="1"/>
  <c r="AI265" i="6"/>
  <c r="AH265" i="6"/>
  <c r="AK265" i="6" s="1"/>
  <c r="AL264" i="6"/>
  <c r="AN264" i="6" s="1"/>
  <c r="AI264" i="6"/>
  <c r="AH264" i="6"/>
  <c r="AK264" i="6" s="1"/>
  <c r="AL263" i="6"/>
  <c r="AN263" i="6" s="1"/>
  <c r="AI263" i="6"/>
  <c r="AH263" i="6"/>
  <c r="AK263" i="6" s="1"/>
  <c r="AL262" i="6"/>
  <c r="AN262" i="6" s="1"/>
  <c r="AI262" i="6"/>
  <c r="AH262" i="6"/>
  <c r="AK262" i="6" s="1"/>
  <c r="AL261" i="6"/>
  <c r="AN261" i="6" s="1"/>
  <c r="AI261" i="6"/>
  <c r="AH261" i="6"/>
  <c r="AK261" i="6" s="1"/>
  <c r="AL260" i="6"/>
  <c r="AN260" i="6" s="1"/>
  <c r="AI260" i="6"/>
  <c r="AH260" i="6"/>
  <c r="AK260" i="6" s="1"/>
  <c r="AL259" i="6"/>
  <c r="AN259" i="6" s="1"/>
  <c r="AI259" i="6"/>
  <c r="AH259" i="6"/>
  <c r="AK259" i="6" s="1"/>
  <c r="AL258" i="6"/>
  <c r="AN258" i="6" s="1"/>
  <c r="AI258" i="6"/>
  <c r="AH258" i="6"/>
  <c r="AK258" i="6" s="1"/>
  <c r="AL257" i="6"/>
  <c r="AN257" i="6" s="1"/>
  <c r="AI257" i="6"/>
  <c r="AH257" i="6"/>
  <c r="AK257" i="6" s="1"/>
  <c r="AL256" i="6"/>
  <c r="AN256" i="6" s="1"/>
  <c r="AI256" i="6"/>
  <c r="AH256" i="6"/>
  <c r="AL255" i="6"/>
  <c r="AN255" i="6" s="1"/>
  <c r="AI255" i="6"/>
  <c r="AH255" i="6"/>
  <c r="AK255" i="6" s="1"/>
  <c r="AL254" i="6"/>
  <c r="AN254" i="6" s="1"/>
  <c r="AI254" i="6"/>
  <c r="AH254" i="6"/>
  <c r="AK254" i="6" s="1"/>
  <c r="AL253" i="6"/>
  <c r="AN253" i="6" s="1"/>
  <c r="AH253" i="6"/>
  <c r="AK253" i="6" s="1"/>
  <c r="AL252" i="6"/>
  <c r="AN252" i="6" s="1"/>
  <c r="AH252" i="6"/>
  <c r="AK252" i="6" s="1"/>
  <c r="AL251" i="6"/>
  <c r="AN251" i="6" s="1"/>
  <c r="AI251" i="6"/>
  <c r="AH251" i="6"/>
  <c r="AK251" i="6" s="1"/>
  <c r="AL250" i="6"/>
  <c r="AN250" i="6" s="1"/>
  <c r="AI250" i="6"/>
  <c r="AH250" i="6"/>
  <c r="AK250" i="6" s="1"/>
  <c r="AL249" i="6"/>
  <c r="AN249" i="6" s="1"/>
  <c r="AI249" i="6"/>
  <c r="AH249" i="6"/>
  <c r="AK249" i="6" s="1"/>
  <c r="AL248" i="6"/>
  <c r="AN248" i="6" s="1"/>
  <c r="AI248" i="6"/>
  <c r="AH248" i="6"/>
  <c r="AK248" i="6" s="1"/>
  <c r="AL247" i="6"/>
  <c r="AN247" i="6" s="1"/>
  <c r="AI247" i="6"/>
  <c r="AH247" i="6"/>
  <c r="AK247" i="6" s="1"/>
  <c r="AL246" i="6"/>
  <c r="AN246" i="6" s="1"/>
  <c r="AI246" i="6"/>
  <c r="AH246" i="6"/>
  <c r="AK246" i="6" s="1"/>
  <c r="AL245" i="6"/>
  <c r="AN245" i="6" s="1"/>
  <c r="AI245" i="6"/>
  <c r="AH245" i="6"/>
  <c r="AK245" i="6" s="1"/>
  <c r="AL244" i="6"/>
  <c r="AN244" i="6" s="1"/>
  <c r="AI244" i="6"/>
  <c r="AH244" i="6"/>
  <c r="AK244" i="6" s="1"/>
  <c r="AL243" i="6"/>
  <c r="AN243" i="6" s="1"/>
  <c r="AI243" i="6"/>
  <c r="AH243" i="6"/>
  <c r="AK243" i="6" s="1"/>
  <c r="AL242" i="6"/>
  <c r="AN242" i="6" s="1"/>
  <c r="AH242" i="6"/>
  <c r="AK242" i="6" s="1"/>
  <c r="AL241" i="6"/>
  <c r="AN241" i="6" s="1"/>
  <c r="AH241" i="6"/>
  <c r="AK241" i="6" s="1"/>
  <c r="AL240" i="6"/>
  <c r="AN240" i="6" s="1"/>
  <c r="AH240" i="6"/>
  <c r="AK240" i="6" s="1"/>
  <c r="AL239" i="6"/>
  <c r="AN239" i="6" s="1"/>
  <c r="AI239" i="6"/>
  <c r="AH239" i="6"/>
  <c r="AK239" i="6" s="1"/>
  <c r="AL238" i="6"/>
  <c r="AN238" i="6" s="1"/>
  <c r="AI238" i="6"/>
  <c r="AH238" i="6"/>
  <c r="AK238" i="6" s="1"/>
  <c r="AL237" i="6"/>
  <c r="AN237" i="6" s="1"/>
  <c r="AI237" i="6"/>
  <c r="AH237" i="6"/>
  <c r="AK237" i="6" s="1"/>
  <c r="AL236" i="6"/>
  <c r="AN236" i="6" s="1"/>
  <c r="AI236" i="6"/>
  <c r="AH236" i="6"/>
  <c r="AK236" i="6" s="1"/>
  <c r="AL235" i="6"/>
  <c r="AN235" i="6" s="1"/>
  <c r="AI235" i="6"/>
  <c r="AH235" i="6"/>
  <c r="AK235" i="6" s="1"/>
  <c r="AL234" i="6"/>
  <c r="AN234" i="6" s="1"/>
  <c r="AI234" i="6"/>
  <c r="AH234" i="6"/>
  <c r="AK234" i="6" s="1"/>
  <c r="AL233" i="6"/>
  <c r="AN233" i="6" s="1"/>
  <c r="AI233" i="6"/>
  <c r="AH233" i="6"/>
  <c r="AK233" i="6" s="1"/>
  <c r="AL232" i="6"/>
  <c r="AN232" i="6" s="1"/>
  <c r="AI232" i="6"/>
  <c r="AH232" i="6"/>
  <c r="AK232" i="6" s="1"/>
  <c r="AL231" i="6"/>
  <c r="AN231" i="6" s="1"/>
  <c r="AI231" i="6"/>
  <c r="AH231" i="6"/>
  <c r="AK231" i="6" s="1"/>
  <c r="AL230" i="6"/>
  <c r="AN230" i="6" s="1"/>
  <c r="AI230" i="6"/>
  <c r="AH230" i="6"/>
  <c r="AK230" i="6" s="1"/>
  <c r="AL229" i="6"/>
  <c r="AN229" i="6" s="1"/>
  <c r="AI229" i="6"/>
  <c r="AH229" i="6"/>
  <c r="AK229" i="6" s="1"/>
  <c r="AL228" i="6"/>
  <c r="AN228" i="6" s="1"/>
  <c r="AI228" i="6"/>
  <c r="AH228" i="6"/>
  <c r="AK228" i="6" s="1"/>
  <c r="AL227" i="6"/>
  <c r="AN227" i="6" s="1"/>
  <c r="AI227" i="6"/>
  <c r="AH227" i="6"/>
  <c r="AK227" i="6" s="1"/>
  <c r="AL226" i="6"/>
  <c r="AN226" i="6" s="1"/>
  <c r="AI226" i="6"/>
  <c r="AH226" i="6"/>
  <c r="AK226" i="6" s="1"/>
  <c r="AL225" i="6"/>
  <c r="AN225" i="6" s="1"/>
  <c r="AI225" i="6"/>
  <c r="AH225" i="6"/>
  <c r="AK225" i="6" s="1"/>
  <c r="AL224" i="6"/>
  <c r="AN224" i="6" s="1"/>
  <c r="AI224" i="6"/>
  <c r="AH224" i="6"/>
  <c r="AK224" i="6" s="1"/>
  <c r="AL223" i="6"/>
  <c r="AN223" i="6" s="1"/>
  <c r="AI223" i="6"/>
  <c r="AH223" i="6"/>
  <c r="AK223" i="6" s="1"/>
  <c r="AL222" i="6"/>
  <c r="AN222" i="6" s="1"/>
  <c r="AI222" i="6"/>
  <c r="AH222" i="6"/>
  <c r="AK222" i="6" s="1"/>
  <c r="AL221" i="6"/>
  <c r="AN221" i="6" s="1"/>
  <c r="AI221" i="6"/>
  <c r="AH221" i="6"/>
  <c r="AK221" i="6" s="1"/>
  <c r="AL220" i="6"/>
  <c r="AN220" i="6" s="1"/>
  <c r="AI220" i="6"/>
  <c r="AH220" i="6"/>
  <c r="AK220" i="6" s="1"/>
  <c r="AL219" i="6"/>
  <c r="AN219" i="6" s="1"/>
  <c r="AI219" i="6"/>
  <c r="AH219" i="6"/>
  <c r="AK219" i="6" s="1"/>
  <c r="AL218" i="6"/>
  <c r="AN218" i="6" s="1"/>
  <c r="AI218" i="6"/>
  <c r="AH218" i="6"/>
  <c r="AK218" i="6" s="1"/>
  <c r="AL217" i="6"/>
  <c r="AN217" i="6" s="1"/>
  <c r="AI217" i="6"/>
  <c r="AH217" i="6"/>
  <c r="AK217" i="6" s="1"/>
  <c r="AL216" i="6"/>
  <c r="AN216" i="6" s="1"/>
  <c r="AI216" i="6"/>
  <c r="AH216" i="6"/>
  <c r="AK216" i="6" s="1"/>
  <c r="AL215" i="6"/>
  <c r="AN215" i="6" s="1"/>
  <c r="AI215" i="6"/>
  <c r="AH215" i="6"/>
  <c r="AK215" i="6" s="1"/>
  <c r="AL214" i="6"/>
  <c r="AN214" i="6" s="1"/>
  <c r="AI214" i="6"/>
  <c r="AH214" i="6"/>
  <c r="AK214" i="6" s="1"/>
  <c r="AL213" i="6"/>
  <c r="AN213" i="6" s="1"/>
  <c r="AI213" i="6"/>
  <c r="AH213" i="6"/>
  <c r="AK213" i="6" s="1"/>
  <c r="AL212" i="6"/>
  <c r="AN212" i="6" s="1"/>
  <c r="AI212" i="6"/>
  <c r="AH212" i="6"/>
  <c r="AK212" i="6" s="1"/>
  <c r="AL211" i="6"/>
  <c r="AN211" i="6" s="1"/>
  <c r="AI211" i="6"/>
  <c r="AH211" i="6"/>
  <c r="AK211" i="6" s="1"/>
  <c r="AL210" i="6"/>
  <c r="AN210" i="6" s="1"/>
  <c r="AI210" i="6"/>
  <c r="AH210" i="6"/>
  <c r="AK210" i="6" s="1"/>
  <c r="AL209" i="6"/>
  <c r="AN209" i="6" s="1"/>
  <c r="AI209" i="6"/>
  <c r="AH209" i="6"/>
  <c r="AK209" i="6" s="1"/>
  <c r="AL208" i="6"/>
  <c r="AN208" i="6" s="1"/>
  <c r="AI208" i="6"/>
  <c r="AH208" i="6"/>
  <c r="AK208" i="6" s="1"/>
  <c r="AL207" i="6"/>
  <c r="AN207" i="6" s="1"/>
  <c r="AI207" i="6"/>
  <c r="AH207" i="6"/>
  <c r="AK207" i="6" s="1"/>
  <c r="AB207" i="6"/>
  <c r="AL206" i="6"/>
  <c r="AN206" i="6" s="1"/>
  <c r="AI206" i="6"/>
  <c r="AH206" i="6"/>
  <c r="AK206" i="6" s="1"/>
  <c r="AP205" i="6"/>
  <c r="AN205" i="6"/>
  <c r="AI205" i="6"/>
  <c r="AH205" i="6"/>
  <c r="AK205" i="6" s="1"/>
  <c r="AL204" i="6"/>
  <c r="AN204" i="6" s="1"/>
  <c r="AI204" i="6"/>
  <c r="AH204" i="6"/>
  <c r="AK204" i="6" s="1"/>
  <c r="AL203" i="6"/>
  <c r="AN203" i="6" s="1"/>
  <c r="AI203" i="6"/>
  <c r="AH203" i="6"/>
  <c r="AK203" i="6" s="1"/>
  <c r="AH200" i="6"/>
  <c r="W200" i="6"/>
  <c r="V200" i="6"/>
  <c r="AG200" i="6" s="1"/>
  <c r="X200" i="6"/>
  <c r="Z200" i="6" s="1"/>
  <c r="K200" i="6"/>
  <c r="AH199" i="6"/>
  <c r="V199" i="6"/>
  <c r="W199" i="6" s="1"/>
  <c r="X199" i="6"/>
  <c r="Z199" i="6" s="1"/>
  <c r="AH198" i="6"/>
  <c r="W198" i="6"/>
  <c r="V198" i="6"/>
  <c r="X198" i="6"/>
  <c r="Z198" i="6" s="1"/>
  <c r="AH197" i="6"/>
  <c r="W197" i="6"/>
  <c r="V197" i="6"/>
  <c r="X197" i="6"/>
  <c r="Z197" i="6" s="1"/>
  <c r="AH196" i="6"/>
  <c r="W196" i="6"/>
  <c r="V196" i="6"/>
  <c r="X196" i="6"/>
  <c r="Z196" i="6" s="1"/>
  <c r="AH195" i="6"/>
  <c r="W195" i="6"/>
  <c r="V195" i="6"/>
  <c r="X195" i="6"/>
  <c r="Z195" i="6" s="1"/>
  <c r="AH194" i="6"/>
  <c r="W194" i="6"/>
  <c r="V194" i="6"/>
  <c r="X194" i="6"/>
  <c r="Z194" i="6" s="1"/>
  <c r="AH193" i="6"/>
  <c r="W193" i="6"/>
  <c r="V193" i="6"/>
  <c r="X193" i="6"/>
  <c r="Z193" i="6" s="1"/>
  <c r="AH192" i="6"/>
  <c r="W192" i="6"/>
  <c r="V192" i="6"/>
  <c r="X192" i="6"/>
  <c r="Z192" i="6" s="1"/>
  <c r="AH191" i="6"/>
  <c r="W191" i="6"/>
  <c r="V191" i="6"/>
  <c r="X191" i="6"/>
  <c r="Z191" i="6" s="1"/>
  <c r="AH190" i="6"/>
  <c r="W190" i="6"/>
  <c r="V190" i="6"/>
  <c r="X190" i="6"/>
  <c r="Z190" i="6" s="1"/>
  <c r="AH189" i="6"/>
  <c r="W189" i="6"/>
  <c r="V189" i="6"/>
  <c r="X189" i="6"/>
  <c r="Z189" i="6" s="1"/>
  <c r="AH188" i="6"/>
  <c r="W188" i="6"/>
  <c r="V188" i="6"/>
  <c r="X188" i="6"/>
  <c r="Z188" i="6" s="1"/>
  <c r="AH187" i="6"/>
  <c r="W187" i="6"/>
  <c r="V187" i="6"/>
  <c r="X187" i="6"/>
  <c r="Z187" i="6" s="1"/>
  <c r="AH186" i="6"/>
  <c r="W186" i="6"/>
  <c r="V186" i="6"/>
  <c r="X186" i="6"/>
  <c r="Z186" i="6" s="1"/>
  <c r="AH185" i="6"/>
  <c r="W185" i="6"/>
  <c r="V185" i="6"/>
  <c r="X185" i="6"/>
  <c r="Z185" i="6" s="1"/>
  <c r="AH184" i="6"/>
  <c r="W184" i="6"/>
  <c r="V184" i="6"/>
  <c r="X184" i="6"/>
  <c r="Z184" i="6" s="1"/>
  <c r="AH183" i="6"/>
  <c r="X183" i="6"/>
  <c r="Z183" i="6" s="1"/>
  <c r="W183" i="6"/>
  <c r="V183" i="6"/>
  <c r="AH182" i="6"/>
  <c r="W182" i="6"/>
  <c r="V182" i="6"/>
  <c r="X182" i="6"/>
  <c r="Z182" i="6" s="1"/>
  <c r="AH181" i="6"/>
  <c r="W181" i="6"/>
  <c r="V181" i="6"/>
  <c r="X181" i="6"/>
  <c r="Z181" i="6" s="1"/>
  <c r="AH180" i="6"/>
  <c r="W180" i="6"/>
  <c r="V180" i="6"/>
  <c r="X180" i="6"/>
  <c r="Z180" i="6" s="1"/>
  <c r="AH179" i="6"/>
  <c r="X179" i="6"/>
  <c r="Z179" i="6" s="1"/>
  <c r="W179" i="6"/>
  <c r="V179" i="6"/>
  <c r="AH178" i="6"/>
  <c r="W178" i="6"/>
  <c r="V178" i="6"/>
  <c r="X178" i="6"/>
  <c r="Z178" i="6" s="1"/>
  <c r="AH177" i="6"/>
  <c r="W177" i="6"/>
  <c r="V177" i="6"/>
  <c r="X177" i="6"/>
  <c r="Z177" i="6" s="1"/>
  <c r="AH176" i="6"/>
  <c r="W176" i="6"/>
  <c r="V176" i="6"/>
  <c r="X176" i="6"/>
  <c r="Z176" i="6" s="1"/>
  <c r="AH175" i="6"/>
  <c r="W175" i="6"/>
  <c r="V175" i="6"/>
  <c r="X175" i="6"/>
  <c r="Z175" i="6" s="1"/>
  <c r="AH174" i="6"/>
  <c r="W174" i="6"/>
  <c r="V174" i="6"/>
  <c r="X174" i="6"/>
  <c r="Z174" i="6" s="1"/>
  <c r="AH173" i="6"/>
  <c r="W173" i="6"/>
  <c r="V173" i="6"/>
  <c r="X173" i="6"/>
  <c r="Z173" i="6" s="1"/>
  <c r="AH172" i="6"/>
  <c r="W172" i="6"/>
  <c r="V172" i="6"/>
  <c r="X172" i="6"/>
  <c r="Z172" i="6" s="1"/>
  <c r="AH171" i="6"/>
  <c r="W171" i="6"/>
  <c r="V171" i="6"/>
  <c r="X171" i="6"/>
  <c r="Z171" i="6" s="1"/>
  <c r="AH170" i="6"/>
  <c r="W170" i="6"/>
  <c r="V170" i="6"/>
  <c r="X170" i="6"/>
  <c r="Z170" i="6" s="1"/>
  <c r="AH169" i="6"/>
  <c r="W169" i="6"/>
  <c r="V169" i="6"/>
  <c r="X169" i="6"/>
  <c r="Z169" i="6" s="1"/>
  <c r="AH168" i="6"/>
  <c r="W168" i="6"/>
  <c r="V168" i="6"/>
  <c r="X168" i="6"/>
  <c r="Z168" i="6" s="1"/>
  <c r="AH167" i="6"/>
  <c r="X167" i="6"/>
  <c r="Z167" i="6" s="1"/>
  <c r="W167" i="6"/>
  <c r="V167" i="6"/>
  <c r="AH166" i="6"/>
  <c r="W166" i="6"/>
  <c r="V166" i="6"/>
  <c r="X166" i="6"/>
  <c r="Z166" i="6" s="1"/>
  <c r="AH165" i="6"/>
  <c r="X165" i="6"/>
  <c r="Z165" i="6" s="1"/>
  <c r="W165" i="6"/>
  <c r="V165" i="6"/>
  <c r="AH164" i="6"/>
  <c r="W164" i="6"/>
  <c r="V164" i="6"/>
  <c r="X164" i="6"/>
  <c r="Z164" i="6" s="1"/>
  <c r="AH163" i="6"/>
  <c r="W163" i="6"/>
  <c r="V163" i="6"/>
  <c r="X163" i="6"/>
  <c r="Z163" i="6" s="1"/>
  <c r="AH162" i="6"/>
  <c r="W162" i="6"/>
  <c r="V162" i="6"/>
  <c r="X162" i="6"/>
  <c r="Z162" i="6" s="1"/>
  <c r="AH161" i="6"/>
  <c r="W161" i="6"/>
  <c r="V161" i="6"/>
  <c r="X161" i="6"/>
  <c r="Z161" i="6" s="1"/>
  <c r="AH160" i="6"/>
  <c r="W160" i="6"/>
  <c r="V160" i="6"/>
  <c r="X160" i="6"/>
  <c r="Z160" i="6" s="1"/>
  <c r="AH159" i="6"/>
  <c r="X159" i="6"/>
  <c r="Z159" i="6" s="1"/>
  <c r="W159" i="6"/>
  <c r="V159" i="6"/>
  <c r="AH158" i="6"/>
  <c r="W158" i="6"/>
  <c r="V158" i="6"/>
  <c r="X158" i="6"/>
  <c r="Z158" i="6" s="1"/>
  <c r="AH157" i="6"/>
  <c r="W157" i="6"/>
  <c r="V157" i="6"/>
  <c r="X157" i="6"/>
  <c r="Z157" i="6" s="1"/>
  <c r="AH156" i="6"/>
  <c r="W156" i="6"/>
  <c r="V156" i="6"/>
  <c r="X156" i="6"/>
  <c r="Z156" i="6" s="1"/>
  <c r="AH155" i="6"/>
  <c r="X155" i="6"/>
  <c r="Z155" i="6" s="1"/>
  <c r="W155" i="6"/>
  <c r="V155" i="6"/>
  <c r="AH154" i="6"/>
  <c r="W154" i="6"/>
  <c r="V154" i="6"/>
  <c r="X154" i="6"/>
  <c r="Z154" i="6" s="1"/>
  <c r="AH153" i="6"/>
  <c r="W153" i="6"/>
  <c r="V153" i="6"/>
  <c r="X153" i="6"/>
  <c r="Z153" i="6" s="1"/>
  <c r="AH152" i="6"/>
  <c r="W152" i="6"/>
  <c r="V152" i="6"/>
  <c r="X152" i="6"/>
  <c r="Z152" i="6" s="1"/>
  <c r="AH151" i="6"/>
  <c r="X151" i="6"/>
  <c r="Z151" i="6" s="1"/>
  <c r="W151" i="6"/>
  <c r="V151" i="6"/>
  <c r="AH150" i="6"/>
  <c r="W150" i="6"/>
  <c r="V150" i="6"/>
  <c r="X150" i="6"/>
  <c r="Z150" i="6" s="1"/>
  <c r="AH149" i="6"/>
  <c r="W149" i="6"/>
  <c r="V149" i="6"/>
  <c r="X149" i="6"/>
  <c r="Z149" i="6" s="1"/>
  <c r="AH148" i="6"/>
  <c r="W148" i="6"/>
  <c r="V148" i="6"/>
  <c r="X148" i="6"/>
  <c r="Z148" i="6" s="1"/>
  <c r="AH147" i="6"/>
  <c r="X147" i="6"/>
  <c r="Z147" i="6" s="1"/>
  <c r="W147" i="6"/>
  <c r="V147" i="6"/>
  <c r="AH146" i="6"/>
  <c r="W146" i="6"/>
  <c r="V146" i="6"/>
  <c r="X146" i="6"/>
  <c r="Z146" i="6" s="1"/>
  <c r="AH145" i="6"/>
  <c r="W145" i="6"/>
  <c r="V145" i="6"/>
  <c r="X145" i="6"/>
  <c r="Z145" i="6" s="1"/>
  <c r="AH144" i="6"/>
  <c r="W144" i="6"/>
  <c r="V144" i="6"/>
  <c r="X144" i="6"/>
  <c r="Z144" i="6" s="1"/>
  <c r="AH143" i="6"/>
  <c r="W143" i="6"/>
  <c r="V143" i="6"/>
  <c r="X143" i="6"/>
  <c r="Z143" i="6" s="1"/>
  <c r="AH142" i="6"/>
  <c r="W142" i="6"/>
  <c r="V142" i="6"/>
  <c r="X142" i="6"/>
  <c r="Z142" i="6" s="1"/>
  <c r="AH141" i="6"/>
  <c r="W141" i="6"/>
  <c r="V141" i="6"/>
  <c r="X141" i="6"/>
  <c r="Z141" i="6" s="1"/>
  <c r="AH140" i="6"/>
  <c r="W140" i="6"/>
  <c r="V140" i="6"/>
  <c r="X140" i="6"/>
  <c r="Z140" i="6" s="1"/>
  <c r="AH139" i="6"/>
  <c r="W139" i="6"/>
  <c r="V139" i="6"/>
  <c r="X139" i="6"/>
  <c r="Z139" i="6" s="1"/>
  <c r="AH138" i="6"/>
  <c r="W138" i="6"/>
  <c r="V138" i="6"/>
  <c r="X138" i="6"/>
  <c r="Z138" i="6" s="1"/>
  <c r="AH137" i="6"/>
  <c r="W137" i="6"/>
  <c r="V137" i="6"/>
  <c r="X137" i="6"/>
  <c r="Z137" i="6" s="1"/>
  <c r="AH136" i="6"/>
  <c r="W136" i="6"/>
  <c r="V136" i="6"/>
  <c r="X136" i="6"/>
  <c r="Z136" i="6" s="1"/>
  <c r="AH135" i="6"/>
  <c r="W135" i="6"/>
  <c r="V135" i="6"/>
  <c r="X135" i="6"/>
  <c r="Z135" i="6" s="1"/>
  <c r="AH134" i="6"/>
  <c r="W134" i="6"/>
  <c r="V134" i="6"/>
  <c r="X134" i="6"/>
  <c r="Z134" i="6" s="1"/>
  <c r="AH133" i="6"/>
  <c r="W133" i="6"/>
  <c r="V133" i="6"/>
  <c r="X133" i="6"/>
  <c r="Z133" i="6" s="1"/>
  <c r="AH132" i="6"/>
  <c r="W132" i="6"/>
  <c r="V132" i="6"/>
  <c r="X132" i="6"/>
  <c r="Z132" i="6" s="1"/>
  <c r="AH131" i="6"/>
  <c r="W131" i="6"/>
  <c r="V131" i="6"/>
  <c r="X131" i="6"/>
  <c r="Z131" i="6" s="1"/>
  <c r="AH130" i="6"/>
  <c r="W130" i="6"/>
  <c r="V130" i="6"/>
  <c r="X130" i="6"/>
  <c r="Z130" i="6" s="1"/>
  <c r="AH129" i="6"/>
  <c r="W129" i="6"/>
  <c r="V129" i="6"/>
  <c r="X129" i="6"/>
  <c r="Z129" i="6" s="1"/>
  <c r="AH128" i="6"/>
  <c r="W128" i="6"/>
  <c r="V128" i="6"/>
  <c r="X128" i="6"/>
  <c r="Z128" i="6" s="1"/>
  <c r="AH127" i="6"/>
  <c r="W127" i="6"/>
  <c r="V127" i="6"/>
  <c r="X127" i="6"/>
  <c r="Z127" i="6" s="1"/>
  <c r="AH126" i="6"/>
  <c r="W126" i="6"/>
  <c r="V126" i="6"/>
  <c r="X126" i="6"/>
  <c r="Z126" i="6" s="1"/>
  <c r="AH125" i="6"/>
  <c r="W125" i="6"/>
  <c r="V125" i="6"/>
  <c r="X125" i="6"/>
  <c r="Z125" i="6" s="1"/>
  <c r="AH124" i="6"/>
  <c r="W124" i="6"/>
  <c r="V124" i="6"/>
  <c r="X124" i="6"/>
  <c r="Z124" i="6" s="1"/>
  <c r="AH123" i="6"/>
  <c r="W123" i="6"/>
  <c r="V123" i="6"/>
  <c r="X123" i="6"/>
  <c r="Z123" i="6" s="1"/>
  <c r="AH122" i="6"/>
  <c r="W122" i="6"/>
  <c r="V122" i="6"/>
  <c r="X122" i="6"/>
  <c r="Z122" i="6" s="1"/>
  <c r="AH121" i="6"/>
  <c r="W121" i="6"/>
  <c r="V121" i="6"/>
  <c r="X121" i="6"/>
  <c r="Z121" i="6" s="1"/>
  <c r="AH120" i="6"/>
  <c r="W120" i="6"/>
  <c r="V120" i="6"/>
  <c r="X120" i="6"/>
  <c r="Z120" i="6" s="1"/>
  <c r="AH119" i="6"/>
  <c r="W119" i="6"/>
  <c r="V119" i="6"/>
  <c r="X119" i="6"/>
  <c r="Z119" i="6" s="1"/>
  <c r="AH118" i="6"/>
  <c r="W118" i="6"/>
  <c r="V118" i="6"/>
  <c r="X118" i="6"/>
  <c r="Z118" i="6" s="1"/>
  <c r="AH117" i="6"/>
  <c r="W117" i="6"/>
  <c r="V117" i="6"/>
  <c r="X117" i="6"/>
  <c r="Z117" i="6" s="1"/>
  <c r="AH116" i="6"/>
  <c r="W116" i="6"/>
  <c r="V116" i="6"/>
  <c r="X116" i="6"/>
  <c r="Z116" i="6" s="1"/>
  <c r="AH115" i="6"/>
  <c r="W115" i="6"/>
  <c r="V115" i="6"/>
  <c r="X115" i="6"/>
  <c r="Z115" i="6" s="1"/>
  <c r="AH114" i="6"/>
  <c r="W114" i="6"/>
  <c r="V114" i="6"/>
  <c r="X114" i="6"/>
  <c r="Z114" i="6" s="1"/>
  <c r="AH113" i="6"/>
  <c r="W113" i="6"/>
  <c r="V113" i="6"/>
  <c r="X113" i="6"/>
  <c r="Z113" i="6" s="1"/>
  <c r="AH112" i="6"/>
  <c r="W112" i="6"/>
  <c r="V112" i="6"/>
  <c r="X112" i="6"/>
  <c r="Z112" i="6" s="1"/>
  <c r="AH111" i="6"/>
  <c r="W111" i="6"/>
  <c r="V111" i="6"/>
  <c r="X111" i="6"/>
  <c r="Z111" i="6" s="1"/>
  <c r="AH110" i="6"/>
  <c r="W110" i="6"/>
  <c r="V110" i="6"/>
  <c r="X110" i="6"/>
  <c r="Z110" i="6" s="1"/>
  <c r="AH109" i="6"/>
  <c r="W109" i="6"/>
  <c r="V109" i="6"/>
  <c r="X109" i="6"/>
  <c r="Z109" i="6" s="1"/>
  <c r="AH108" i="6"/>
  <c r="W108" i="6"/>
  <c r="V108" i="6"/>
  <c r="X108" i="6"/>
  <c r="Z108" i="6" s="1"/>
  <c r="AH107" i="6"/>
  <c r="W107" i="6"/>
  <c r="V107" i="6"/>
  <c r="X107" i="6"/>
  <c r="Z107" i="6" s="1"/>
  <c r="AH106" i="6"/>
  <c r="W106" i="6"/>
  <c r="V106" i="6"/>
  <c r="X106" i="6"/>
  <c r="Z106" i="6" s="1"/>
  <c r="AH105" i="6"/>
  <c r="W105" i="6"/>
  <c r="V105" i="6"/>
  <c r="X105" i="6"/>
  <c r="Z105" i="6" s="1"/>
  <c r="AH104" i="6"/>
  <c r="W104" i="6"/>
  <c r="V104" i="6"/>
  <c r="X104" i="6"/>
  <c r="Z104" i="6" s="1"/>
  <c r="AH103" i="6"/>
  <c r="W103" i="6"/>
  <c r="V103" i="6"/>
  <c r="X103" i="6"/>
  <c r="Z103" i="6" s="1"/>
  <c r="AH102" i="6"/>
  <c r="W102" i="6"/>
  <c r="V102" i="6"/>
  <c r="X102" i="6"/>
  <c r="Z102" i="6" s="1"/>
  <c r="AH101" i="6"/>
  <c r="W101" i="6"/>
  <c r="V101" i="6"/>
  <c r="X101" i="6"/>
  <c r="Z101" i="6" s="1"/>
  <c r="AH100" i="6"/>
  <c r="W100" i="6"/>
  <c r="V100" i="6"/>
  <c r="X100" i="6"/>
  <c r="Z100" i="6" s="1"/>
  <c r="AH99" i="6"/>
  <c r="W99" i="6"/>
  <c r="V99" i="6"/>
  <c r="X99" i="6"/>
  <c r="Z99" i="6" s="1"/>
  <c r="AH98" i="6"/>
  <c r="W98" i="6"/>
  <c r="V98" i="6"/>
  <c r="X98" i="6"/>
  <c r="Z98" i="6" s="1"/>
  <c r="AH97" i="6"/>
  <c r="W97" i="6"/>
  <c r="V97" i="6"/>
  <c r="X97" i="6"/>
  <c r="Z97" i="6" s="1"/>
  <c r="AH96" i="6"/>
  <c r="W96" i="6"/>
  <c r="V96" i="6"/>
  <c r="X96" i="6"/>
  <c r="Z96" i="6" s="1"/>
  <c r="AH95" i="6"/>
  <c r="W95" i="6"/>
  <c r="V95" i="6"/>
  <c r="X95" i="6"/>
  <c r="Z95" i="6" s="1"/>
  <c r="AH94" i="6"/>
  <c r="W94" i="6"/>
  <c r="V94" i="6"/>
  <c r="X94" i="6"/>
  <c r="Z94" i="6" s="1"/>
  <c r="AH93" i="6"/>
  <c r="W93" i="6"/>
  <c r="V93" i="6"/>
  <c r="X93" i="6"/>
  <c r="Z93" i="6" s="1"/>
  <c r="AH92" i="6"/>
  <c r="W92" i="6"/>
  <c r="V92" i="6"/>
  <c r="X92" i="6"/>
  <c r="Z92" i="6" s="1"/>
  <c r="AH91" i="6"/>
  <c r="W91" i="6"/>
  <c r="V91" i="6"/>
  <c r="X91" i="6"/>
  <c r="Z91" i="6" s="1"/>
  <c r="AH90" i="6"/>
  <c r="W90" i="6"/>
  <c r="V90" i="6"/>
  <c r="X90" i="6"/>
  <c r="Z90" i="6" s="1"/>
  <c r="AH89" i="6"/>
  <c r="W89" i="6"/>
  <c r="V89" i="6"/>
  <c r="X89" i="6"/>
  <c r="Z89" i="6" s="1"/>
  <c r="AH88" i="6"/>
  <c r="W88" i="6"/>
  <c r="V88" i="6"/>
  <c r="X88" i="6"/>
  <c r="Z88" i="6" s="1"/>
  <c r="AH87" i="6"/>
  <c r="AG87" i="6"/>
  <c r="V87" i="6"/>
  <c r="W87" i="6" s="1"/>
  <c r="X87" i="6"/>
  <c r="Z87" i="6" s="1"/>
  <c r="K87" i="6"/>
  <c r="AH86" i="6"/>
  <c r="V86" i="6"/>
  <c r="W86" i="6" s="1"/>
  <c r="X86" i="6"/>
  <c r="Z86" i="6" s="1"/>
  <c r="K86" i="6"/>
  <c r="AH85" i="6"/>
  <c r="AG85" i="6"/>
  <c r="V85" i="6"/>
  <c r="W85" i="6" s="1"/>
  <c r="X85" i="6"/>
  <c r="Z85" i="6" s="1"/>
  <c r="K85" i="6"/>
  <c r="AH84" i="6"/>
  <c r="V84" i="6"/>
  <c r="AG84" i="6" s="1"/>
  <c r="X84" i="6"/>
  <c r="Z84" i="6" s="1"/>
  <c r="K84" i="6"/>
  <c r="AH83" i="6"/>
  <c r="AG83" i="6"/>
  <c r="V83" i="6"/>
  <c r="W83" i="6" s="1"/>
  <c r="X83" i="6"/>
  <c r="Z83" i="6" s="1"/>
  <c r="K83" i="6"/>
  <c r="AH82" i="6"/>
  <c r="X82" i="6"/>
  <c r="Z82" i="6" s="1"/>
  <c r="V82" i="6"/>
  <c r="W82" i="6" s="1"/>
  <c r="K82" i="6"/>
  <c r="AH81" i="6"/>
  <c r="AG81" i="6"/>
  <c r="X81" i="6"/>
  <c r="Z81" i="6" s="1"/>
  <c r="V81" i="6"/>
  <c r="W81" i="6" s="1"/>
  <c r="K81" i="6"/>
  <c r="AH80" i="6"/>
  <c r="V80" i="6"/>
  <c r="AG80" i="6" s="1"/>
  <c r="X80" i="6"/>
  <c r="Z80" i="6" s="1"/>
  <c r="K80" i="6"/>
  <c r="AH79" i="6"/>
  <c r="AG79" i="6"/>
  <c r="V79" i="6"/>
  <c r="W79" i="6" s="1"/>
  <c r="X79" i="6"/>
  <c r="Z79" i="6" s="1"/>
  <c r="K79" i="6"/>
  <c r="AH78" i="6"/>
  <c r="X78" i="6"/>
  <c r="Z78" i="6" s="1"/>
  <c r="V78" i="6"/>
  <c r="K78" i="6"/>
  <c r="AH77" i="6"/>
  <c r="AG77" i="6"/>
  <c r="X77" i="6"/>
  <c r="Z77" i="6" s="1"/>
  <c r="V77" i="6"/>
  <c r="W77" i="6" s="1"/>
  <c r="K77" i="6"/>
  <c r="AH76" i="6"/>
  <c r="V76" i="6"/>
  <c r="AG76" i="6" s="1"/>
  <c r="X76" i="6"/>
  <c r="Z76" i="6" s="1"/>
  <c r="K76" i="6"/>
  <c r="AH75" i="6"/>
  <c r="AG75" i="6"/>
  <c r="V75" i="6"/>
  <c r="W75" i="6" s="1"/>
  <c r="X75" i="6"/>
  <c r="Z75" i="6" s="1"/>
  <c r="K75" i="6"/>
  <c r="AH74" i="6"/>
  <c r="V74" i="6"/>
  <c r="X74" i="6"/>
  <c r="Z74" i="6" s="1"/>
  <c r="K74" i="6"/>
  <c r="AH73" i="6"/>
  <c r="AG73" i="6"/>
  <c r="V73" i="6"/>
  <c r="W73" i="6" s="1"/>
  <c r="X73" i="6"/>
  <c r="Z73" i="6" s="1"/>
  <c r="K73" i="6"/>
  <c r="AH72" i="6"/>
  <c r="V72" i="6"/>
  <c r="AG72" i="6" s="1"/>
  <c r="X72" i="6"/>
  <c r="Z72" i="6" s="1"/>
  <c r="K72" i="6"/>
  <c r="AH71" i="6"/>
  <c r="AG71" i="6"/>
  <c r="V71" i="6"/>
  <c r="W71" i="6" s="1"/>
  <c r="X71" i="6"/>
  <c r="Z71" i="6" s="1"/>
  <c r="K71" i="6"/>
  <c r="AH70" i="6"/>
  <c r="V70" i="6"/>
  <c r="X70" i="6"/>
  <c r="Z70" i="6" s="1"/>
  <c r="K70" i="6"/>
  <c r="AH69" i="6"/>
  <c r="AG69" i="6"/>
  <c r="V69" i="6"/>
  <c r="W69" i="6" s="1"/>
  <c r="X69" i="6"/>
  <c r="Z69" i="6" s="1"/>
  <c r="K69" i="6"/>
  <c r="AH68" i="6"/>
  <c r="V68" i="6"/>
  <c r="AG68" i="6" s="1"/>
  <c r="X68" i="6"/>
  <c r="Z68" i="6" s="1"/>
  <c r="K68" i="6"/>
  <c r="AH67" i="6"/>
  <c r="AG67" i="6"/>
  <c r="V67" i="6"/>
  <c r="W67" i="6" s="1"/>
  <c r="X67" i="6"/>
  <c r="Z67" i="6" s="1"/>
  <c r="K67" i="6"/>
  <c r="AH66" i="6"/>
  <c r="V66" i="6"/>
  <c r="X66" i="6"/>
  <c r="Z66" i="6" s="1"/>
  <c r="K66" i="6"/>
  <c r="AH65" i="6"/>
  <c r="AG65" i="6"/>
  <c r="V65" i="6"/>
  <c r="W65" i="6" s="1"/>
  <c r="X65" i="6"/>
  <c r="Z65" i="6" s="1"/>
  <c r="K65" i="6"/>
  <c r="AH64" i="6"/>
  <c r="V64" i="6"/>
  <c r="AG64" i="6" s="1"/>
  <c r="X64" i="6"/>
  <c r="Z64" i="6" s="1"/>
  <c r="K64" i="6"/>
  <c r="AH63" i="6"/>
  <c r="AG63" i="6"/>
  <c r="V63" i="6"/>
  <c r="W63" i="6" s="1"/>
  <c r="X63" i="6"/>
  <c r="Z63" i="6" s="1"/>
  <c r="K63" i="6"/>
  <c r="AH62" i="6"/>
  <c r="V62" i="6"/>
  <c r="X62" i="6"/>
  <c r="Z62" i="6" s="1"/>
  <c r="K62" i="6"/>
  <c r="AH61" i="6"/>
  <c r="AG61" i="6"/>
  <c r="V61" i="6"/>
  <c r="W61" i="6" s="1"/>
  <c r="X61" i="6"/>
  <c r="Z61" i="6" s="1"/>
  <c r="K61" i="6"/>
  <c r="AH60" i="6"/>
  <c r="X60" i="6"/>
  <c r="Z60" i="6" s="1"/>
  <c r="V60" i="6"/>
  <c r="K60" i="6"/>
  <c r="AH59" i="6"/>
  <c r="AG59" i="6"/>
  <c r="V59" i="6"/>
  <c r="W59" i="6" s="1"/>
  <c r="X59" i="6"/>
  <c r="Z59" i="6" s="1"/>
  <c r="K59" i="6"/>
  <c r="AH58" i="6"/>
  <c r="V58" i="6"/>
  <c r="X58" i="6"/>
  <c r="Z58" i="6" s="1"/>
  <c r="K58" i="6"/>
  <c r="AH57" i="6"/>
  <c r="AG57" i="6"/>
  <c r="V57" i="6"/>
  <c r="W57" i="6" s="1"/>
  <c r="X57" i="6"/>
  <c r="Z57" i="6" s="1"/>
  <c r="K57" i="6"/>
  <c r="AH56" i="6"/>
  <c r="V56" i="6"/>
  <c r="X56" i="6"/>
  <c r="Z56" i="6" s="1"/>
  <c r="K56" i="6"/>
  <c r="AH55" i="6"/>
  <c r="AG55" i="6"/>
  <c r="V55" i="6"/>
  <c r="W55" i="6" s="1"/>
  <c r="X55" i="6"/>
  <c r="Z55" i="6" s="1"/>
  <c r="K55" i="6"/>
  <c r="AH54" i="6"/>
  <c r="V54" i="6"/>
  <c r="X54" i="6"/>
  <c r="Z54" i="6" s="1"/>
  <c r="K54" i="6"/>
  <c r="AH53" i="6"/>
  <c r="AG53" i="6"/>
  <c r="V53" i="6"/>
  <c r="W53" i="6" s="1"/>
  <c r="X53" i="6"/>
  <c r="Z53" i="6" s="1"/>
  <c r="K53" i="6"/>
  <c r="AH52" i="6"/>
  <c r="V52" i="6"/>
  <c r="X52" i="6"/>
  <c r="Z52" i="6" s="1"/>
  <c r="K52" i="6"/>
  <c r="AH51" i="6"/>
  <c r="AG51" i="6"/>
  <c r="V51" i="6"/>
  <c r="W51" i="6" s="1"/>
  <c r="X51" i="6"/>
  <c r="Z51" i="6" s="1"/>
  <c r="K51" i="6"/>
  <c r="AH50" i="6"/>
  <c r="V50" i="6"/>
  <c r="X50" i="6"/>
  <c r="Z50" i="6" s="1"/>
  <c r="K50" i="6"/>
  <c r="AH49" i="6"/>
  <c r="AG49" i="6"/>
  <c r="V49" i="6"/>
  <c r="W49" i="6" s="1"/>
  <c r="X49" i="6"/>
  <c r="Z49" i="6" s="1"/>
  <c r="K49" i="6"/>
  <c r="AH48" i="6"/>
  <c r="V48" i="6"/>
  <c r="X48" i="6"/>
  <c r="Z48" i="6" s="1"/>
  <c r="K48" i="6"/>
  <c r="AH47" i="6"/>
  <c r="AG47" i="6"/>
  <c r="V47" i="6"/>
  <c r="W47" i="6" s="1"/>
  <c r="X47" i="6"/>
  <c r="Z47" i="6" s="1"/>
  <c r="K47" i="6"/>
  <c r="AH46" i="6"/>
  <c r="V46" i="6"/>
  <c r="X46" i="6"/>
  <c r="Z46" i="6" s="1"/>
  <c r="K46" i="6"/>
  <c r="AH45" i="6"/>
  <c r="AG45" i="6"/>
  <c r="V45" i="6"/>
  <c r="W45" i="6" s="1"/>
  <c r="X45" i="6"/>
  <c r="Z45" i="6" s="1"/>
  <c r="K45" i="6"/>
  <c r="AH44" i="6"/>
  <c r="V44" i="6"/>
  <c r="X44" i="6"/>
  <c r="Z44" i="6" s="1"/>
  <c r="K44" i="6"/>
  <c r="AH43" i="6"/>
  <c r="AG43" i="6"/>
  <c r="V43" i="6"/>
  <c r="W43" i="6" s="1"/>
  <c r="X43" i="6"/>
  <c r="Z43" i="6" s="1"/>
  <c r="K43" i="6"/>
  <c r="AH42" i="6"/>
  <c r="AG42" i="6"/>
  <c r="V42" i="6"/>
  <c r="W42" i="6" s="1"/>
  <c r="X42" i="6"/>
  <c r="Z42" i="6" s="1"/>
  <c r="K42" i="6"/>
  <c r="AH41" i="6"/>
  <c r="AG41" i="6"/>
  <c r="V41" i="6"/>
  <c r="W41" i="6" s="1"/>
  <c r="X41" i="6"/>
  <c r="Z41" i="6" s="1"/>
  <c r="K41" i="6"/>
  <c r="AH40" i="6"/>
  <c r="W40" i="6"/>
  <c r="V40" i="6"/>
  <c r="AG40" i="6" s="1"/>
  <c r="X40" i="6"/>
  <c r="Z40" i="6" s="1"/>
  <c r="K40" i="6"/>
  <c r="AH39" i="6"/>
  <c r="AG39" i="6"/>
  <c r="V39" i="6"/>
  <c r="W39" i="6" s="1"/>
  <c r="X39" i="6"/>
  <c r="Z39" i="6" s="1"/>
  <c r="K39" i="6"/>
  <c r="AH38" i="6"/>
  <c r="V38" i="6"/>
  <c r="W38" i="6" s="1"/>
  <c r="X38" i="6"/>
  <c r="Z38" i="6" s="1"/>
  <c r="K38" i="6"/>
  <c r="AH37" i="6"/>
  <c r="V37" i="6"/>
  <c r="W37" i="6" s="1"/>
  <c r="X37" i="6"/>
  <c r="Z37" i="6" s="1"/>
  <c r="K37" i="6"/>
  <c r="AH36" i="6"/>
  <c r="V36" i="6"/>
  <c r="AG36" i="6" s="1"/>
  <c r="X36" i="6"/>
  <c r="Z36" i="6" s="1"/>
  <c r="K36" i="6"/>
  <c r="AH35" i="6"/>
  <c r="AG35" i="6"/>
  <c r="V35" i="6"/>
  <c r="W35" i="6" s="1"/>
  <c r="X35" i="6"/>
  <c r="Z35" i="6" s="1"/>
  <c r="K35" i="6"/>
  <c r="AH34" i="6"/>
  <c r="V34" i="6"/>
  <c r="W34" i="6" s="1"/>
  <c r="X34" i="6"/>
  <c r="Z34" i="6" s="1"/>
  <c r="K34" i="6"/>
  <c r="AH33" i="6"/>
  <c r="V33" i="6"/>
  <c r="W33" i="6" s="1"/>
  <c r="X33" i="6"/>
  <c r="Z33" i="6" s="1"/>
  <c r="K33" i="6"/>
  <c r="AH32" i="6"/>
  <c r="W32" i="6"/>
  <c r="V32" i="6"/>
  <c r="AG32" i="6" s="1"/>
  <c r="X32" i="6"/>
  <c r="Z32" i="6" s="1"/>
  <c r="K32" i="6"/>
  <c r="AH31" i="6"/>
  <c r="AG31" i="6"/>
  <c r="V31" i="6"/>
  <c r="W31" i="6" s="1"/>
  <c r="X31" i="6"/>
  <c r="Z31" i="6" s="1"/>
  <c r="K31" i="6"/>
  <c r="AH30" i="6"/>
  <c r="AG30" i="6"/>
  <c r="V30" i="6"/>
  <c r="W30" i="6" s="1"/>
  <c r="X30" i="6"/>
  <c r="Z30" i="6" s="1"/>
  <c r="K30" i="6"/>
  <c r="AH29" i="6"/>
  <c r="AG29" i="6"/>
  <c r="V29" i="6"/>
  <c r="W29" i="6" s="1"/>
  <c r="X29" i="6"/>
  <c r="Z29" i="6" s="1"/>
  <c r="K29" i="6"/>
  <c r="AH28" i="6"/>
  <c r="V28" i="6"/>
  <c r="AG28" i="6" s="1"/>
  <c r="X28" i="6"/>
  <c r="Z28" i="6" s="1"/>
  <c r="K28" i="6"/>
  <c r="AH27" i="6"/>
  <c r="AG27" i="6"/>
  <c r="V27" i="6"/>
  <c r="W27" i="6" s="1"/>
  <c r="X27" i="6"/>
  <c r="Z27" i="6" s="1"/>
  <c r="K27" i="6"/>
  <c r="AH26" i="6"/>
  <c r="V26" i="6"/>
  <c r="W26" i="6" s="1"/>
  <c r="X26" i="6"/>
  <c r="Z26" i="6" s="1"/>
  <c r="K26" i="6"/>
  <c r="AH25" i="6"/>
  <c r="V25" i="6"/>
  <c r="W25" i="6" s="1"/>
  <c r="X25" i="6"/>
  <c r="Z25" i="6" s="1"/>
  <c r="K25" i="6"/>
  <c r="AH24" i="6"/>
  <c r="V24" i="6"/>
  <c r="X24" i="6"/>
  <c r="Z24" i="6" s="1"/>
  <c r="K24" i="6"/>
  <c r="AH23" i="6"/>
  <c r="V23" i="6"/>
  <c r="W23" i="6" s="1"/>
  <c r="X23" i="6"/>
  <c r="Z23" i="6" s="1"/>
  <c r="K23" i="6"/>
  <c r="AH22" i="6"/>
  <c r="V22" i="6"/>
  <c r="W22" i="6" s="1"/>
  <c r="X22" i="6"/>
  <c r="Z22" i="6" s="1"/>
  <c r="K22" i="6"/>
  <c r="AH21" i="6"/>
  <c r="V21" i="6"/>
  <c r="W21" i="6" s="1"/>
  <c r="X21" i="6"/>
  <c r="Z21" i="6" s="1"/>
  <c r="K21" i="6"/>
  <c r="AH20" i="6"/>
  <c r="V20" i="6"/>
  <c r="AG20" i="6" s="1"/>
  <c r="X20" i="6"/>
  <c r="Z20" i="6" s="1"/>
  <c r="K20" i="6"/>
  <c r="AH19" i="6"/>
  <c r="V19" i="6"/>
  <c r="W19" i="6" s="1"/>
  <c r="X19" i="6"/>
  <c r="Z19" i="6" s="1"/>
  <c r="K19" i="6"/>
  <c r="AH18" i="6"/>
  <c r="V18" i="6"/>
  <c r="AG18" i="6" s="1"/>
  <c r="X18" i="6"/>
  <c r="Z18" i="6" s="1"/>
  <c r="K18" i="6"/>
  <c r="AH17" i="6"/>
  <c r="V17" i="6"/>
  <c r="W17" i="6" s="1"/>
  <c r="X17" i="6"/>
  <c r="Z17" i="6" s="1"/>
  <c r="K17" i="6"/>
  <c r="AH16" i="6"/>
  <c r="V16" i="6"/>
  <c r="W16" i="6" s="1"/>
  <c r="X16" i="6"/>
  <c r="Z16" i="6" s="1"/>
  <c r="K16" i="6"/>
  <c r="AH15" i="6"/>
  <c r="V15" i="6"/>
  <c r="W15" i="6" s="1"/>
  <c r="X15" i="6"/>
  <c r="Z15" i="6" s="1"/>
  <c r="K15" i="6"/>
  <c r="AH14" i="6"/>
  <c r="W14" i="6"/>
  <c r="V14" i="6"/>
  <c r="AG14" i="6" s="1"/>
  <c r="X14" i="6"/>
  <c r="Z14" i="6" s="1"/>
  <c r="K14" i="6"/>
  <c r="AH13" i="6"/>
  <c r="V13" i="6"/>
  <c r="W13" i="6" s="1"/>
  <c r="X13" i="6"/>
  <c r="Z13" i="6" s="1"/>
  <c r="K13" i="6"/>
  <c r="AH12" i="6"/>
  <c r="V12" i="6"/>
  <c r="W12" i="6" s="1"/>
  <c r="X12" i="6"/>
  <c r="Z12" i="6" s="1"/>
  <c r="K12" i="6"/>
  <c r="AH11" i="6"/>
  <c r="V11" i="6"/>
  <c r="W11" i="6" s="1"/>
  <c r="X11" i="6"/>
  <c r="Z11" i="6" s="1"/>
  <c r="K11" i="6"/>
  <c r="AH10" i="6"/>
  <c r="V10" i="6"/>
  <c r="AG10" i="6" s="1"/>
  <c r="X10" i="6"/>
  <c r="Z10" i="6" s="1"/>
  <c r="K10" i="6"/>
  <c r="AH9" i="6"/>
  <c r="V9" i="6"/>
  <c r="W9" i="6" s="1"/>
  <c r="X9" i="6"/>
  <c r="Z9" i="6" s="1"/>
  <c r="K9" i="6"/>
  <c r="AH8" i="6"/>
  <c r="V8" i="6"/>
  <c r="W8" i="6" s="1"/>
  <c r="X8" i="6"/>
  <c r="Z8" i="6" s="1"/>
  <c r="K8" i="6"/>
  <c r="AH7" i="6"/>
  <c r="V7" i="6"/>
  <c r="W7" i="6" s="1"/>
  <c r="X7" i="6"/>
  <c r="Z7" i="6" s="1"/>
  <c r="K7" i="6"/>
  <c r="AH6" i="6"/>
  <c r="W6" i="6"/>
  <c r="V6" i="6"/>
  <c r="AG6" i="6" s="1"/>
  <c r="X6" i="6"/>
  <c r="Z6" i="6" s="1"/>
  <c r="K6" i="6"/>
  <c r="AH5" i="6"/>
  <c r="V5" i="6"/>
  <c r="W5" i="6" s="1"/>
  <c r="X5" i="6"/>
  <c r="Z5" i="6" s="1"/>
  <c r="AH4" i="6"/>
  <c r="V4" i="6"/>
  <c r="W4" i="6" s="1"/>
  <c r="X4" i="6"/>
  <c r="Z4" i="6" s="1"/>
  <c r="K4" i="6"/>
  <c r="AH3" i="6"/>
  <c r="V3" i="6"/>
  <c r="W3" i="6" s="1"/>
  <c r="X3" i="6"/>
  <c r="Z3" i="6" s="1"/>
  <c r="K3" i="6"/>
  <c r="AH2" i="6"/>
  <c r="V2" i="6"/>
  <c r="AG2" i="6" s="1"/>
  <c r="X2" i="6"/>
  <c r="Z2" i="6" s="1"/>
  <c r="K2" i="6"/>
  <c r="AJ254" i="9" l="1"/>
  <c r="AJ258" i="9"/>
  <c r="AJ262" i="9"/>
  <c r="AM262" i="9" s="1"/>
  <c r="AP262" i="9" s="1"/>
  <c r="AI240" i="9"/>
  <c r="AJ240" i="9" s="1"/>
  <c r="AM240" i="9" s="1"/>
  <c r="AP240" i="9" s="1"/>
  <c r="W34" i="9"/>
  <c r="W32" i="9"/>
  <c r="W31" i="9"/>
  <c r="W29" i="9"/>
  <c r="W28" i="9"/>
  <c r="W26" i="9"/>
  <c r="W23" i="9"/>
  <c r="W21" i="9"/>
  <c r="W20" i="9"/>
  <c r="W18" i="9"/>
  <c r="AI253" i="9"/>
  <c r="AJ253" i="9" s="1"/>
  <c r="AM253" i="9" s="1"/>
  <c r="AP253" i="9" s="1"/>
  <c r="W16" i="9"/>
  <c r="W14" i="9"/>
  <c r="W13" i="9"/>
  <c r="W11" i="9"/>
  <c r="W10" i="9"/>
  <c r="W8" i="9"/>
  <c r="AI242" i="9"/>
  <c r="AJ242" i="9" s="1"/>
  <c r="AM242" i="9" s="1"/>
  <c r="AP242" i="9" s="1"/>
  <c r="W6" i="9"/>
  <c r="AJ203" i="9"/>
  <c r="AM203" i="9" s="1"/>
  <c r="AP203" i="9" s="1"/>
  <c r="AI241" i="9"/>
  <c r="AJ241" i="9" s="1"/>
  <c r="AM241" i="9" s="1"/>
  <c r="AP241" i="9" s="1"/>
  <c r="AJ226" i="9"/>
  <c r="AM226" i="9" s="1"/>
  <c r="AP226" i="9" s="1"/>
  <c r="AJ230" i="9"/>
  <c r="AM230" i="9" s="1"/>
  <c r="AP230" i="9" s="1"/>
  <c r="AJ234" i="9"/>
  <c r="AM234" i="9" s="1"/>
  <c r="AP234" i="9" s="1"/>
  <c r="AJ238" i="9"/>
  <c r="AM238" i="9" s="1"/>
  <c r="AP238" i="9" s="1"/>
  <c r="AJ246" i="9"/>
  <c r="AM246" i="9" s="1"/>
  <c r="AP246" i="9" s="1"/>
  <c r="AJ250" i="9"/>
  <c r="AM250" i="9" s="1"/>
  <c r="AP250" i="9" s="1"/>
  <c r="AJ205" i="9"/>
  <c r="AI251" i="9"/>
  <c r="AJ251" i="9" s="1"/>
  <c r="AM251" i="9" s="1"/>
  <c r="AP251" i="9" s="1"/>
  <c r="AM254" i="9"/>
  <c r="AP254" i="9" s="1"/>
  <c r="AM258" i="9"/>
  <c r="AP258" i="9" s="1"/>
  <c r="AJ261" i="9"/>
  <c r="AM261" i="9" s="1"/>
  <c r="AP261" i="9" s="1"/>
  <c r="AJ204" i="9"/>
  <c r="AM204" i="9" s="1"/>
  <c r="AP204" i="9" s="1"/>
  <c r="AJ263" i="9"/>
  <c r="AK203" i="9"/>
  <c r="AK204" i="9"/>
  <c r="AK205" i="9"/>
  <c r="AJ206" i="9"/>
  <c r="AM206" i="9" s="1"/>
  <c r="AP206" i="9" s="1"/>
  <c r="AJ224" i="9"/>
  <c r="AM224" i="9" s="1"/>
  <c r="AP224" i="9" s="1"/>
  <c r="AJ228" i="9"/>
  <c r="AM228" i="9" s="1"/>
  <c r="AP228" i="9" s="1"/>
  <c r="AJ232" i="9"/>
  <c r="AM232" i="9" s="1"/>
  <c r="AP232" i="9" s="1"/>
  <c r="AJ236" i="9"/>
  <c r="AM236" i="9" s="1"/>
  <c r="AP236" i="9" s="1"/>
  <c r="AJ244" i="9"/>
  <c r="AM244" i="9" s="1"/>
  <c r="AP244" i="9" s="1"/>
  <c r="AJ248" i="9"/>
  <c r="AM248" i="9" s="1"/>
  <c r="AP248" i="9" s="1"/>
  <c r="AJ252" i="9"/>
  <c r="AM252" i="9" s="1"/>
  <c r="AP252" i="9" s="1"/>
  <c r="AJ256" i="9"/>
  <c r="AM256" i="9" s="1"/>
  <c r="AP256" i="9" s="1"/>
  <c r="AJ260" i="9"/>
  <c r="AM260" i="9" s="1"/>
  <c r="AP260" i="9" s="1"/>
  <c r="AJ264" i="9"/>
  <c r="AM264" i="9" s="1"/>
  <c r="AP264" i="9" s="1"/>
  <c r="AG71" i="7"/>
  <c r="W24" i="8"/>
  <c r="AI252" i="8"/>
  <c r="AJ252" i="8" s="1"/>
  <c r="AM252" i="8" s="1"/>
  <c r="AP252" i="8" s="1"/>
  <c r="W16" i="8"/>
  <c r="W14" i="8"/>
  <c r="AG14" i="8"/>
  <c r="AG12" i="8"/>
  <c r="AI240" i="8"/>
  <c r="AJ240" i="8" s="1"/>
  <c r="AM240" i="8" s="1"/>
  <c r="AP240" i="8" s="1"/>
  <c r="AJ209" i="8"/>
  <c r="AM209" i="8" s="1"/>
  <c r="AP209" i="8" s="1"/>
  <c r="AJ213" i="8"/>
  <c r="AM213" i="8" s="1"/>
  <c r="AP213" i="8" s="1"/>
  <c r="AJ217" i="8"/>
  <c r="AM217" i="8" s="1"/>
  <c r="AP217" i="8" s="1"/>
  <c r="AJ221" i="8"/>
  <c r="AM221" i="8" s="1"/>
  <c r="AP221" i="8" s="1"/>
  <c r="W8" i="8"/>
  <c r="AN223" i="10"/>
  <c r="AN254" i="9"/>
  <c r="AN265" i="6"/>
  <c r="AN215" i="10"/>
  <c r="AN238" i="9"/>
  <c r="AN207" i="10"/>
  <c r="AM264" i="10"/>
  <c r="AP264" i="10" s="1"/>
  <c r="W5" i="11"/>
  <c r="AJ222" i="11"/>
  <c r="AJ234" i="11"/>
  <c r="AM234" i="11" s="1"/>
  <c r="AP234" i="11" s="1"/>
  <c r="AJ238" i="11"/>
  <c r="AM238" i="11" s="1"/>
  <c r="AP238" i="11" s="1"/>
  <c r="AJ218" i="11"/>
  <c r="AJ250" i="11"/>
  <c r="AM250" i="11" s="1"/>
  <c r="AP250" i="11" s="1"/>
  <c r="W66" i="7"/>
  <c r="AG65" i="7"/>
  <c r="W64" i="7"/>
  <c r="W60" i="7"/>
  <c r="AG57" i="7"/>
  <c r="W56" i="7"/>
  <c r="W55" i="7"/>
  <c r="AG53" i="7"/>
  <c r="W52" i="7"/>
  <c r="W51" i="7"/>
  <c r="W47" i="7"/>
  <c r="AG49" i="7"/>
  <c r="W48" i="7"/>
  <c r="AG45" i="7"/>
  <c r="AG41" i="7"/>
  <c r="W40" i="7"/>
  <c r="AG37" i="7"/>
  <c r="W36" i="7"/>
  <c r="AI251" i="7"/>
  <c r="AJ251" i="7" s="1"/>
  <c r="AM251" i="7" s="1"/>
  <c r="AP251" i="7" s="1"/>
  <c r="AI242" i="7"/>
  <c r="AJ242" i="7" s="1"/>
  <c r="AM242" i="7" s="1"/>
  <c r="AP242" i="7" s="1"/>
  <c r="W31" i="7"/>
  <c r="W30" i="7"/>
  <c r="AG29" i="7"/>
  <c r="W27" i="7"/>
  <c r="W26" i="7"/>
  <c r="AG25" i="7"/>
  <c r="W23" i="7"/>
  <c r="AI253" i="7"/>
  <c r="AJ253" i="7" s="1"/>
  <c r="AM253" i="7" s="1"/>
  <c r="AP253" i="7" s="1"/>
  <c r="W22" i="7"/>
  <c r="AI240" i="7"/>
  <c r="AJ240" i="7" s="1"/>
  <c r="AM240" i="7" s="1"/>
  <c r="AP240" i="7" s="1"/>
  <c r="AG21" i="7"/>
  <c r="W20" i="7"/>
  <c r="AI241" i="7"/>
  <c r="AJ241" i="7" s="1"/>
  <c r="AM241" i="7" s="1"/>
  <c r="AP241" i="7" s="1"/>
  <c r="W19" i="7"/>
  <c r="W16" i="7"/>
  <c r="AI252" i="7"/>
  <c r="AJ252" i="7" s="1"/>
  <c r="AM252" i="7" s="1"/>
  <c r="AP252" i="7" s="1"/>
  <c r="W8" i="7"/>
  <c r="W6" i="7"/>
  <c r="AJ235" i="7"/>
  <c r="AM235" i="7" s="1"/>
  <c r="AP235" i="7" s="1"/>
  <c r="AJ239" i="7"/>
  <c r="AM239" i="7" s="1"/>
  <c r="AP239" i="7" s="1"/>
  <c r="AJ243" i="7"/>
  <c r="AM243" i="7" s="1"/>
  <c r="AP243" i="7" s="1"/>
  <c r="AJ247" i="7"/>
  <c r="AM247" i="7" s="1"/>
  <c r="AP247" i="7" s="1"/>
  <c r="AJ264" i="7"/>
  <c r="AM264" i="7" s="1"/>
  <c r="AP264" i="7" s="1"/>
  <c r="AI254" i="7"/>
  <c r="AJ254" i="7" s="1"/>
  <c r="AM254" i="7" s="1"/>
  <c r="AP254" i="7" s="1"/>
  <c r="AJ233" i="7"/>
  <c r="AM233" i="7" s="1"/>
  <c r="AP233" i="7" s="1"/>
  <c r="AJ237" i="7"/>
  <c r="AM237" i="7" s="1"/>
  <c r="AP237" i="7" s="1"/>
  <c r="AJ245" i="7"/>
  <c r="AM245" i="7" s="1"/>
  <c r="AP245" i="7" s="1"/>
  <c r="AJ203" i="7"/>
  <c r="AM203" i="7" s="1"/>
  <c r="AP203" i="7" s="1"/>
  <c r="AJ204" i="7"/>
  <c r="AM204" i="7" s="1"/>
  <c r="AP204" i="7" s="1"/>
  <c r="AJ205" i="7"/>
  <c r="AJ225" i="7"/>
  <c r="AM225" i="7" s="1"/>
  <c r="AP225" i="7" s="1"/>
  <c r="AJ229" i="7"/>
  <c r="AM229" i="7" s="1"/>
  <c r="AP229" i="7" s="1"/>
  <c r="AJ255" i="7"/>
  <c r="AM255" i="7" s="1"/>
  <c r="AP255" i="7" s="1"/>
  <c r="AJ259" i="7"/>
  <c r="AM259" i="7" s="1"/>
  <c r="AP259" i="7" s="1"/>
  <c r="AJ263" i="7"/>
  <c r="AM263" i="7" s="1"/>
  <c r="AP263" i="7" s="1"/>
  <c r="AJ262" i="7"/>
  <c r="AM262" i="7" s="1"/>
  <c r="AP262" i="7" s="1"/>
  <c r="AK203" i="7"/>
  <c r="AK204" i="7"/>
  <c r="AK205" i="7"/>
  <c r="AJ206" i="7"/>
  <c r="AM206" i="7" s="1"/>
  <c r="AP206" i="7" s="1"/>
  <c r="AJ227" i="7"/>
  <c r="AM227" i="7" s="1"/>
  <c r="AP227" i="7" s="1"/>
  <c r="AJ231" i="7"/>
  <c r="AM231" i="7" s="1"/>
  <c r="AP231" i="7" s="1"/>
  <c r="AJ249" i="7"/>
  <c r="AM249" i="7" s="1"/>
  <c r="AP249" i="7" s="1"/>
  <c r="AJ257" i="7"/>
  <c r="AM257" i="7" s="1"/>
  <c r="AP257" i="7" s="1"/>
  <c r="AJ261" i="7"/>
  <c r="AM261" i="7" s="1"/>
  <c r="AP261" i="7" s="1"/>
  <c r="W28" i="6"/>
  <c r="W24" i="6"/>
  <c r="AI240" i="6"/>
  <c r="AJ240" i="6" s="1"/>
  <c r="AM240" i="6" s="1"/>
  <c r="AP240" i="6" s="1"/>
  <c r="AI253" i="6"/>
  <c r="AJ253" i="6" s="1"/>
  <c r="AM253" i="6" s="1"/>
  <c r="AP253" i="6" s="1"/>
  <c r="W18" i="6"/>
  <c r="AG17" i="6"/>
  <c r="AG13" i="6"/>
  <c r="AI252" i="6"/>
  <c r="AJ252" i="6" s="1"/>
  <c r="AM252" i="6" s="1"/>
  <c r="AP252" i="6" s="1"/>
  <c r="W10" i="6"/>
  <c r="AI241" i="6"/>
  <c r="AJ241" i="6" s="1"/>
  <c r="AM241" i="6" s="1"/>
  <c r="AP241" i="6" s="1"/>
  <c r="AG9" i="6"/>
  <c r="AN216" i="10"/>
  <c r="AN237" i="10"/>
  <c r="AN265" i="10"/>
  <c r="AN230" i="9"/>
  <c r="AN246" i="9"/>
  <c r="AM203" i="10"/>
  <c r="AP203" i="10" s="1"/>
  <c r="AM204" i="10"/>
  <c r="AP204" i="10" s="1"/>
  <c r="AN211" i="10"/>
  <c r="AN219" i="10"/>
  <c r="AM254" i="11"/>
  <c r="AP254" i="11" s="1"/>
  <c r="AN265" i="8"/>
  <c r="AN208" i="10"/>
  <c r="AN212" i="10"/>
  <c r="AN220" i="10"/>
  <c r="AN229" i="10"/>
  <c r="AJ244" i="6"/>
  <c r="AM244" i="6" s="1"/>
  <c r="AP244" i="6" s="1"/>
  <c r="AN226" i="9"/>
  <c r="AN242" i="9"/>
  <c r="AN217" i="10"/>
  <c r="AN265" i="7"/>
  <c r="AM263" i="9"/>
  <c r="AP263" i="9" s="1"/>
  <c r="AM206" i="10"/>
  <c r="AP206" i="10" s="1"/>
  <c r="AN210" i="10"/>
  <c r="AN214" i="10"/>
  <c r="AN218" i="10"/>
  <c r="AN222" i="10"/>
  <c r="AN225" i="10"/>
  <c r="AN233" i="10"/>
  <c r="AN241" i="10"/>
  <c r="AM263" i="10"/>
  <c r="AP263" i="10" s="1"/>
  <c r="AM218" i="11"/>
  <c r="AP218" i="11" s="1"/>
  <c r="AM222" i="11"/>
  <c r="AP222" i="11" s="1"/>
  <c r="AN234" i="9"/>
  <c r="AN250" i="9"/>
  <c r="AN258" i="9"/>
  <c r="AN265" i="9"/>
  <c r="AN209" i="10"/>
  <c r="AN213" i="10"/>
  <c r="AN221" i="10"/>
  <c r="AN265" i="11"/>
  <c r="W4" i="11"/>
  <c r="AJ210" i="11"/>
  <c r="AM210" i="11" s="1"/>
  <c r="AP210" i="11" s="1"/>
  <c r="AJ214" i="11"/>
  <c r="AM214" i="11" s="1"/>
  <c r="AP214" i="11" s="1"/>
  <c r="AJ226" i="11"/>
  <c r="AM226" i="11" s="1"/>
  <c r="AP226" i="11" s="1"/>
  <c r="AJ230" i="11"/>
  <c r="AM230" i="11" s="1"/>
  <c r="AP230" i="11" s="1"/>
  <c r="AI242" i="11"/>
  <c r="AJ242" i="11" s="1"/>
  <c r="AM242" i="11" s="1"/>
  <c r="AP242" i="11" s="1"/>
  <c r="AJ246" i="11"/>
  <c r="AM246" i="11" s="1"/>
  <c r="AP246" i="11" s="1"/>
  <c r="AJ258" i="11"/>
  <c r="AM258" i="11" s="1"/>
  <c r="AP258" i="11" s="1"/>
  <c r="AJ262" i="11"/>
  <c r="AM262" i="11" s="1"/>
  <c r="AP262" i="11" s="1"/>
  <c r="AJ206" i="11"/>
  <c r="AM206" i="11" s="1"/>
  <c r="AP206" i="11" s="1"/>
  <c r="AJ205" i="8"/>
  <c r="AJ210" i="8"/>
  <c r="AM210" i="8" s="1"/>
  <c r="AP210" i="8" s="1"/>
  <c r="AJ214" i="8"/>
  <c r="AM214" i="8" s="1"/>
  <c r="AP214" i="8" s="1"/>
  <c r="AJ218" i="8"/>
  <c r="AM218" i="8" s="1"/>
  <c r="AP218" i="8" s="1"/>
  <c r="AJ222" i="8"/>
  <c r="AM222" i="8" s="1"/>
  <c r="AP222" i="8" s="1"/>
  <c r="AI242" i="8"/>
  <c r="AJ242" i="8" s="1"/>
  <c r="AM242" i="8" s="1"/>
  <c r="AP242" i="8" s="1"/>
  <c r="AJ256" i="6"/>
  <c r="AM256" i="6" s="1"/>
  <c r="AP256" i="6" s="1"/>
  <c r="AK206" i="11"/>
  <c r="AJ207" i="11"/>
  <c r="AM207" i="11" s="1"/>
  <c r="AP207" i="11" s="1"/>
  <c r="AJ223" i="11"/>
  <c r="AM223" i="11" s="1"/>
  <c r="AP223" i="11" s="1"/>
  <c r="AJ227" i="11"/>
  <c r="AM227" i="11" s="1"/>
  <c r="AP227" i="11" s="1"/>
  <c r="AJ231" i="11"/>
  <c r="AM231" i="11" s="1"/>
  <c r="AP231" i="11" s="1"/>
  <c r="AJ235" i="11"/>
  <c r="AM235" i="11" s="1"/>
  <c r="AP235" i="11" s="1"/>
  <c r="AJ239" i="11"/>
  <c r="AM239" i="11" s="1"/>
  <c r="AP239" i="11" s="1"/>
  <c r="AJ255" i="11"/>
  <c r="AM255" i="11" s="1"/>
  <c r="AP255" i="11" s="1"/>
  <c r="AJ259" i="11"/>
  <c r="AM259" i="11" s="1"/>
  <c r="AP259" i="11" s="1"/>
  <c r="AJ208" i="11"/>
  <c r="AM208" i="11" s="1"/>
  <c r="AP208" i="11" s="1"/>
  <c r="AJ212" i="11"/>
  <c r="AM212" i="11" s="1"/>
  <c r="AP212" i="11" s="1"/>
  <c r="AJ216" i="11"/>
  <c r="AM216" i="11" s="1"/>
  <c r="AP216" i="11" s="1"/>
  <c r="AJ220" i="11"/>
  <c r="AM220" i="11" s="1"/>
  <c r="AP220" i="11" s="1"/>
  <c r="AJ224" i="11"/>
  <c r="AM224" i="11" s="1"/>
  <c r="AP224" i="11" s="1"/>
  <c r="AJ228" i="11"/>
  <c r="AM228" i="11" s="1"/>
  <c r="AP228" i="11" s="1"/>
  <c r="AJ232" i="11"/>
  <c r="AM232" i="11" s="1"/>
  <c r="AP232" i="11" s="1"/>
  <c r="AJ236" i="11"/>
  <c r="AM236" i="11" s="1"/>
  <c r="AP236" i="11" s="1"/>
  <c r="AJ240" i="11"/>
  <c r="AM240" i="11" s="1"/>
  <c r="AP240" i="11" s="1"/>
  <c r="AJ244" i="11"/>
  <c r="AM244" i="11" s="1"/>
  <c r="AP244" i="11" s="1"/>
  <c r="AJ248" i="11"/>
  <c r="AM248" i="11" s="1"/>
  <c r="AP248" i="11" s="1"/>
  <c r="AJ252" i="11"/>
  <c r="AM252" i="11" s="1"/>
  <c r="AP252" i="11" s="1"/>
  <c r="AJ256" i="11"/>
  <c r="AM256" i="11" s="1"/>
  <c r="AP256" i="11" s="1"/>
  <c r="AJ260" i="11"/>
  <c r="AM260" i="11" s="1"/>
  <c r="AP260" i="11" s="1"/>
  <c r="AJ264" i="11"/>
  <c r="AM264" i="11" s="1"/>
  <c r="AP264" i="11" s="1"/>
  <c r="AG2" i="11"/>
  <c r="AJ211" i="11"/>
  <c r="AM211" i="11" s="1"/>
  <c r="AP211" i="11" s="1"/>
  <c r="AJ215" i="11"/>
  <c r="AM215" i="11" s="1"/>
  <c r="AP215" i="11" s="1"/>
  <c r="AJ219" i="11"/>
  <c r="AM219" i="11" s="1"/>
  <c r="AP219" i="11" s="1"/>
  <c r="AJ243" i="11"/>
  <c r="AM243" i="11" s="1"/>
  <c r="AP243" i="11" s="1"/>
  <c r="AJ247" i="11"/>
  <c r="AM247" i="11" s="1"/>
  <c r="AP247" i="11" s="1"/>
  <c r="AJ251" i="11"/>
  <c r="AM251" i="11" s="1"/>
  <c r="AP251" i="11" s="1"/>
  <c r="AJ263" i="11"/>
  <c r="AM263" i="11" s="1"/>
  <c r="AP263" i="11" s="1"/>
  <c r="W3" i="11"/>
  <c r="AJ209" i="11"/>
  <c r="AM209" i="11" s="1"/>
  <c r="AP209" i="11" s="1"/>
  <c r="AJ213" i="11"/>
  <c r="AM213" i="11" s="1"/>
  <c r="AP213" i="11" s="1"/>
  <c r="AJ217" i="11"/>
  <c r="AM217" i="11" s="1"/>
  <c r="AP217" i="11" s="1"/>
  <c r="AJ221" i="11"/>
  <c r="AM221" i="11" s="1"/>
  <c r="AP221" i="11" s="1"/>
  <c r="AJ225" i="11"/>
  <c r="AM225" i="11" s="1"/>
  <c r="AP225" i="11" s="1"/>
  <c r="AJ229" i="11"/>
  <c r="AM229" i="11" s="1"/>
  <c r="AP229" i="11" s="1"/>
  <c r="AJ233" i="11"/>
  <c r="AM233" i="11" s="1"/>
  <c r="AP233" i="11" s="1"/>
  <c r="AJ237" i="11"/>
  <c r="AM237" i="11" s="1"/>
  <c r="AP237" i="11" s="1"/>
  <c r="AJ241" i="11"/>
  <c r="AM241" i="11" s="1"/>
  <c r="AP241" i="11" s="1"/>
  <c r="AJ245" i="11"/>
  <c r="AM245" i="11" s="1"/>
  <c r="AP245" i="11" s="1"/>
  <c r="AJ249" i="11"/>
  <c r="AM249" i="11" s="1"/>
  <c r="AP249" i="11" s="1"/>
  <c r="AJ253" i="11"/>
  <c r="AM253" i="11" s="1"/>
  <c r="AP253" i="11" s="1"/>
  <c r="AJ257" i="11"/>
  <c r="AM257" i="11" s="1"/>
  <c r="AP257" i="11" s="1"/>
  <c r="AJ261" i="11"/>
  <c r="AM261" i="11" s="1"/>
  <c r="AP261" i="11" s="1"/>
  <c r="AJ203" i="8"/>
  <c r="AM203" i="8" s="1"/>
  <c r="AP203" i="8" s="1"/>
  <c r="AJ208" i="8"/>
  <c r="AM208" i="8" s="1"/>
  <c r="AP208" i="8" s="1"/>
  <c r="AJ212" i="8"/>
  <c r="AM212" i="8" s="1"/>
  <c r="AP212" i="8" s="1"/>
  <c r="AJ216" i="8"/>
  <c r="AM216" i="8" s="1"/>
  <c r="AP216" i="8" s="1"/>
  <c r="AJ220" i="8"/>
  <c r="AM220" i="8" s="1"/>
  <c r="AP220" i="8" s="1"/>
  <c r="AJ207" i="8"/>
  <c r="AM207" i="8" s="1"/>
  <c r="AP207" i="8" s="1"/>
  <c r="AJ211" i="8"/>
  <c r="AM211" i="8" s="1"/>
  <c r="AP211" i="8" s="1"/>
  <c r="AJ215" i="8"/>
  <c r="AM215" i="8" s="1"/>
  <c r="AP215" i="8" s="1"/>
  <c r="AJ219" i="8"/>
  <c r="AM219" i="8" s="1"/>
  <c r="AP219" i="8" s="1"/>
  <c r="AJ223" i="8"/>
  <c r="AM223" i="8" s="1"/>
  <c r="AP223" i="8" s="1"/>
  <c r="AG2" i="8"/>
  <c r="AJ204" i="8"/>
  <c r="AM204" i="8" s="1"/>
  <c r="AP204" i="8" s="1"/>
  <c r="AK207" i="8"/>
  <c r="AK208" i="8"/>
  <c r="AK209" i="8"/>
  <c r="AK210" i="8"/>
  <c r="AK211" i="8"/>
  <c r="AK212" i="8"/>
  <c r="AK213" i="8"/>
  <c r="AK214" i="8"/>
  <c r="AK215" i="8"/>
  <c r="AK216" i="8"/>
  <c r="AK217" i="8"/>
  <c r="AK218" i="8"/>
  <c r="AK219" i="8"/>
  <c r="AK220" i="8"/>
  <c r="AK221" i="8"/>
  <c r="AK222" i="8"/>
  <c r="AK223" i="8"/>
  <c r="W2" i="8"/>
  <c r="AK256" i="6"/>
  <c r="AJ257" i="6"/>
  <c r="AM257" i="6" s="1"/>
  <c r="AP257" i="6" s="1"/>
  <c r="AJ259" i="6"/>
  <c r="AM259" i="6" s="1"/>
  <c r="AP259" i="6" s="1"/>
  <c r="AJ218" i="6"/>
  <c r="AM218" i="6" s="1"/>
  <c r="AP218" i="6" s="1"/>
  <c r="AJ226" i="6"/>
  <c r="AM226" i="6" s="1"/>
  <c r="AP226" i="6" s="1"/>
  <c r="AJ247" i="6"/>
  <c r="AM247" i="6" s="1"/>
  <c r="AP247" i="6" s="1"/>
  <c r="AJ250" i="6"/>
  <c r="AM250" i="6" s="1"/>
  <c r="AP250" i="6" s="1"/>
  <c r="AJ260" i="6"/>
  <c r="AM260" i="6" s="1"/>
  <c r="AP260" i="6" s="1"/>
  <c r="AJ262" i="6"/>
  <c r="AM262" i="6" s="1"/>
  <c r="AP262" i="6" s="1"/>
  <c r="AJ210" i="6"/>
  <c r="AM210" i="6" s="1"/>
  <c r="AP210" i="6" s="1"/>
  <c r="AJ214" i="6"/>
  <c r="AM214" i="6" s="1"/>
  <c r="AP214" i="6" s="1"/>
  <c r="AJ222" i="6"/>
  <c r="AM222" i="6" s="1"/>
  <c r="AP222" i="6" s="1"/>
  <c r="AJ230" i="6"/>
  <c r="AM230" i="6" s="1"/>
  <c r="AP230" i="6" s="1"/>
  <c r="AJ231" i="6"/>
  <c r="AM231" i="6" s="1"/>
  <c r="AP231" i="6" s="1"/>
  <c r="AJ232" i="6"/>
  <c r="AM232" i="6" s="1"/>
  <c r="AP232" i="6" s="1"/>
  <c r="AJ233" i="6"/>
  <c r="AM233" i="6" s="1"/>
  <c r="AP233" i="6" s="1"/>
  <c r="AJ235" i="6"/>
  <c r="AM235" i="6" s="1"/>
  <c r="AP235" i="6" s="1"/>
  <c r="AJ237" i="6"/>
  <c r="AM237" i="6" s="1"/>
  <c r="AP237" i="6" s="1"/>
  <c r="AJ254" i="6"/>
  <c r="AM254" i="6" s="1"/>
  <c r="AP254" i="6" s="1"/>
  <c r="W2" i="6"/>
  <c r="AJ212" i="6"/>
  <c r="AM212" i="6" s="1"/>
  <c r="AP212" i="6" s="1"/>
  <c r="AJ220" i="6"/>
  <c r="AM220" i="6" s="1"/>
  <c r="AP220" i="6" s="1"/>
  <c r="AJ228" i="6"/>
  <c r="AM228" i="6" s="1"/>
  <c r="AP228" i="6" s="1"/>
  <c r="AJ234" i="6"/>
  <c r="AM234" i="6" s="1"/>
  <c r="AP234" i="6" s="1"/>
  <c r="AI242" i="6"/>
  <c r="AJ242" i="6" s="1"/>
  <c r="AM242" i="6" s="1"/>
  <c r="AP242" i="6" s="1"/>
  <c r="AJ243" i="6"/>
  <c r="AM243" i="6" s="1"/>
  <c r="AP243" i="6" s="1"/>
  <c r="AJ249" i="6"/>
  <c r="AM249" i="6" s="1"/>
  <c r="AP249" i="6" s="1"/>
  <c r="AJ263" i="6"/>
  <c r="AM263" i="6" s="1"/>
  <c r="AP263" i="6" s="1"/>
  <c r="AJ206" i="6"/>
  <c r="AM206" i="6" s="1"/>
  <c r="AP206" i="6" s="1"/>
  <c r="AJ238" i="6"/>
  <c r="AM238" i="6" s="1"/>
  <c r="AP238" i="6" s="1"/>
  <c r="AJ246" i="6"/>
  <c r="AM246" i="6" s="1"/>
  <c r="AP246" i="6" s="1"/>
  <c r="AJ251" i="6"/>
  <c r="AM251" i="6" s="1"/>
  <c r="AP251" i="6" s="1"/>
  <c r="AJ208" i="6"/>
  <c r="AM208" i="6" s="1"/>
  <c r="AP208" i="6" s="1"/>
  <c r="AJ216" i="6"/>
  <c r="AJ224" i="6"/>
  <c r="AM224" i="6" s="1"/>
  <c r="AP224" i="6" s="1"/>
  <c r="AJ239" i="6"/>
  <c r="AM239" i="6" s="1"/>
  <c r="AP239" i="6" s="1"/>
  <c r="AJ245" i="6"/>
  <c r="AM245" i="6" s="1"/>
  <c r="AP245" i="6" s="1"/>
  <c r="AJ248" i="6"/>
  <c r="AM248" i="6" s="1"/>
  <c r="AP248" i="6" s="1"/>
  <c r="AJ255" i="6"/>
  <c r="AM255" i="6" s="1"/>
  <c r="AP255" i="6" s="1"/>
  <c r="AJ258" i="6"/>
  <c r="AM258" i="6" s="1"/>
  <c r="AP258" i="6" s="1"/>
  <c r="AJ261" i="6"/>
  <c r="AM261" i="6" s="1"/>
  <c r="AP261" i="6" s="1"/>
  <c r="AJ264" i="6"/>
  <c r="AM264" i="6" s="1"/>
  <c r="AP264" i="6" s="1"/>
  <c r="AJ203" i="6"/>
  <c r="AM203" i="6" s="1"/>
  <c r="AP203" i="6" s="1"/>
  <c r="AJ204" i="6"/>
  <c r="AM204" i="6" s="1"/>
  <c r="AP204" i="6" s="1"/>
  <c r="AJ205" i="6"/>
  <c r="AM216" i="6"/>
  <c r="AP216" i="6" s="1"/>
  <c r="AJ236" i="6"/>
  <c r="AM236" i="6" s="1"/>
  <c r="AP236" i="6" s="1"/>
  <c r="AG71" i="11"/>
  <c r="AG25" i="11"/>
  <c r="AG27" i="11"/>
  <c r="AG29" i="11"/>
  <c r="AG31" i="11"/>
  <c r="AG33" i="11"/>
  <c r="AG35" i="11"/>
  <c r="AG37" i="11"/>
  <c r="AG39" i="11"/>
  <c r="AG41" i="11"/>
  <c r="AG43" i="11"/>
  <c r="AG45" i="11"/>
  <c r="AG47" i="11"/>
  <c r="AG49" i="11"/>
  <c r="AG51" i="11"/>
  <c r="AG53" i="11"/>
  <c r="AG55" i="11"/>
  <c r="AG57" i="11"/>
  <c r="AG59" i="11"/>
  <c r="AG61" i="11"/>
  <c r="AG63" i="11"/>
  <c r="AG65" i="11"/>
  <c r="AG67" i="11"/>
  <c r="AG69" i="11"/>
  <c r="AM267" i="11"/>
  <c r="AP267" i="11" s="1"/>
  <c r="AG200" i="11"/>
  <c r="AJ203" i="11"/>
  <c r="AM203" i="11" s="1"/>
  <c r="AP203" i="11" s="1"/>
  <c r="AJ204" i="11"/>
  <c r="AM204" i="11" s="1"/>
  <c r="AP204" i="11" s="1"/>
  <c r="AJ205" i="11"/>
  <c r="AM266" i="11"/>
  <c r="AP266" i="11" s="1"/>
  <c r="W51" i="10"/>
  <c r="W55" i="10"/>
  <c r="W59" i="10"/>
  <c r="AG61" i="10"/>
  <c r="W63" i="10"/>
  <c r="AG65" i="10"/>
  <c r="W67" i="10"/>
  <c r="W71" i="10"/>
  <c r="AG77" i="10"/>
  <c r="AG78" i="10"/>
  <c r="W80" i="10"/>
  <c r="AG81" i="10"/>
  <c r="AG82" i="10"/>
  <c r="AM227" i="10"/>
  <c r="AP227" i="10" s="1"/>
  <c r="AM235" i="10"/>
  <c r="AP235" i="10" s="1"/>
  <c r="AM231" i="10"/>
  <c r="AP231" i="10" s="1"/>
  <c r="AM239" i="10"/>
  <c r="AP239" i="10" s="1"/>
  <c r="AK244" i="10"/>
  <c r="AJ244" i="10"/>
  <c r="AK245" i="10"/>
  <c r="AJ245" i="10"/>
  <c r="AK246" i="10"/>
  <c r="AJ246" i="10"/>
  <c r="AK247" i="10"/>
  <c r="AJ247" i="10"/>
  <c r="AK248" i="10"/>
  <c r="AJ248" i="10"/>
  <c r="AK249" i="10"/>
  <c r="AJ249" i="10"/>
  <c r="AK250" i="10"/>
  <c r="AJ250" i="10"/>
  <c r="AK251" i="10"/>
  <c r="AJ251" i="10"/>
  <c r="AK252" i="10"/>
  <c r="AJ252" i="10"/>
  <c r="AK253" i="10"/>
  <c r="AJ253" i="10"/>
  <c r="AK254" i="10"/>
  <c r="AJ254" i="10"/>
  <c r="AK255" i="10"/>
  <c r="AJ255" i="10"/>
  <c r="AK256" i="10"/>
  <c r="AJ256" i="10"/>
  <c r="AK257" i="10"/>
  <c r="AJ257" i="10"/>
  <c r="AK258" i="10"/>
  <c r="AJ258" i="10"/>
  <c r="AK259" i="10"/>
  <c r="AJ259" i="10"/>
  <c r="AJ224" i="10"/>
  <c r="AM224" i="10" s="1"/>
  <c r="AP224" i="10" s="1"/>
  <c r="AJ226" i="10"/>
  <c r="AM226" i="10" s="1"/>
  <c r="AP226" i="10" s="1"/>
  <c r="AJ228" i="10"/>
  <c r="AM228" i="10" s="1"/>
  <c r="AP228" i="10" s="1"/>
  <c r="AJ230" i="10"/>
  <c r="AM230" i="10" s="1"/>
  <c r="AP230" i="10" s="1"/>
  <c r="AJ232" i="10"/>
  <c r="AM232" i="10" s="1"/>
  <c r="AP232" i="10" s="1"/>
  <c r="AJ234" i="10"/>
  <c r="AM234" i="10" s="1"/>
  <c r="AP234" i="10" s="1"/>
  <c r="AJ236" i="10"/>
  <c r="AM236" i="10" s="1"/>
  <c r="AP236" i="10" s="1"/>
  <c r="AJ238" i="10"/>
  <c r="AM238" i="10" s="1"/>
  <c r="AP238" i="10" s="1"/>
  <c r="AJ240" i="10"/>
  <c r="AM240" i="10" s="1"/>
  <c r="AP240" i="10" s="1"/>
  <c r="AJ242" i="10"/>
  <c r="AM242" i="10" s="1"/>
  <c r="AP242" i="10" s="1"/>
  <c r="AM243" i="10"/>
  <c r="AP243" i="10" s="1"/>
  <c r="AM244" i="10"/>
  <c r="AP244" i="10" s="1"/>
  <c r="AM245" i="10"/>
  <c r="AP245" i="10" s="1"/>
  <c r="AM246" i="10"/>
  <c r="AP246" i="10" s="1"/>
  <c r="AM247" i="10"/>
  <c r="AP247" i="10" s="1"/>
  <c r="AM248" i="10"/>
  <c r="AP248" i="10" s="1"/>
  <c r="AM249" i="10"/>
  <c r="AP249" i="10" s="1"/>
  <c r="AM250" i="10"/>
  <c r="AP250" i="10" s="1"/>
  <c r="AM251" i="10"/>
  <c r="AP251" i="10" s="1"/>
  <c r="AM252" i="10"/>
  <c r="AP252" i="10" s="1"/>
  <c r="AM253" i="10"/>
  <c r="AP253" i="10" s="1"/>
  <c r="AM254" i="10"/>
  <c r="AP254" i="10" s="1"/>
  <c r="AM255" i="10"/>
  <c r="AP255" i="10" s="1"/>
  <c r="AM256" i="10"/>
  <c r="AP256" i="10" s="1"/>
  <c r="AM257" i="10"/>
  <c r="AP257" i="10" s="1"/>
  <c r="AM258" i="10"/>
  <c r="AP258" i="10" s="1"/>
  <c r="AM259" i="10"/>
  <c r="AP259" i="10" s="1"/>
  <c r="AN267" i="10"/>
  <c r="AM267" i="10"/>
  <c r="AP267" i="10" s="1"/>
  <c r="AJ260" i="10"/>
  <c r="AM260" i="10" s="1"/>
  <c r="AP260" i="10" s="1"/>
  <c r="AJ261" i="10"/>
  <c r="AM261" i="10" s="1"/>
  <c r="AP261" i="10" s="1"/>
  <c r="AJ262" i="10"/>
  <c r="AM262" i="10" s="1"/>
  <c r="AP262" i="10" s="1"/>
  <c r="AM266" i="10"/>
  <c r="AP266" i="10" s="1"/>
  <c r="W3" i="9"/>
  <c r="AG45" i="9"/>
  <c r="AG47" i="9"/>
  <c r="AG49" i="9"/>
  <c r="AG51" i="9"/>
  <c r="AG53" i="9"/>
  <c r="AG55" i="9"/>
  <c r="AG57" i="9"/>
  <c r="AG59" i="9"/>
  <c r="AG61" i="9"/>
  <c r="AG63" i="9"/>
  <c r="AG65" i="9"/>
  <c r="AG67" i="9"/>
  <c r="AG69" i="9"/>
  <c r="AG71" i="9"/>
  <c r="AG2" i="9"/>
  <c r="W4" i="9"/>
  <c r="AJ207" i="9"/>
  <c r="AM207" i="9" s="1"/>
  <c r="AP207" i="9" s="1"/>
  <c r="AJ208" i="9"/>
  <c r="AM208" i="9" s="1"/>
  <c r="AP208" i="9" s="1"/>
  <c r="AJ209" i="9"/>
  <c r="AM209" i="9" s="1"/>
  <c r="AP209" i="9" s="1"/>
  <c r="AJ210" i="9"/>
  <c r="AM210" i="9" s="1"/>
  <c r="AP210" i="9" s="1"/>
  <c r="AJ211" i="9"/>
  <c r="AM211" i="9" s="1"/>
  <c r="AP211" i="9" s="1"/>
  <c r="AJ212" i="9"/>
  <c r="AM212" i="9" s="1"/>
  <c r="AP212" i="9" s="1"/>
  <c r="AJ213" i="9"/>
  <c r="AM213" i="9" s="1"/>
  <c r="AP213" i="9" s="1"/>
  <c r="AJ214" i="9"/>
  <c r="AM214" i="9" s="1"/>
  <c r="AP214" i="9" s="1"/>
  <c r="AJ215" i="9"/>
  <c r="AM215" i="9" s="1"/>
  <c r="AP215" i="9" s="1"/>
  <c r="AJ216" i="9"/>
  <c r="AM216" i="9" s="1"/>
  <c r="AP216" i="9" s="1"/>
  <c r="AJ217" i="9"/>
  <c r="AM217" i="9" s="1"/>
  <c r="AP217" i="9" s="1"/>
  <c r="AJ218" i="9"/>
  <c r="AM218" i="9" s="1"/>
  <c r="AP218" i="9" s="1"/>
  <c r="AJ219" i="9"/>
  <c r="AM219" i="9" s="1"/>
  <c r="AP219" i="9" s="1"/>
  <c r="AJ220" i="9"/>
  <c r="AM220" i="9" s="1"/>
  <c r="AP220" i="9" s="1"/>
  <c r="AJ221" i="9"/>
  <c r="AM221" i="9" s="1"/>
  <c r="AP221" i="9" s="1"/>
  <c r="AJ222" i="9"/>
  <c r="AM222" i="9" s="1"/>
  <c r="AP222" i="9" s="1"/>
  <c r="AJ223" i="9"/>
  <c r="AM223" i="9" s="1"/>
  <c r="AP223" i="9" s="1"/>
  <c r="AN266" i="9"/>
  <c r="AM266" i="9"/>
  <c r="AP266" i="9" s="1"/>
  <c r="AJ225" i="9"/>
  <c r="AM225" i="9" s="1"/>
  <c r="AP225" i="9" s="1"/>
  <c r="AJ227" i="9"/>
  <c r="AM227" i="9" s="1"/>
  <c r="AP227" i="9" s="1"/>
  <c r="AJ229" i="9"/>
  <c r="AM229" i="9" s="1"/>
  <c r="AP229" i="9" s="1"/>
  <c r="AJ231" i="9"/>
  <c r="AM231" i="9" s="1"/>
  <c r="AP231" i="9" s="1"/>
  <c r="AJ233" i="9"/>
  <c r="AM233" i="9" s="1"/>
  <c r="AP233" i="9" s="1"/>
  <c r="AJ235" i="9"/>
  <c r="AM235" i="9" s="1"/>
  <c r="AP235" i="9" s="1"/>
  <c r="AJ237" i="9"/>
  <c r="AM237" i="9" s="1"/>
  <c r="AP237" i="9" s="1"/>
  <c r="AJ239" i="9"/>
  <c r="AM239" i="9" s="1"/>
  <c r="AP239" i="9" s="1"/>
  <c r="AJ243" i="9"/>
  <c r="AM243" i="9" s="1"/>
  <c r="AP243" i="9" s="1"/>
  <c r="AJ245" i="9"/>
  <c r="AM245" i="9" s="1"/>
  <c r="AP245" i="9" s="1"/>
  <c r="AJ247" i="9"/>
  <c r="AM247" i="9" s="1"/>
  <c r="AP247" i="9" s="1"/>
  <c r="AJ249" i="9"/>
  <c r="AM249" i="9" s="1"/>
  <c r="AP249" i="9" s="1"/>
  <c r="AJ255" i="9"/>
  <c r="AM255" i="9" s="1"/>
  <c r="AP255" i="9" s="1"/>
  <c r="AJ257" i="9"/>
  <c r="AM257" i="9" s="1"/>
  <c r="AP257" i="9" s="1"/>
  <c r="AJ259" i="9"/>
  <c r="AM259" i="9" s="1"/>
  <c r="AP259" i="9" s="1"/>
  <c r="AM267" i="9"/>
  <c r="AP267" i="9" s="1"/>
  <c r="W10" i="8"/>
  <c r="W18" i="8"/>
  <c r="W26" i="8"/>
  <c r="W34" i="8"/>
  <c r="W42" i="8"/>
  <c r="W50" i="8"/>
  <c r="W58" i="8"/>
  <c r="W66" i="8"/>
  <c r="W74" i="8"/>
  <c r="W82" i="8"/>
  <c r="W68" i="8"/>
  <c r="W76" i="8"/>
  <c r="W85" i="8"/>
  <c r="AG85" i="8"/>
  <c r="AG3" i="8"/>
  <c r="AG5" i="8"/>
  <c r="AG7" i="8"/>
  <c r="AG9" i="8"/>
  <c r="AG11" i="8"/>
  <c r="AG13" i="8"/>
  <c r="AG15" i="8"/>
  <c r="AG17" i="8"/>
  <c r="AG19" i="8"/>
  <c r="AG21" i="8"/>
  <c r="AG23" i="8"/>
  <c r="AG25" i="8"/>
  <c r="AG27" i="8"/>
  <c r="AG29" i="8"/>
  <c r="AG31" i="8"/>
  <c r="AG33" i="8"/>
  <c r="AG35" i="8"/>
  <c r="AG37" i="8"/>
  <c r="AG39" i="8"/>
  <c r="AG41" i="8"/>
  <c r="AG43" i="8"/>
  <c r="AG45" i="8"/>
  <c r="AG47" i="8"/>
  <c r="AG49" i="8"/>
  <c r="AG51" i="8"/>
  <c r="AG53" i="8"/>
  <c r="AG55" i="8"/>
  <c r="AG57" i="8"/>
  <c r="AG59" i="8"/>
  <c r="AG61" i="8"/>
  <c r="AG63" i="8"/>
  <c r="AG65" i="8"/>
  <c r="AG200" i="8"/>
  <c r="AK224" i="8"/>
  <c r="AJ224" i="8"/>
  <c r="AM224" i="8" s="1"/>
  <c r="AP224" i="8" s="1"/>
  <c r="AK225" i="8"/>
  <c r="AJ225" i="8"/>
  <c r="AM225" i="8" s="1"/>
  <c r="AP225" i="8" s="1"/>
  <c r="AK226" i="8"/>
  <c r="AJ226" i="8"/>
  <c r="AM226" i="8" s="1"/>
  <c r="AP226" i="8" s="1"/>
  <c r="AK227" i="8"/>
  <c r="AJ227" i="8"/>
  <c r="AM227" i="8" s="1"/>
  <c r="AP227" i="8" s="1"/>
  <c r="AK228" i="8"/>
  <c r="AJ228" i="8"/>
  <c r="AM228" i="8" s="1"/>
  <c r="AP228" i="8" s="1"/>
  <c r="AK229" i="8"/>
  <c r="AJ229" i="8"/>
  <c r="AM229" i="8" s="1"/>
  <c r="AP229" i="8" s="1"/>
  <c r="AK230" i="8"/>
  <c r="AJ230" i="8"/>
  <c r="AM230" i="8" s="1"/>
  <c r="AP230" i="8" s="1"/>
  <c r="AK231" i="8"/>
  <c r="AJ231" i="8"/>
  <c r="AM231" i="8" s="1"/>
  <c r="AP231" i="8" s="1"/>
  <c r="AK232" i="8"/>
  <c r="AJ232" i="8"/>
  <c r="AM232" i="8" s="1"/>
  <c r="AP232" i="8" s="1"/>
  <c r="AK233" i="8"/>
  <c r="AJ233" i="8"/>
  <c r="AM233" i="8" s="1"/>
  <c r="AP233" i="8" s="1"/>
  <c r="AK234" i="8"/>
  <c r="AJ234" i="8"/>
  <c r="AM234" i="8" s="1"/>
  <c r="AP234" i="8" s="1"/>
  <c r="AK235" i="8"/>
  <c r="AJ235" i="8"/>
  <c r="AM235" i="8" s="1"/>
  <c r="AP235" i="8" s="1"/>
  <c r="AK236" i="8"/>
  <c r="AJ236" i="8"/>
  <c r="AM236" i="8" s="1"/>
  <c r="AP236" i="8" s="1"/>
  <c r="AK237" i="8"/>
  <c r="AJ237" i="8"/>
  <c r="AM237" i="8" s="1"/>
  <c r="AP237" i="8" s="1"/>
  <c r="AK238" i="8"/>
  <c r="AJ238" i="8"/>
  <c r="AM238" i="8" s="1"/>
  <c r="AP238" i="8" s="1"/>
  <c r="AK239" i="8"/>
  <c r="AJ239" i="8"/>
  <c r="AM239" i="8" s="1"/>
  <c r="AP239" i="8" s="1"/>
  <c r="AK240" i="8"/>
  <c r="AK241" i="8"/>
  <c r="AJ241" i="8"/>
  <c r="AM241" i="8" s="1"/>
  <c r="AP241" i="8" s="1"/>
  <c r="AK242" i="8"/>
  <c r="AK243" i="8"/>
  <c r="AJ243" i="8"/>
  <c r="AM243" i="8" s="1"/>
  <c r="AP243" i="8" s="1"/>
  <c r="AK244" i="8"/>
  <c r="AJ244" i="8"/>
  <c r="AM244" i="8" s="1"/>
  <c r="AP244" i="8" s="1"/>
  <c r="AK245" i="8"/>
  <c r="AJ245" i="8"/>
  <c r="AM245" i="8" s="1"/>
  <c r="AP245" i="8" s="1"/>
  <c r="AK246" i="8"/>
  <c r="AJ246" i="8"/>
  <c r="AM246" i="8" s="1"/>
  <c r="AP246" i="8" s="1"/>
  <c r="AK247" i="8"/>
  <c r="AJ247" i="8"/>
  <c r="AM247" i="8" s="1"/>
  <c r="AP247" i="8" s="1"/>
  <c r="AK248" i="8"/>
  <c r="AJ248" i="8"/>
  <c r="AM248" i="8" s="1"/>
  <c r="AP248" i="8" s="1"/>
  <c r="AK249" i="8"/>
  <c r="AJ249" i="8"/>
  <c r="AM249" i="8" s="1"/>
  <c r="AP249" i="8" s="1"/>
  <c r="AK250" i="8"/>
  <c r="AJ250" i="8"/>
  <c r="AM250" i="8" s="1"/>
  <c r="AP250" i="8" s="1"/>
  <c r="AK251" i="8"/>
  <c r="AJ251" i="8"/>
  <c r="AM251" i="8" s="1"/>
  <c r="AP251" i="8" s="1"/>
  <c r="AK252" i="8"/>
  <c r="AK253" i="8"/>
  <c r="AJ253" i="8"/>
  <c r="AM253" i="8" s="1"/>
  <c r="AP253" i="8" s="1"/>
  <c r="AK254" i="8"/>
  <c r="AJ254" i="8"/>
  <c r="AM254" i="8" s="1"/>
  <c r="AP254" i="8" s="1"/>
  <c r="AK255" i="8"/>
  <c r="AJ255" i="8"/>
  <c r="AM255" i="8" s="1"/>
  <c r="AP255" i="8" s="1"/>
  <c r="AK256" i="8"/>
  <c r="AJ256" i="8"/>
  <c r="AM256" i="8" s="1"/>
  <c r="AP256" i="8" s="1"/>
  <c r="AK257" i="8"/>
  <c r="AJ257" i="8"/>
  <c r="AM257" i="8" s="1"/>
  <c r="AP257" i="8" s="1"/>
  <c r="AK258" i="8"/>
  <c r="AJ258" i="8"/>
  <c r="AM258" i="8" s="1"/>
  <c r="AP258" i="8" s="1"/>
  <c r="AK259" i="8"/>
  <c r="AJ259" i="8"/>
  <c r="AM259" i="8" s="1"/>
  <c r="AP259" i="8" s="1"/>
  <c r="AK260" i="8"/>
  <c r="AJ260" i="8"/>
  <c r="AM260" i="8" s="1"/>
  <c r="AP260" i="8" s="1"/>
  <c r="AK261" i="8"/>
  <c r="AJ261" i="8"/>
  <c r="AM261" i="8" s="1"/>
  <c r="AP261" i="8" s="1"/>
  <c r="AK262" i="8"/>
  <c r="AJ262" i="8"/>
  <c r="AM262" i="8" s="1"/>
  <c r="AP262" i="8" s="1"/>
  <c r="AJ206" i="8"/>
  <c r="AM206" i="8" s="1"/>
  <c r="AP206" i="8" s="1"/>
  <c r="AN267" i="8"/>
  <c r="AM267" i="8"/>
  <c r="AP267" i="8" s="1"/>
  <c r="AJ263" i="8"/>
  <c r="AM263" i="8" s="1"/>
  <c r="AP263" i="8" s="1"/>
  <c r="AJ264" i="8"/>
  <c r="AM264" i="8" s="1"/>
  <c r="AP264" i="8" s="1"/>
  <c r="AM266" i="8"/>
  <c r="AP266" i="8" s="1"/>
  <c r="AG3" i="7"/>
  <c r="AG5" i="7"/>
  <c r="AG7" i="7"/>
  <c r="AG9" i="7"/>
  <c r="AG11" i="7"/>
  <c r="AG13" i="7"/>
  <c r="AG15" i="7"/>
  <c r="W61" i="7"/>
  <c r="W69" i="7"/>
  <c r="W77" i="7"/>
  <c r="AG77" i="7"/>
  <c r="AG82" i="7"/>
  <c r="W73" i="7"/>
  <c r="AG73" i="7"/>
  <c r="AG78" i="7"/>
  <c r="W81" i="7"/>
  <c r="AG81" i="7"/>
  <c r="W85" i="7"/>
  <c r="AG85" i="7"/>
  <c r="W86" i="7"/>
  <c r="AG87" i="7"/>
  <c r="AJ224" i="7"/>
  <c r="AM224" i="7" s="1"/>
  <c r="AP224" i="7" s="1"/>
  <c r="AJ226" i="7"/>
  <c r="AM226" i="7" s="1"/>
  <c r="AP226" i="7" s="1"/>
  <c r="AJ228" i="7"/>
  <c r="AM228" i="7" s="1"/>
  <c r="AP228" i="7" s="1"/>
  <c r="AJ230" i="7"/>
  <c r="AM230" i="7" s="1"/>
  <c r="AP230" i="7" s="1"/>
  <c r="AJ232" i="7"/>
  <c r="AM232" i="7" s="1"/>
  <c r="AP232" i="7" s="1"/>
  <c r="AJ234" i="7"/>
  <c r="AM234" i="7" s="1"/>
  <c r="AP234" i="7" s="1"/>
  <c r="AJ236" i="7"/>
  <c r="AM236" i="7" s="1"/>
  <c r="AP236" i="7" s="1"/>
  <c r="AJ238" i="7"/>
  <c r="AM238" i="7" s="1"/>
  <c r="AP238" i="7" s="1"/>
  <c r="AJ244" i="7"/>
  <c r="AM244" i="7" s="1"/>
  <c r="AP244" i="7" s="1"/>
  <c r="AJ246" i="7"/>
  <c r="AM246" i="7" s="1"/>
  <c r="AP246" i="7" s="1"/>
  <c r="AJ248" i="7"/>
  <c r="AM248" i="7" s="1"/>
  <c r="AP248" i="7" s="1"/>
  <c r="AJ250" i="7"/>
  <c r="AM250" i="7" s="1"/>
  <c r="AP250" i="7" s="1"/>
  <c r="AJ256" i="7"/>
  <c r="AM256" i="7" s="1"/>
  <c r="AP256" i="7" s="1"/>
  <c r="AJ258" i="7"/>
  <c r="AM258" i="7" s="1"/>
  <c r="AP258" i="7" s="1"/>
  <c r="AJ260" i="7"/>
  <c r="AM260" i="7" s="1"/>
  <c r="AP260" i="7" s="1"/>
  <c r="AJ207" i="7"/>
  <c r="AM207" i="7" s="1"/>
  <c r="AP207" i="7" s="1"/>
  <c r="AJ208" i="7"/>
  <c r="AM208" i="7" s="1"/>
  <c r="AP208" i="7" s="1"/>
  <c r="AJ209" i="7"/>
  <c r="AM209" i="7" s="1"/>
  <c r="AP209" i="7" s="1"/>
  <c r="AJ210" i="7"/>
  <c r="AM210" i="7" s="1"/>
  <c r="AP210" i="7" s="1"/>
  <c r="AJ211" i="7"/>
  <c r="AM211" i="7" s="1"/>
  <c r="AP211" i="7" s="1"/>
  <c r="AJ212" i="7"/>
  <c r="AM212" i="7" s="1"/>
  <c r="AP212" i="7" s="1"/>
  <c r="AJ213" i="7"/>
  <c r="AM213" i="7" s="1"/>
  <c r="AP213" i="7" s="1"/>
  <c r="AJ214" i="7"/>
  <c r="AM214" i="7" s="1"/>
  <c r="AP214" i="7" s="1"/>
  <c r="AJ215" i="7"/>
  <c r="AM215" i="7" s="1"/>
  <c r="AP215" i="7" s="1"/>
  <c r="AJ216" i="7"/>
  <c r="AM216" i="7" s="1"/>
  <c r="AP216" i="7" s="1"/>
  <c r="AJ217" i="7"/>
  <c r="AM217" i="7" s="1"/>
  <c r="AP217" i="7" s="1"/>
  <c r="AJ218" i="7"/>
  <c r="AM218" i="7" s="1"/>
  <c r="AP218" i="7" s="1"/>
  <c r="AJ219" i="7"/>
  <c r="AM219" i="7" s="1"/>
  <c r="AP219" i="7" s="1"/>
  <c r="AJ220" i="7"/>
  <c r="AM220" i="7" s="1"/>
  <c r="AP220" i="7" s="1"/>
  <c r="AJ221" i="7"/>
  <c r="AM221" i="7" s="1"/>
  <c r="AP221" i="7" s="1"/>
  <c r="AJ222" i="7"/>
  <c r="AM222" i="7" s="1"/>
  <c r="AP222" i="7" s="1"/>
  <c r="AJ223" i="7"/>
  <c r="AM223" i="7" s="1"/>
  <c r="AP223" i="7" s="1"/>
  <c r="AN266" i="7"/>
  <c r="AM266" i="7"/>
  <c r="AP266" i="7" s="1"/>
  <c r="AM267" i="7"/>
  <c r="AP267" i="7" s="1"/>
  <c r="AG3" i="6"/>
  <c r="AG7" i="6"/>
  <c r="AG11" i="6"/>
  <c r="AG15" i="6"/>
  <c r="AG19" i="6"/>
  <c r="AG37" i="6"/>
  <c r="AG38" i="6"/>
  <c r="W50" i="6"/>
  <c r="AG50" i="6"/>
  <c r="W58" i="6"/>
  <c r="AG58" i="6"/>
  <c r="W70" i="6"/>
  <c r="AG70" i="6"/>
  <c r="AG4" i="6"/>
  <c r="AG8" i="6"/>
  <c r="AG12" i="6"/>
  <c r="AG16" i="6"/>
  <c r="AG48" i="6"/>
  <c r="W48" i="6"/>
  <c r="AG56" i="6"/>
  <c r="W56" i="6"/>
  <c r="W74" i="6"/>
  <c r="AG74" i="6"/>
  <c r="W46" i="6"/>
  <c r="AG46" i="6"/>
  <c r="W54" i="6"/>
  <c r="AG54" i="6"/>
  <c r="W62" i="6"/>
  <c r="AG62" i="6"/>
  <c r="W78" i="6"/>
  <c r="AG78" i="6"/>
  <c r="W20" i="6"/>
  <c r="AG33" i="6"/>
  <c r="AG34" i="6"/>
  <c r="W36" i="6"/>
  <c r="AG44" i="6"/>
  <c r="W44" i="6"/>
  <c r="AG52" i="6"/>
  <c r="W52" i="6"/>
  <c r="AG60" i="6"/>
  <c r="W60" i="6"/>
  <c r="W66" i="6"/>
  <c r="AG66" i="6"/>
  <c r="W64" i="6"/>
  <c r="W68" i="6"/>
  <c r="W72" i="6"/>
  <c r="W76" i="6"/>
  <c r="W80" i="6"/>
  <c r="AG82" i="6"/>
  <c r="W84" i="6"/>
  <c r="AG86" i="6"/>
  <c r="AJ207" i="6"/>
  <c r="AM207" i="6" s="1"/>
  <c r="AP207" i="6" s="1"/>
  <c r="AN266" i="6"/>
  <c r="AM266" i="6"/>
  <c r="AP266" i="6" s="1"/>
  <c r="AJ209" i="6"/>
  <c r="AM209" i="6" s="1"/>
  <c r="AP209" i="6" s="1"/>
  <c r="AJ211" i="6"/>
  <c r="AM211" i="6" s="1"/>
  <c r="AP211" i="6" s="1"/>
  <c r="AJ213" i="6"/>
  <c r="AM213" i="6" s="1"/>
  <c r="AP213" i="6" s="1"/>
  <c r="AJ215" i="6"/>
  <c r="AM215" i="6" s="1"/>
  <c r="AP215" i="6" s="1"/>
  <c r="AJ217" i="6"/>
  <c r="AM217" i="6" s="1"/>
  <c r="AP217" i="6" s="1"/>
  <c r="AJ219" i="6"/>
  <c r="AM219" i="6" s="1"/>
  <c r="AP219" i="6" s="1"/>
  <c r="AJ221" i="6"/>
  <c r="AM221" i="6" s="1"/>
  <c r="AP221" i="6" s="1"/>
  <c r="AJ223" i="6"/>
  <c r="AM223" i="6" s="1"/>
  <c r="AP223" i="6" s="1"/>
  <c r="AJ225" i="6"/>
  <c r="AM225" i="6" s="1"/>
  <c r="AP225" i="6" s="1"/>
  <c r="AJ227" i="6"/>
  <c r="AM227" i="6" s="1"/>
  <c r="AP227" i="6" s="1"/>
  <c r="AJ229" i="6"/>
  <c r="AM229" i="6" s="1"/>
  <c r="AP229" i="6" s="1"/>
  <c r="AM267" i="6"/>
  <c r="AP267" i="6" s="1"/>
  <c r="V5" i="5" l="1"/>
  <c r="W5" i="5" s="1"/>
  <c r="T5" i="5"/>
  <c r="X5" i="5" s="1"/>
  <c r="Z5" i="5" s="1"/>
  <c r="S5" i="5"/>
  <c r="Q5" i="5"/>
  <c r="K5" i="5"/>
  <c r="V4" i="5"/>
  <c r="W4" i="5" s="1"/>
  <c r="T4" i="5"/>
  <c r="X4" i="5" s="1"/>
  <c r="Z4" i="5" s="1"/>
  <c r="S4" i="5"/>
  <c r="Q4" i="5"/>
  <c r="K4" i="5"/>
  <c r="T200" i="5" l="1"/>
  <c r="X200" i="5" s="1"/>
  <c r="Z200" i="5" s="1"/>
  <c r="S200" i="5"/>
  <c r="Q200" i="5"/>
  <c r="T199" i="5"/>
  <c r="X199" i="5" s="1"/>
  <c r="Z199" i="5" s="1"/>
  <c r="S199" i="5"/>
  <c r="Q199" i="5"/>
  <c r="T198" i="5"/>
  <c r="S198" i="5"/>
  <c r="Q198" i="5"/>
  <c r="T197" i="5"/>
  <c r="X197" i="5" s="1"/>
  <c r="Z197" i="5" s="1"/>
  <c r="S197" i="5"/>
  <c r="Q197" i="5"/>
  <c r="T196" i="5"/>
  <c r="S196" i="5"/>
  <c r="Q196" i="5"/>
  <c r="T195" i="5"/>
  <c r="X195" i="5" s="1"/>
  <c r="Z195" i="5" s="1"/>
  <c r="S195" i="5"/>
  <c r="Q195" i="5"/>
  <c r="T194" i="5"/>
  <c r="X194" i="5" s="1"/>
  <c r="Z194" i="5" s="1"/>
  <c r="S194" i="5"/>
  <c r="Q194" i="5"/>
  <c r="T193" i="5"/>
  <c r="X193" i="5" s="1"/>
  <c r="Z193" i="5" s="1"/>
  <c r="S193" i="5"/>
  <c r="Q193" i="5"/>
  <c r="T192" i="5"/>
  <c r="X192" i="5" s="1"/>
  <c r="Z192" i="5" s="1"/>
  <c r="S192" i="5"/>
  <c r="Q192" i="5"/>
  <c r="T191" i="5"/>
  <c r="X191" i="5" s="1"/>
  <c r="Z191" i="5" s="1"/>
  <c r="S191" i="5"/>
  <c r="Q191" i="5"/>
  <c r="T190" i="5"/>
  <c r="X190" i="5" s="1"/>
  <c r="Z190" i="5" s="1"/>
  <c r="S190" i="5"/>
  <c r="Q190" i="5"/>
  <c r="T189" i="5"/>
  <c r="X189" i="5" s="1"/>
  <c r="Z189" i="5" s="1"/>
  <c r="S189" i="5"/>
  <c r="Q189" i="5"/>
  <c r="T188" i="5"/>
  <c r="S188" i="5"/>
  <c r="Q188" i="5"/>
  <c r="T187" i="5"/>
  <c r="X187" i="5" s="1"/>
  <c r="Z187" i="5" s="1"/>
  <c r="S187" i="5"/>
  <c r="Q187" i="5"/>
  <c r="T186" i="5"/>
  <c r="X186" i="5" s="1"/>
  <c r="Z186" i="5" s="1"/>
  <c r="S186" i="5"/>
  <c r="Q186" i="5"/>
  <c r="T185" i="5"/>
  <c r="X185" i="5" s="1"/>
  <c r="Z185" i="5" s="1"/>
  <c r="S185" i="5"/>
  <c r="Q185" i="5"/>
  <c r="T184" i="5"/>
  <c r="X184" i="5" s="1"/>
  <c r="Z184" i="5" s="1"/>
  <c r="S184" i="5"/>
  <c r="Q184" i="5"/>
  <c r="T183" i="5"/>
  <c r="X183" i="5" s="1"/>
  <c r="Z183" i="5" s="1"/>
  <c r="S183" i="5"/>
  <c r="Q183" i="5"/>
  <c r="T182" i="5"/>
  <c r="X182" i="5" s="1"/>
  <c r="Z182" i="5" s="1"/>
  <c r="S182" i="5"/>
  <c r="Q182" i="5"/>
  <c r="T181" i="5"/>
  <c r="X181" i="5" s="1"/>
  <c r="Z181" i="5" s="1"/>
  <c r="S181" i="5"/>
  <c r="Q181" i="5"/>
  <c r="T180" i="5"/>
  <c r="X180" i="5" s="1"/>
  <c r="Z180" i="5" s="1"/>
  <c r="S180" i="5"/>
  <c r="Q180" i="5"/>
  <c r="T179" i="5"/>
  <c r="X179" i="5" s="1"/>
  <c r="Z179" i="5" s="1"/>
  <c r="S179" i="5"/>
  <c r="Q179" i="5"/>
  <c r="T178" i="5"/>
  <c r="X178" i="5" s="1"/>
  <c r="Z178" i="5" s="1"/>
  <c r="S178" i="5"/>
  <c r="Q178" i="5"/>
  <c r="T177" i="5"/>
  <c r="X177" i="5" s="1"/>
  <c r="Z177" i="5" s="1"/>
  <c r="S177" i="5"/>
  <c r="Q177" i="5"/>
  <c r="T176" i="5"/>
  <c r="X176" i="5" s="1"/>
  <c r="Z176" i="5" s="1"/>
  <c r="S176" i="5"/>
  <c r="Q176" i="5"/>
  <c r="T175" i="5"/>
  <c r="X175" i="5" s="1"/>
  <c r="Z175" i="5" s="1"/>
  <c r="S175" i="5"/>
  <c r="Q175" i="5"/>
  <c r="T174" i="5"/>
  <c r="X174" i="5" s="1"/>
  <c r="Z174" i="5" s="1"/>
  <c r="S174" i="5"/>
  <c r="Q174" i="5"/>
  <c r="T173" i="5"/>
  <c r="X173" i="5" s="1"/>
  <c r="Z173" i="5" s="1"/>
  <c r="S173" i="5"/>
  <c r="Q173" i="5"/>
  <c r="T172" i="5"/>
  <c r="X172" i="5" s="1"/>
  <c r="Z172" i="5" s="1"/>
  <c r="S172" i="5"/>
  <c r="Q172" i="5"/>
  <c r="T171" i="5"/>
  <c r="X171" i="5" s="1"/>
  <c r="Z171" i="5" s="1"/>
  <c r="S171" i="5"/>
  <c r="Q171" i="5"/>
  <c r="T170" i="5"/>
  <c r="X170" i="5" s="1"/>
  <c r="Z170" i="5" s="1"/>
  <c r="S170" i="5"/>
  <c r="Q170" i="5"/>
  <c r="T169" i="5"/>
  <c r="X169" i="5" s="1"/>
  <c r="Z169" i="5" s="1"/>
  <c r="S169" i="5"/>
  <c r="Q169" i="5"/>
  <c r="T168" i="5"/>
  <c r="X168" i="5" s="1"/>
  <c r="Z168" i="5" s="1"/>
  <c r="S168" i="5"/>
  <c r="Q168" i="5"/>
  <c r="T167" i="5"/>
  <c r="X167" i="5" s="1"/>
  <c r="Z167" i="5" s="1"/>
  <c r="S167" i="5"/>
  <c r="Q167" i="5"/>
  <c r="T166" i="5"/>
  <c r="X166" i="5" s="1"/>
  <c r="Z166" i="5" s="1"/>
  <c r="S166" i="5"/>
  <c r="Q166" i="5"/>
  <c r="T165" i="5"/>
  <c r="X165" i="5" s="1"/>
  <c r="Z165" i="5" s="1"/>
  <c r="S165" i="5"/>
  <c r="Q165" i="5"/>
  <c r="T164" i="5"/>
  <c r="X164" i="5" s="1"/>
  <c r="Z164" i="5" s="1"/>
  <c r="S164" i="5"/>
  <c r="Q164" i="5"/>
  <c r="T163" i="5"/>
  <c r="X163" i="5" s="1"/>
  <c r="Z163" i="5" s="1"/>
  <c r="S163" i="5"/>
  <c r="Q163" i="5"/>
  <c r="T162" i="5"/>
  <c r="X162" i="5" s="1"/>
  <c r="Z162" i="5" s="1"/>
  <c r="S162" i="5"/>
  <c r="Q162" i="5"/>
  <c r="T161" i="5"/>
  <c r="X161" i="5" s="1"/>
  <c r="Z161" i="5" s="1"/>
  <c r="S161" i="5"/>
  <c r="Q161" i="5"/>
  <c r="T160" i="5"/>
  <c r="X160" i="5" s="1"/>
  <c r="Z160" i="5" s="1"/>
  <c r="S160" i="5"/>
  <c r="Q160" i="5"/>
  <c r="T159" i="5"/>
  <c r="X159" i="5" s="1"/>
  <c r="Z159" i="5" s="1"/>
  <c r="S159" i="5"/>
  <c r="Q159" i="5"/>
  <c r="T158" i="5"/>
  <c r="X158" i="5" s="1"/>
  <c r="Z158" i="5" s="1"/>
  <c r="S158" i="5"/>
  <c r="Q158" i="5"/>
  <c r="T157" i="5"/>
  <c r="X157" i="5" s="1"/>
  <c r="Z157" i="5" s="1"/>
  <c r="S157" i="5"/>
  <c r="Q157" i="5"/>
  <c r="T156" i="5"/>
  <c r="X156" i="5" s="1"/>
  <c r="Z156" i="5" s="1"/>
  <c r="S156" i="5"/>
  <c r="Q156" i="5"/>
  <c r="T155" i="5"/>
  <c r="X155" i="5" s="1"/>
  <c r="Z155" i="5" s="1"/>
  <c r="S155" i="5"/>
  <c r="Q155" i="5"/>
  <c r="T154" i="5"/>
  <c r="X154" i="5" s="1"/>
  <c r="Z154" i="5" s="1"/>
  <c r="S154" i="5"/>
  <c r="Q154" i="5"/>
  <c r="T153" i="5"/>
  <c r="X153" i="5" s="1"/>
  <c r="Z153" i="5" s="1"/>
  <c r="S153" i="5"/>
  <c r="Q153" i="5"/>
  <c r="T152" i="5"/>
  <c r="X152" i="5" s="1"/>
  <c r="Z152" i="5" s="1"/>
  <c r="S152" i="5"/>
  <c r="Q152" i="5"/>
  <c r="T151" i="5"/>
  <c r="X151" i="5" s="1"/>
  <c r="Z151" i="5" s="1"/>
  <c r="S151" i="5"/>
  <c r="Q151" i="5"/>
  <c r="T150" i="5"/>
  <c r="X150" i="5" s="1"/>
  <c r="Z150" i="5" s="1"/>
  <c r="S150" i="5"/>
  <c r="Q150" i="5"/>
  <c r="T149" i="5"/>
  <c r="X149" i="5" s="1"/>
  <c r="Z149" i="5" s="1"/>
  <c r="S149" i="5"/>
  <c r="Q149" i="5"/>
  <c r="T148" i="5"/>
  <c r="X148" i="5" s="1"/>
  <c r="Z148" i="5" s="1"/>
  <c r="S148" i="5"/>
  <c r="Q148" i="5"/>
  <c r="T147" i="5"/>
  <c r="X147" i="5" s="1"/>
  <c r="Z147" i="5" s="1"/>
  <c r="S147" i="5"/>
  <c r="Q147" i="5"/>
  <c r="T146" i="5"/>
  <c r="X146" i="5" s="1"/>
  <c r="Z146" i="5" s="1"/>
  <c r="S146" i="5"/>
  <c r="Q146" i="5"/>
  <c r="T145" i="5"/>
  <c r="X145" i="5" s="1"/>
  <c r="Z145" i="5" s="1"/>
  <c r="S145" i="5"/>
  <c r="Q145" i="5"/>
  <c r="T144" i="5"/>
  <c r="X144" i="5" s="1"/>
  <c r="Z144" i="5" s="1"/>
  <c r="S144" i="5"/>
  <c r="Q144" i="5"/>
  <c r="T143" i="5"/>
  <c r="X143" i="5" s="1"/>
  <c r="Z143" i="5" s="1"/>
  <c r="S143" i="5"/>
  <c r="Q143" i="5"/>
  <c r="T142" i="5"/>
  <c r="X142" i="5" s="1"/>
  <c r="Z142" i="5" s="1"/>
  <c r="S142" i="5"/>
  <c r="Q142" i="5"/>
  <c r="T141" i="5"/>
  <c r="X141" i="5" s="1"/>
  <c r="Z141" i="5" s="1"/>
  <c r="S141" i="5"/>
  <c r="Q141" i="5"/>
  <c r="T140" i="5"/>
  <c r="X140" i="5" s="1"/>
  <c r="Z140" i="5" s="1"/>
  <c r="S140" i="5"/>
  <c r="Q140" i="5"/>
  <c r="T139" i="5"/>
  <c r="X139" i="5" s="1"/>
  <c r="Z139" i="5" s="1"/>
  <c r="S139" i="5"/>
  <c r="Q139" i="5"/>
  <c r="T138" i="5"/>
  <c r="X138" i="5" s="1"/>
  <c r="Z138" i="5" s="1"/>
  <c r="S138" i="5"/>
  <c r="Q138" i="5"/>
  <c r="T137" i="5"/>
  <c r="X137" i="5" s="1"/>
  <c r="Z137" i="5" s="1"/>
  <c r="S137" i="5"/>
  <c r="Q137" i="5"/>
  <c r="T136" i="5"/>
  <c r="X136" i="5" s="1"/>
  <c r="Z136" i="5" s="1"/>
  <c r="S136" i="5"/>
  <c r="Q136" i="5"/>
  <c r="T135" i="5"/>
  <c r="X135" i="5" s="1"/>
  <c r="Z135" i="5" s="1"/>
  <c r="S135" i="5"/>
  <c r="Q135" i="5"/>
  <c r="T134" i="5"/>
  <c r="X134" i="5" s="1"/>
  <c r="Z134" i="5" s="1"/>
  <c r="S134" i="5"/>
  <c r="Q134" i="5"/>
  <c r="T133" i="5"/>
  <c r="X133" i="5" s="1"/>
  <c r="Z133" i="5" s="1"/>
  <c r="S133" i="5"/>
  <c r="Q133" i="5"/>
  <c r="T132" i="5"/>
  <c r="X132" i="5" s="1"/>
  <c r="Z132" i="5" s="1"/>
  <c r="S132" i="5"/>
  <c r="Q132" i="5"/>
  <c r="T131" i="5"/>
  <c r="X131" i="5" s="1"/>
  <c r="Z131" i="5" s="1"/>
  <c r="S131" i="5"/>
  <c r="Q131" i="5"/>
  <c r="T130" i="5"/>
  <c r="X130" i="5" s="1"/>
  <c r="Z130" i="5" s="1"/>
  <c r="S130" i="5"/>
  <c r="Q130" i="5"/>
  <c r="T129" i="5"/>
  <c r="X129" i="5" s="1"/>
  <c r="Z129" i="5" s="1"/>
  <c r="S129" i="5"/>
  <c r="Q129" i="5"/>
  <c r="T128" i="5"/>
  <c r="X128" i="5" s="1"/>
  <c r="Z128" i="5" s="1"/>
  <c r="S128" i="5"/>
  <c r="Q128" i="5"/>
  <c r="T127" i="5"/>
  <c r="X127" i="5" s="1"/>
  <c r="Z127" i="5" s="1"/>
  <c r="S127" i="5"/>
  <c r="Q127" i="5"/>
  <c r="T126" i="5"/>
  <c r="X126" i="5" s="1"/>
  <c r="Z126" i="5" s="1"/>
  <c r="S126" i="5"/>
  <c r="Q126" i="5"/>
  <c r="T125" i="5"/>
  <c r="X125" i="5" s="1"/>
  <c r="Z125" i="5" s="1"/>
  <c r="S125" i="5"/>
  <c r="Q125" i="5"/>
  <c r="T124" i="5"/>
  <c r="X124" i="5" s="1"/>
  <c r="Z124" i="5" s="1"/>
  <c r="S124" i="5"/>
  <c r="Q124" i="5"/>
  <c r="T123" i="5"/>
  <c r="X123" i="5" s="1"/>
  <c r="Z123" i="5" s="1"/>
  <c r="S123" i="5"/>
  <c r="Q123" i="5"/>
  <c r="T122" i="5"/>
  <c r="X122" i="5" s="1"/>
  <c r="Z122" i="5" s="1"/>
  <c r="S122" i="5"/>
  <c r="Q122" i="5"/>
  <c r="T121" i="5"/>
  <c r="X121" i="5" s="1"/>
  <c r="Z121" i="5" s="1"/>
  <c r="S121" i="5"/>
  <c r="Q121" i="5"/>
  <c r="T120" i="5"/>
  <c r="X120" i="5" s="1"/>
  <c r="Z120" i="5" s="1"/>
  <c r="S120" i="5"/>
  <c r="Q120" i="5"/>
  <c r="T119" i="5"/>
  <c r="X119" i="5" s="1"/>
  <c r="Z119" i="5" s="1"/>
  <c r="S119" i="5"/>
  <c r="Q119" i="5"/>
  <c r="T118" i="5"/>
  <c r="X118" i="5" s="1"/>
  <c r="Z118" i="5" s="1"/>
  <c r="S118" i="5"/>
  <c r="Q118" i="5"/>
  <c r="T117" i="5"/>
  <c r="X117" i="5" s="1"/>
  <c r="Z117" i="5" s="1"/>
  <c r="S117" i="5"/>
  <c r="Q117" i="5"/>
  <c r="T116" i="5"/>
  <c r="X116" i="5" s="1"/>
  <c r="Z116" i="5" s="1"/>
  <c r="S116" i="5"/>
  <c r="Q116" i="5"/>
  <c r="T115" i="5"/>
  <c r="X115" i="5" s="1"/>
  <c r="Z115" i="5" s="1"/>
  <c r="S115" i="5"/>
  <c r="Q115" i="5"/>
  <c r="T114" i="5"/>
  <c r="X114" i="5" s="1"/>
  <c r="Z114" i="5" s="1"/>
  <c r="S114" i="5"/>
  <c r="Q114" i="5"/>
  <c r="T113" i="5"/>
  <c r="X113" i="5" s="1"/>
  <c r="Z113" i="5" s="1"/>
  <c r="S113" i="5"/>
  <c r="Q113" i="5"/>
  <c r="T112" i="5"/>
  <c r="X112" i="5" s="1"/>
  <c r="Z112" i="5" s="1"/>
  <c r="S112" i="5"/>
  <c r="Q112" i="5"/>
  <c r="T111" i="5"/>
  <c r="X111" i="5" s="1"/>
  <c r="Z111" i="5" s="1"/>
  <c r="S111" i="5"/>
  <c r="Q111" i="5"/>
  <c r="T110" i="5"/>
  <c r="X110" i="5" s="1"/>
  <c r="Z110" i="5" s="1"/>
  <c r="S110" i="5"/>
  <c r="Q110" i="5"/>
  <c r="T109" i="5"/>
  <c r="X109" i="5" s="1"/>
  <c r="Z109" i="5" s="1"/>
  <c r="S109" i="5"/>
  <c r="Q109" i="5"/>
  <c r="T108" i="5"/>
  <c r="X108" i="5" s="1"/>
  <c r="Z108" i="5" s="1"/>
  <c r="S108" i="5"/>
  <c r="Q108" i="5"/>
  <c r="T107" i="5"/>
  <c r="X107" i="5" s="1"/>
  <c r="Z107" i="5" s="1"/>
  <c r="S107" i="5"/>
  <c r="Q107" i="5"/>
  <c r="T106" i="5"/>
  <c r="X106" i="5" s="1"/>
  <c r="Z106" i="5" s="1"/>
  <c r="S106" i="5"/>
  <c r="Q106" i="5"/>
  <c r="T105" i="5"/>
  <c r="X105" i="5" s="1"/>
  <c r="Z105" i="5" s="1"/>
  <c r="S105" i="5"/>
  <c r="Q105" i="5"/>
  <c r="T104" i="5"/>
  <c r="X104" i="5" s="1"/>
  <c r="Z104" i="5" s="1"/>
  <c r="S104" i="5"/>
  <c r="Q104" i="5"/>
  <c r="T103" i="5"/>
  <c r="X103" i="5" s="1"/>
  <c r="Z103" i="5" s="1"/>
  <c r="S103" i="5"/>
  <c r="Q103" i="5"/>
  <c r="T102" i="5"/>
  <c r="X102" i="5" s="1"/>
  <c r="Z102" i="5" s="1"/>
  <c r="S102" i="5"/>
  <c r="Q102" i="5"/>
  <c r="T101" i="5"/>
  <c r="X101" i="5" s="1"/>
  <c r="Z101" i="5" s="1"/>
  <c r="S101" i="5"/>
  <c r="Q101" i="5"/>
  <c r="T100" i="5"/>
  <c r="X100" i="5" s="1"/>
  <c r="Z100" i="5" s="1"/>
  <c r="S100" i="5"/>
  <c r="Q100" i="5"/>
  <c r="T99" i="5"/>
  <c r="X99" i="5" s="1"/>
  <c r="Z99" i="5" s="1"/>
  <c r="S99" i="5"/>
  <c r="Q99" i="5"/>
  <c r="T98" i="5"/>
  <c r="X98" i="5" s="1"/>
  <c r="Z98" i="5" s="1"/>
  <c r="S98" i="5"/>
  <c r="Q98" i="5"/>
  <c r="T97" i="5"/>
  <c r="X97" i="5" s="1"/>
  <c r="Z97" i="5" s="1"/>
  <c r="S97" i="5"/>
  <c r="Q97" i="5"/>
  <c r="T96" i="5"/>
  <c r="X96" i="5" s="1"/>
  <c r="Z96" i="5" s="1"/>
  <c r="S96" i="5"/>
  <c r="Q96" i="5"/>
  <c r="T95" i="5"/>
  <c r="X95" i="5" s="1"/>
  <c r="Z95" i="5" s="1"/>
  <c r="S95" i="5"/>
  <c r="Q95" i="5"/>
  <c r="T94" i="5"/>
  <c r="X94" i="5" s="1"/>
  <c r="Z94" i="5" s="1"/>
  <c r="S94" i="5"/>
  <c r="Q94" i="5"/>
  <c r="T93" i="5"/>
  <c r="X93" i="5" s="1"/>
  <c r="Z93" i="5" s="1"/>
  <c r="S93" i="5"/>
  <c r="Q93" i="5"/>
  <c r="T92" i="5"/>
  <c r="X92" i="5" s="1"/>
  <c r="Z92" i="5" s="1"/>
  <c r="S92" i="5"/>
  <c r="Q92" i="5"/>
  <c r="T91" i="5"/>
  <c r="X91" i="5" s="1"/>
  <c r="Z91" i="5" s="1"/>
  <c r="S91" i="5"/>
  <c r="Q91" i="5"/>
  <c r="T90" i="5"/>
  <c r="X90" i="5" s="1"/>
  <c r="Z90" i="5" s="1"/>
  <c r="S90" i="5"/>
  <c r="Q90" i="5"/>
  <c r="T89" i="5"/>
  <c r="X89" i="5" s="1"/>
  <c r="Z89" i="5" s="1"/>
  <c r="S89" i="5"/>
  <c r="Q89" i="5"/>
  <c r="T88" i="5"/>
  <c r="X88" i="5" s="1"/>
  <c r="Z88" i="5" s="1"/>
  <c r="S88" i="5"/>
  <c r="Q88" i="5"/>
  <c r="T87" i="5"/>
  <c r="X87" i="5" s="1"/>
  <c r="Z87" i="5" s="1"/>
  <c r="S87" i="5"/>
  <c r="Q87" i="5"/>
  <c r="T86" i="5"/>
  <c r="X86" i="5" s="1"/>
  <c r="Z86" i="5" s="1"/>
  <c r="S86" i="5"/>
  <c r="Q86" i="5"/>
  <c r="T85" i="5"/>
  <c r="X85" i="5" s="1"/>
  <c r="Z85" i="5" s="1"/>
  <c r="S85" i="5"/>
  <c r="Q85" i="5"/>
  <c r="T84" i="5"/>
  <c r="X84" i="5" s="1"/>
  <c r="Z84" i="5" s="1"/>
  <c r="S84" i="5"/>
  <c r="Q84" i="5"/>
  <c r="T83" i="5"/>
  <c r="X83" i="5" s="1"/>
  <c r="Z83" i="5" s="1"/>
  <c r="S83" i="5"/>
  <c r="Q83" i="5"/>
  <c r="T82" i="5"/>
  <c r="X82" i="5" s="1"/>
  <c r="Z82" i="5" s="1"/>
  <c r="S82" i="5"/>
  <c r="Q82" i="5"/>
  <c r="T81" i="5"/>
  <c r="X81" i="5" s="1"/>
  <c r="Z81" i="5" s="1"/>
  <c r="S81" i="5"/>
  <c r="Q81" i="5"/>
  <c r="T80" i="5"/>
  <c r="X80" i="5" s="1"/>
  <c r="Z80" i="5" s="1"/>
  <c r="S80" i="5"/>
  <c r="Q80" i="5"/>
  <c r="T79" i="5"/>
  <c r="X79" i="5" s="1"/>
  <c r="Z79" i="5" s="1"/>
  <c r="S79" i="5"/>
  <c r="Q79" i="5"/>
  <c r="T78" i="5"/>
  <c r="X78" i="5" s="1"/>
  <c r="Z78" i="5" s="1"/>
  <c r="S78" i="5"/>
  <c r="Q78" i="5"/>
  <c r="T77" i="5"/>
  <c r="X77" i="5" s="1"/>
  <c r="Z77" i="5" s="1"/>
  <c r="S77" i="5"/>
  <c r="Q77" i="5"/>
  <c r="T76" i="5"/>
  <c r="X76" i="5" s="1"/>
  <c r="Z76" i="5" s="1"/>
  <c r="S76" i="5"/>
  <c r="Q76" i="5"/>
  <c r="T75" i="5"/>
  <c r="X75" i="5" s="1"/>
  <c r="Z75" i="5" s="1"/>
  <c r="S75" i="5"/>
  <c r="Q75" i="5"/>
  <c r="T74" i="5"/>
  <c r="X74" i="5" s="1"/>
  <c r="Z74" i="5" s="1"/>
  <c r="S74" i="5"/>
  <c r="Q74" i="5"/>
  <c r="T73" i="5"/>
  <c r="X73" i="5" s="1"/>
  <c r="Z73" i="5" s="1"/>
  <c r="S73" i="5"/>
  <c r="Q73" i="5"/>
  <c r="T72" i="5"/>
  <c r="X72" i="5" s="1"/>
  <c r="Z72" i="5" s="1"/>
  <c r="S72" i="5"/>
  <c r="Q72" i="5"/>
  <c r="T71" i="5"/>
  <c r="X71" i="5" s="1"/>
  <c r="Z71" i="5" s="1"/>
  <c r="S71" i="5"/>
  <c r="Q71" i="5"/>
  <c r="T70" i="5"/>
  <c r="X70" i="5" s="1"/>
  <c r="Z70" i="5" s="1"/>
  <c r="S70" i="5"/>
  <c r="Q70" i="5"/>
  <c r="T69" i="5"/>
  <c r="X69" i="5" s="1"/>
  <c r="Z69" i="5" s="1"/>
  <c r="S69" i="5"/>
  <c r="Q69" i="5"/>
  <c r="T68" i="5"/>
  <c r="X68" i="5" s="1"/>
  <c r="Z68" i="5" s="1"/>
  <c r="S68" i="5"/>
  <c r="Q68" i="5"/>
  <c r="T67" i="5"/>
  <c r="X67" i="5" s="1"/>
  <c r="Z67" i="5" s="1"/>
  <c r="S67" i="5"/>
  <c r="Q67" i="5"/>
  <c r="T66" i="5"/>
  <c r="X66" i="5" s="1"/>
  <c r="Z66" i="5" s="1"/>
  <c r="S66" i="5"/>
  <c r="Q66" i="5"/>
  <c r="T65" i="5"/>
  <c r="X65" i="5" s="1"/>
  <c r="Z65" i="5" s="1"/>
  <c r="S65" i="5"/>
  <c r="Q65" i="5"/>
  <c r="T64" i="5"/>
  <c r="X64" i="5" s="1"/>
  <c r="Z64" i="5" s="1"/>
  <c r="S64" i="5"/>
  <c r="Q64" i="5"/>
  <c r="T63" i="5"/>
  <c r="X63" i="5" s="1"/>
  <c r="Z63" i="5" s="1"/>
  <c r="S63" i="5"/>
  <c r="Q63" i="5"/>
  <c r="T62" i="5"/>
  <c r="X62" i="5" s="1"/>
  <c r="Z62" i="5" s="1"/>
  <c r="S62" i="5"/>
  <c r="Q62" i="5"/>
  <c r="T61" i="5"/>
  <c r="X61" i="5" s="1"/>
  <c r="Z61" i="5" s="1"/>
  <c r="S61" i="5"/>
  <c r="Q61" i="5"/>
  <c r="T60" i="5"/>
  <c r="X60" i="5" s="1"/>
  <c r="Z60" i="5" s="1"/>
  <c r="S60" i="5"/>
  <c r="Q60" i="5"/>
  <c r="T59" i="5"/>
  <c r="X59" i="5" s="1"/>
  <c r="Z59" i="5" s="1"/>
  <c r="S59" i="5"/>
  <c r="Q59" i="5"/>
  <c r="T58" i="5"/>
  <c r="X58" i="5" s="1"/>
  <c r="Z58" i="5" s="1"/>
  <c r="S58" i="5"/>
  <c r="Q58" i="5"/>
  <c r="T57" i="5"/>
  <c r="X57" i="5" s="1"/>
  <c r="Z57" i="5" s="1"/>
  <c r="S57" i="5"/>
  <c r="Q57" i="5"/>
  <c r="T56" i="5"/>
  <c r="X56" i="5" s="1"/>
  <c r="Z56" i="5" s="1"/>
  <c r="S56" i="5"/>
  <c r="Q56" i="5"/>
  <c r="T55" i="5"/>
  <c r="X55" i="5" s="1"/>
  <c r="Z55" i="5" s="1"/>
  <c r="S55" i="5"/>
  <c r="Q55" i="5"/>
  <c r="T54" i="5"/>
  <c r="X54" i="5" s="1"/>
  <c r="Z54" i="5" s="1"/>
  <c r="S54" i="5"/>
  <c r="Q54" i="5"/>
  <c r="T53" i="5"/>
  <c r="X53" i="5" s="1"/>
  <c r="Z53" i="5" s="1"/>
  <c r="S53" i="5"/>
  <c r="Q53" i="5"/>
  <c r="T52" i="5"/>
  <c r="X52" i="5" s="1"/>
  <c r="Z52" i="5" s="1"/>
  <c r="S52" i="5"/>
  <c r="Q52" i="5"/>
  <c r="T51" i="5"/>
  <c r="X51" i="5" s="1"/>
  <c r="Z51" i="5" s="1"/>
  <c r="S51" i="5"/>
  <c r="Q51" i="5"/>
  <c r="T50" i="5"/>
  <c r="X50" i="5" s="1"/>
  <c r="Z50" i="5" s="1"/>
  <c r="S50" i="5"/>
  <c r="Q50" i="5"/>
  <c r="T49" i="5"/>
  <c r="X49" i="5" s="1"/>
  <c r="Z49" i="5" s="1"/>
  <c r="S49" i="5"/>
  <c r="Q49" i="5"/>
  <c r="T48" i="5"/>
  <c r="X48" i="5" s="1"/>
  <c r="Z48" i="5" s="1"/>
  <c r="S48" i="5"/>
  <c r="Q48" i="5"/>
  <c r="T47" i="5"/>
  <c r="X47" i="5" s="1"/>
  <c r="Z47" i="5" s="1"/>
  <c r="S47" i="5"/>
  <c r="Q47" i="5"/>
  <c r="T46" i="5"/>
  <c r="X46" i="5" s="1"/>
  <c r="Z46" i="5" s="1"/>
  <c r="S46" i="5"/>
  <c r="Q46" i="5"/>
  <c r="T45" i="5"/>
  <c r="X45" i="5" s="1"/>
  <c r="Z45" i="5" s="1"/>
  <c r="S45" i="5"/>
  <c r="Q45" i="5"/>
  <c r="T44" i="5"/>
  <c r="X44" i="5" s="1"/>
  <c r="Z44" i="5" s="1"/>
  <c r="S44" i="5"/>
  <c r="Q44" i="5"/>
  <c r="T43" i="5"/>
  <c r="X43" i="5" s="1"/>
  <c r="Z43" i="5" s="1"/>
  <c r="S43" i="5"/>
  <c r="Q43" i="5"/>
  <c r="T42" i="5"/>
  <c r="X42" i="5" s="1"/>
  <c r="Z42" i="5" s="1"/>
  <c r="S42" i="5"/>
  <c r="Q42" i="5"/>
  <c r="T41" i="5"/>
  <c r="X41" i="5" s="1"/>
  <c r="Z41" i="5" s="1"/>
  <c r="S41" i="5"/>
  <c r="Q41" i="5"/>
  <c r="T40" i="5"/>
  <c r="X40" i="5" s="1"/>
  <c r="Z40" i="5" s="1"/>
  <c r="S40" i="5"/>
  <c r="Q40" i="5"/>
  <c r="T39" i="5"/>
  <c r="X39" i="5" s="1"/>
  <c r="Z39" i="5" s="1"/>
  <c r="S39" i="5"/>
  <c r="Q39" i="5"/>
  <c r="T38" i="5"/>
  <c r="X38" i="5" s="1"/>
  <c r="Z38" i="5" s="1"/>
  <c r="S38" i="5"/>
  <c r="Q38" i="5"/>
  <c r="T37" i="5"/>
  <c r="X37" i="5" s="1"/>
  <c r="Z37" i="5" s="1"/>
  <c r="S37" i="5"/>
  <c r="Q37" i="5"/>
  <c r="T36" i="5"/>
  <c r="X36" i="5" s="1"/>
  <c r="Z36" i="5" s="1"/>
  <c r="S36" i="5"/>
  <c r="Q36" i="5"/>
  <c r="T35" i="5"/>
  <c r="X35" i="5" s="1"/>
  <c r="Z35" i="5" s="1"/>
  <c r="S35" i="5"/>
  <c r="Q35" i="5"/>
  <c r="T34" i="5"/>
  <c r="X34" i="5" s="1"/>
  <c r="Z34" i="5" s="1"/>
  <c r="S34" i="5"/>
  <c r="Q34" i="5"/>
  <c r="T33" i="5"/>
  <c r="X33" i="5" s="1"/>
  <c r="Z33" i="5" s="1"/>
  <c r="S33" i="5"/>
  <c r="Q33" i="5"/>
  <c r="T32" i="5"/>
  <c r="X32" i="5" s="1"/>
  <c r="Z32" i="5" s="1"/>
  <c r="S32" i="5"/>
  <c r="Q32" i="5"/>
  <c r="T31" i="5"/>
  <c r="X31" i="5" s="1"/>
  <c r="Z31" i="5" s="1"/>
  <c r="S31" i="5"/>
  <c r="Q31" i="5"/>
  <c r="T30" i="5"/>
  <c r="X30" i="5" s="1"/>
  <c r="Z30" i="5" s="1"/>
  <c r="S30" i="5"/>
  <c r="Q30" i="5"/>
  <c r="T29" i="5"/>
  <c r="X29" i="5" s="1"/>
  <c r="Z29" i="5" s="1"/>
  <c r="S29" i="5"/>
  <c r="Q29" i="5"/>
  <c r="T28" i="5"/>
  <c r="X28" i="5" s="1"/>
  <c r="Z28" i="5" s="1"/>
  <c r="S28" i="5"/>
  <c r="Q28" i="5"/>
  <c r="T27" i="5"/>
  <c r="X27" i="5" s="1"/>
  <c r="Z27" i="5" s="1"/>
  <c r="S27" i="5"/>
  <c r="Q27" i="5"/>
  <c r="T26" i="5"/>
  <c r="X26" i="5" s="1"/>
  <c r="Z26" i="5" s="1"/>
  <c r="S26" i="5"/>
  <c r="Q26" i="5"/>
  <c r="T25" i="5"/>
  <c r="X25" i="5" s="1"/>
  <c r="Z25" i="5" s="1"/>
  <c r="S25" i="5"/>
  <c r="Q25" i="5"/>
  <c r="T24" i="5"/>
  <c r="X24" i="5" s="1"/>
  <c r="Z24" i="5" s="1"/>
  <c r="S24" i="5"/>
  <c r="Q24" i="5"/>
  <c r="T23" i="5"/>
  <c r="X23" i="5" s="1"/>
  <c r="Z23" i="5" s="1"/>
  <c r="S23" i="5"/>
  <c r="Q23" i="5"/>
  <c r="T22" i="5"/>
  <c r="X22" i="5" s="1"/>
  <c r="Z22" i="5" s="1"/>
  <c r="S22" i="5"/>
  <c r="Q22" i="5"/>
  <c r="T21" i="5"/>
  <c r="X21" i="5" s="1"/>
  <c r="Z21" i="5" s="1"/>
  <c r="S21" i="5"/>
  <c r="Q21" i="5"/>
  <c r="T20" i="5"/>
  <c r="X20" i="5" s="1"/>
  <c r="Z20" i="5" s="1"/>
  <c r="S20" i="5"/>
  <c r="Q20" i="5"/>
  <c r="T19" i="5"/>
  <c r="X19" i="5" s="1"/>
  <c r="Z19" i="5" s="1"/>
  <c r="S19" i="5"/>
  <c r="Q19" i="5"/>
  <c r="T18" i="5"/>
  <c r="X18" i="5" s="1"/>
  <c r="Z18" i="5" s="1"/>
  <c r="S18" i="5"/>
  <c r="Q18" i="5"/>
  <c r="T17" i="5"/>
  <c r="X17" i="5" s="1"/>
  <c r="Z17" i="5" s="1"/>
  <c r="S17" i="5"/>
  <c r="Q17" i="5"/>
  <c r="T16" i="5"/>
  <c r="X16" i="5" s="1"/>
  <c r="Z16" i="5" s="1"/>
  <c r="S16" i="5"/>
  <c r="Q16" i="5"/>
  <c r="T15" i="5"/>
  <c r="X15" i="5" s="1"/>
  <c r="Z15" i="5" s="1"/>
  <c r="S15" i="5"/>
  <c r="Q15" i="5"/>
  <c r="T14" i="5"/>
  <c r="X14" i="5" s="1"/>
  <c r="Z14" i="5" s="1"/>
  <c r="S14" i="5"/>
  <c r="Q14" i="5"/>
  <c r="T13" i="5"/>
  <c r="X13" i="5" s="1"/>
  <c r="Z13" i="5" s="1"/>
  <c r="S13" i="5"/>
  <c r="Q13" i="5"/>
  <c r="T12" i="5"/>
  <c r="X12" i="5" s="1"/>
  <c r="Z12" i="5" s="1"/>
  <c r="S12" i="5"/>
  <c r="Q12" i="5"/>
  <c r="T11" i="5"/>
  <c r="X11" i="5" s="1"/>
  <c r="Z11" i="5" s="1"/>
  <c r="S11" i="5"/>
  <c r="Q11" i="5"/>
  <c r="T10" i="5"/>
  <c r="X10" i="5" s="1"/>
  <c r="Z10" i="5" s="1"/>
  <c r="S10" i="5"/>
  <c r="Q10" i="5"/>
  <c r="T9" i="5"/>
  <c r="X9" i="5" s="1"/>
  <c r="Z9" i="5" s="1"/>
  <c r="S9" i="5"/>
  <c r="Q9" i="5"/>
  <c r="T8" i="5"/>
  <c r="X8" i="5" s="1"/>
  <c r="Z8" i="5" s="1"/>
  <c r="S8" i="5"/>
  <c r="Q8" i="5"/>
  <c r="T7" i="5"/>
  <c r="X7" i="5" s="1"/>
  <c r="Z7" i="5" s="1"/>
  <c r="S7" i="5"/>
  <c r="Q7" i="5"/>
  <c r="T6" i="5"/>
  <c r="X6" i="5" s="1"/>
  <c r="Z6" i="5" s="1"/>
  <c r="S6" i="5"/>
  <c r="Q6" i="5"/>
  <c r="T3" i="5"/>
  <c r="X3" i="5" s="1"/>
  <c r="Z3" i="5" s="1"/>
  <c r="S3" i="5"/>
  <c r="Q3" i="5"/>
  <c r="T2" i="5"/>
  <c r="X2" i="5" s="1"/>
  <c r="Z2" i="5" s="1"/>
  <c r="S2" i="5"/>
  <c r="Q2" i="5"/>
  <c r="T200" i="4"/>
  <c r="X200" i="4" s="1"/>
  <c r="Z200" i="4" s="1"/>
  <c r="S200" i="4"/>
  <c r="Q200" i="4"/>
  <c r="T199" i="4"/>
  <c r="X199" i="4" s="1"/>
  <c r="Z199" i="4" s="1"/>
  <c r="S199" i="4"/>
  <c r="Q199" i="4"/>
  <c r="T198" i="4"/>
  <c r="X198" i="4" s="1"/>
  <c r="Z198" i="4" s="1"/>
  <c r="S198" i="4"/>
  <c r="Q198" i="4"/>
  <c r="T197" i="4"/>
  <c r="X197" i="4" s="1"/>
  <c r="Z197" i="4" s="1"/>
  <c r="S197" i="4"/>
  <c r="Q197" i="4"/>
  <c r="T196" i="4"/>
  <c r="X196" i="4" s="1"/>
  <c r="Z196" i="4" s="1"/>
  <c r="S196" i="4"/>
  <c r="Q196" i="4"/>
  <c r="T195" i="4"/>
  <c r="X195" i="4" s="1"/>
  <c r="Z195" i="4" s="1"/>
  <c r="S195" i="4"/>
  <c r="Q195" i="4"/>
  <c r="T194" i="4"/>
  <c r="X194" i="4" s="1"/>
  <c r="Z194" i="4" s="1"/>
  <c r="S194" i="4"/>
  <c r="Q194" i="4"/>
  <c r="T193" i="4"/>
  <c r="X193" i="4" s="1"/>
  <c r="Z193" i="4" s="1"/>
  <c r="S193" i="4"/>
  <c r="Q193" i="4"/>
  <c r="T192" i="4"/>
  <c r="X192" i="4" s="1"/>
  <c r="Z192" i="4" s="1"/>
  <c r="S192" i="4"/>
  <c r="Q192" i="4"/>
  <c r="T191" i="4"/>
  <c r="X191" i="4" s="1"/>
  <c r="Z191" i="4" s="1"/>
  <c r="S191" i="4"/>
  <c r="Q191" i="4"/>
  <c r="T190" i="4"/>
  <c r="X190" i="4" s="1"/>
  <c r="Z190" i="4" s="1"/>
  <c r="S190" i="4"/>
  <c r="Q190" i="4"/>
  <c r="T189" i="4"/>
  <c r="X189" i="4" s="1"/>
  <c r="Z189" i="4" s="1"/>
  <c r="S189" i="4"/>
  <c r="Q189" i="4"/>
  <c r="T188" i="4"/>
  <c r="X188" i="4" s="1"/>
  <c r="Z188" i="4" s="1"/>
  <c r="S188" i="4"/>
  <c r="Q188" i="4"/>
  <c r="T187" i="4"/>
  <c r="X187" i="4" s="1"/>
  <c r="Z187" i="4" s="1"/>
  <c r="S187" i="4"/>
  <c r="Q187" i="4"/>
  <c r="T186" i="4"/>
  <c r="X186" i="4" s="1"/>
  <c r="Z186" i="4" s="1"/>
  <c r="S186" i="4"/>
  <c r="Q186" i="4"/>
  <c r="T185" i="4"/>
  <c r="X185" i="4" s="1"/>
  <c r="Z185" i="4" s="1"/>
  <c r="S185" i="4"/>
  <c r="Q185" i="4"/>
  <c r="T184" i="4"/>
  <c r="X184" i="4" s="1"/>
  <c r="Z184" i="4" s="1"/>
  <c r="S184" i="4"/>
  <c r="Q184" i="4"/>
  <c r="T183" i="4"/>
  <c r="X183" i="4" s="1"/>
  <c r="Z183" i="4" s="1"/>
  <c r="S183" i="4"/>
  <c r="Q183" i="4"/>
  <c r="T182" i="4"/>
  <c r="X182" i="4" s="1"/>
  <c r="Z182" i="4" s="1"/>
  <c r="S182" i="4"/>
  <c r="Q182" i="4"/>
  <c r="T181" i="4"/>
  <c r="X181" i="4" s="1"/>
  <c r="Z181" i="4" s="1"/>
  <c r="S181" i="4"/>
  <c r="Q181" i="4"/>
  <c r="T180" i="4"/>
  <c r="X180" i="4" s="1"/>
  <c r="Z180" i="4" s="1"/>
  <c r="S180" i="4"/>
  <c r="Q180" i="4"/>
  <c r="T179" i="4"/>
  <c r="X179" i="4" s="1"/>
  <c r="Z179" i="4" s="1"/>
  <c r="S179" i="4"/>
  <c r="Q179" i="4"/>
  <c r="T178" i="4"/>
  <c r="X178" i="4" s="1"/>
  <c r="Z178" i="4" s="1"/>
  <c r="S178" i="4"/>
  <c r="Q178" i="4"/>
  <c r="T177" i="4"/>
  <c r="X177" i="4" s="1"/>
  <c r="Z177" i="4" s="1"/>
  <c r="S177" i="4"/>
  <c r="Q177" i="4"/>
  <c r="T176" i="4"/>
  <c r="X176" i="4" s="1"/>
  <c r="Z176" i="4" s="1"/>
  <c r="S176" i="4"/>
  <c r="Q176" i="4"/>
  <c r="T175" i="4"/>
  <c r="X175" i="4" s="1"/>
  <c r="Z175" i="4" s="1"/>
  <c r="S175" i="4"/>
  <c r="Q175" i="4"/>
  <c r="T174" i="4"/>
  <c r="X174" i="4" s="1"/>
  <c r="Z174" i="4" s="1"/>
  <c r="S174" i="4"/>
  <c r="Q174" i="4"/>
  <c r="T173" i="4"/>
  <c r="X173" i="4" s="1"/>
  <c r="Z173" i="4" s="1"/>
  <c r="S173" i="4"/>
  <c r="Q173" i="4"/>
  <c r="T172" i="4"/>
  <c r="X172" i="4" s="1"/>
  <c r="Z172" i="4" s="1"/>
  <c r="S172" i="4"/>
  <c r="Q172" i="4"/>
  <c r="T171" i="4"/>
  <c r="X171" i="4" s="1"/>
  <c r="Z171" i="4" s="1"/>
  <c r="S171" i="4"/>
  <c r="Q171" i="4"/>
  <c r="T170" i="4"/>
  <c r="X170" i="4" s="1"/>
  <c r="Z170" i="4" s="1"/>
  <c r="S170" i="4"/>
  <c r="Q170" i="4"/>
  <c r="T169" i="4"/>
  <c r="X169" i="4" s="1"/>
  <c r="Z169" i="4" s="1"/>
  <c r="S169" i="4"/>
  <c r="Q169" i="4"/>
  <c r="T168" i="4"/>
  <c r="X168" i="4" s="1"/>
  <c r="Z168" i="4" s="1"/>
  <c r="S168" i="4"/>
  <c r="Q168" i="4"/>
  <c r="T167" i="4"/>
  <c r="X167" i="4" s="1"/>
  <c r="Z167" i="4" s="1"/>
  <c r="S167" i="4"/>
  <c r="Q167" i="4"/>
  <c r="T166" i="4"/>
  <c r="X166" i="4" s="1"/>
  <c r="Z166" i="4" s="1"/>
  <c r="S166" i="4"/>
  <c r="Q166" i="4"/>
  <c r="T165" i="4"/>
  <c r="X165" i="4" s="1"/>
  <c r="Z165" i="4" s="1"/>
  <c r="S165" i="4"/>
  <c r="Q165" i="4"/>
  <c r="T164" i="4"/>
  <c r="X164" i="4" s="1"/>
  <c r="Z164" i="4" s="1"/>
  <c r="S164" i="4"/>
  <c r="Q164" i="4"/>
  <c r="T163" i="4"/>
  <c r="X163" i="4" s="1"/>
  <c r="Z163" i="4" s="1"/>
  <c r="S163" i="4"/>
  <c r="Q163" i="4"/>
  <c r="T162" i="4"/>
  <c r="X162" i="4" s="1"/>
  <c r="Z162" i="4" s="1"/>
  <c r="S162" i="4"/>
  <c r="Q162" i="4"/>
  <c r="T161" i="4"/>
  <c r="X161" i="4" s="1"/>
  <c r="Z161" i="4" s="1"/>
  <c r="S161" i="4"/>
  <c r="Q161" i="4"/>
  <c r="T160" i="4"/>
  <c r="X160" i="4" s="1"/>
  <c r="Z160" i="4" s="1"/>
  <c r="S160" i="4"/>
  <c r="Q160" i="4"/>
  <c r="T159" i="4"/>
  <c r="X159" i="4" s="1"/>
  <c r="Z159" i="4" s="1"/>
  <c r="S159" i="4"/>
  <c r="Q159" i="4"/>
  <c r="T158" i="4"/>
  <c r="X158" i="4" s="1"/>
  <c r="Z158" i="4" s="1"/>
  <c r="S158" i="4"/>
  <c r="Q158" i="4"/>
  <c r="T157" i="4"/>
  <c r="X157" i="4" s="1"/>
  <c r="Z157" i="4" s="1"/>
  <c r="S157" i="4"/>
  <c r="Q157" i="4"/>
  <c r="T156" i="4"/>
  <c r="X156" i="4" s="1"/>
  <c r="Z156" i="4" s="1"/>
  <c r="S156" i="4"/>
  <c r="Q156" i="4"/>
  <c r="T155" i="4"/>
  <c r="X155" i="4" s="1"/>
  <c r="Z155" i="4" s="1"/>
  <c r="S155" i="4"/>
  <c r="Q155" i="4"/>
  <c r="T154" i="4"/>
  <c r="X154" i="4" s="1"/>
  <c r="Z154" i="4" s="1"/>
  <c r="S154" i="4"/>
  <c r="Q154" i="4"/>
  <c r="T153" i="4"/>
  <c r="X153" i="4" s="1"/>
  <c r="Z153" i="4" s="1"/>
  <c r="S153" i="4"/>
  <c r="Q153" i="4"/>
  <c r="T152" i="4"/>
  <c r="X152" i="4" s="1"/>
  <c r="Z152" i="4" s="1"/>
  <c r="S152" i="4"/>
  <c r="Q152" i="4"/>
  <c r="T151" i="4"/>
  <c r="X151" i="4" s="1"/>
  <c r="Z151" i="4" s="1"/>
  <c r="S151" i="4"/>
  <c r="Q151" i="4"/>
  <c r="T150" i="4"/>
  <c r="X150" i="4" s="1"/>
  <c r="Z150" i="4" s="1"/>
  <c r="S150" i="4"/>
  <c r="Q150" i="4"/>
  <c r="T149" i="4"/>
  <c r="X149" i="4" s="1"/>
  <c r="Z149" i="4" s="1"/>
  <c r="S149" i="4"/>
  <c r="Q149" i="4"/>
  <c r="T148" i="4"/>
  <c r="X148" i="4" s="1"/>
  <c r="Z148" i="4" s="1"/>
  <c r="S148" i="4"/>
  <c r="Q148" i="4"/>
  <c r="T147" i="4"/>
  <c r="X147" i="4" s="1"/>
  <c r="Z147" i="4" s="1"/>
  <c r="S147" i="4"/>
  <c r="Q147" i="4"/>
  <c r="T146" i="4"/>
  <c r="X146" i="4" s="1"/>
  <c r="Z146" i="4" s="1"/>
  <c r="S146" i="4"/>
  <c r="Q146" i="4"/>
  <c r="T145" i="4"/>
  <c r="X145" i="4" s="1"/>
  <c r="Z145" i="4" s="1"/>
  <c r="S145" i="4"/>
  <c r="Q145" i="4"/>
  <c r="T144" i="4"/>
  <c r="X144" i="4" s="1"/>
  <c r="Z144" i="4" s="1"/>
  <c r="S144" i="4"/>
  <c r="Q144" i="4"/>
  <c r="T143" i="4"/>
  <c r="X143" i="4" s="1"/>
  <c r="Z143" i="4" s="1"/>
  <c r="S143" i="4"/>
  <c r="Q143" i="4"/>
  <c r="T142" i="4"/>
  <c r="X142" i="4" s="1"/>
  <c r="Z142" i="4" s="1"/>
  <c r="S142" i="4"/>
  <c r="Q142" i="4"/>
  <c r="T141" i="4"/>
  <c r="X141" i="4" s="1"/>
  <c r="Z141" i="4" s="1"/>
  <c r="S141" i="4"/>
  <c r="Q141" i="4"/>
  <c r="T140" i="4"/>
  <c r="X140" i="4" s="1"/>
  <c r="Z140" i="4" s="1"/>
  <c r="S140" i="4"/>
  <c r="Q140" i="4"/>
  <c r="T139" i="4"/>
  <c r="X139" i="4" s="1"/>
  <c r="Z139" i="4" s="1"/>
  <c r="S139" i="4"/>
  <c r="Q139" i="4"/>
  <c r="T138" i="4"/>
  <c r="X138" i="4" s="1"/>
  <c r="Z138" i="4" s="1"/>
  <c r="S138" i="4"/>
  <c r="Q138" i="4"/>
  <c r="T137" i="4"/>
  <c r="X137" i="4" s="1"/>
  <c r="Z137" i="4" s="1"/>
  <c r="S137" i="4"/>
  <c r="Q137" i="4"/>
  <c r="T136" i="4"/>
  <c r="X136" i="4" s="1"/>
  <c r="Z136" i="4" s="1"/>
  <c r="S136" i="4"/>
  <c r="Q136" i="4"/>
  <c r="T135" i="4"/>
  <c r="X135" i="4" s="1"/>
  <c r="Z135" i="4" s="1"/>
  <c r="S135" i="4"/>
  <c r="Q135" i="4"/>
  <c r="T134" i="4"/>
  <c r="X134" i="4" s="1"/>
  <c r="Z134" i="4" s="1"/>
  <c r="S134" i="4"/>
  <c r="Q134" i="4"/>
  <c r="T133" i="4"/>
  <c r="X133" i="4" s="1"/>
  <c r="Z133" i="4" s="1"/>
  <c r="S133" i="4"/>
  <c r="Q133" i="4"/>
  <c r="T132" i="4"/>
  <c r="X132" i="4" s="1"/>
  <c r="Z132" i="4" s="1"/>
  <c r="S132" i="4"/>
  <c r="Q132" i="4"/>
  <c r="T131" i="4"/>
  <c r="X131" i="4" s="1"/>
  <c r="Z131" i="4" s="1"/>
  <c r="S131" i="4"/>
  <c r="Q131" i="4"/>
  <c r="T130" i="4"/>
  <c r="X130" i="4" s="1"/>
  <c r="Z130" i="4" s="1"/>
  <c r="S130" i="4"/>
  <c r="Q130" i="4"/>
  <c r="T129" i="4"/>
  <c r="X129" i="4" s="1"/>
  <c r="Z129" i="4" s="1"/>
  <c r="S129" i="4"/>
  <c r="Q129" i="4"/>
  <c r="T128" i="4"/>
  <c r="X128" i="4" s="1"/>
  <c r="Z128" i="4" s="1"/>
  <c r="S128" i="4"/>
  <c r="Q128" i="4"/>
  <c r="T127" i="4"/>
  <c r="X127" i="4" s="1"/>
  <c r="Z127" i="4" s="1"/>
  <c r="S127" i="4"/>
  <c r="Q127" i="4"/>
  <c r="T126" i="4"/>
  <c r="X126" i="4" s="1"/>
  <c r="Z126" i="4" s="1"/>
  <c r="S126" i="4"/>
  <c r="Q126" i="4"/>
  <c r="T125" i="4"/>
  <c r="X125" i="4" s="1"/>
  <c r="Z125" i="4" s="1"/>
  <c r="S125" i="4"/>
  <c r="Q125" i="4"/>
  <c r="T124" i="4"/>
  <c r="X124" i="4" s="1"/>
  <c r="Z124" i="4" s="1"/>
  <c r="S124" i="4"/>
  <c r="Q124" i="4"/>
  <c r="T123" i="4"/>
  <c r="X123" i="4" s="1"/>
  <c r="Z123" i="4" s="1"/>
  <c r="S123" i="4"/>
  <c r="Q123" i="4"/>
  <c r="T122" i="4"/>
  <c r="X122" i="4" s="1"/>
  <c r="Z122" i="4" s="1"/>
  <c r="S122" i="4"/>
  <c r="Q122" i="4"/>
  <c r="T121" i="4"/>
  <c r="X121" i="4" s="1"/>
  <c r="Z121" i="4" s="1"/>
  <c r="S121" i="4"/>
  <c r="Q121" i="4"/>
  <c r="T120" i="4"/>
  <c r="X120" i="4" s="1"/>
  <c r="Z120" i="4" s="1"/>
  <c r="S120" i="4"/>
  <c r="Q120" i="4"/>
  <c r="T119" i="4"/>
  <c r="X119" i="4" s="1"/>
  <c r="Z119" i="4" s="1"/>
  <c r="S119" i="4"/>
  <c r="Q119" i="4"/>
  <c r="T118" i="4"/>
  <c r="X118" i="4" s="1"/>
  <c r="Z118" i="4" s="1"/>
  <c r="S118" i="4"/>
  <c r="Q118" i="4"/>
  <c r="T117" i="4"/>
  <c r="X117" i="4" s="1"/>
  <c r="Z117" i="4" s="1"/>
  <c r="S117" i="4"/>
  <c r="Q117" i="4"/>
  <c r="T116" i="4"/>
  <c r="X116" i="4" s="1"/>
  <c r="Z116" i="4" s="1"/>
  <c r="S116" i="4"/>
  <c r="Q116" i="4"/>
  <c r="T115" i="4"/>
  <c r="X115" i="4" s="1"/>
  <c r="Z115" i="4" s="1"/>
  <c r="S115" i="4"/>
  <c r="Q115" i="4"/>
  <c r="T114" i="4"/>
  <c r="X114" i="4" s="1"/>
  <c r="Z114" i="4" s="1"/>
  <c r="S114" i="4"/>
  <c r="Q114" i="4"/>
  <c r="T113" i="4"/>
  <c r="X113" i="4" s="1"/>
  <c r="Z113" i="4" s="1"/>
  <c r="S113" i="4"/>
  <c r="Q113" i="4"/>
  <c r="T112" i="4"/>
  <c r="X112" i="4" s="1"/>
  <c r="Z112" i="4" s="1"/>
  <c r="S112" i="4"/>
  <c r="Q112" i="4"/>
  <c r="T111" i="4"/>
  <c r="X111" i="4" s="1"/>
  <c r="Z111" i="4" s="1"/>
  <c r="S111" i="4"/>
  <c r="Q111" i="4"/>
  <c r="T110" i="4"/>
  <c r="X110" i="4" s="1"/>
  <c r="Z110" i="4" s="1"/>
  <c r="S110" i="4"/>
  <c r="Q110" i="4"/>
  <c r="T109" i="4"/>
  <c r="X109" i="4" s="1"/>
  <c r="Z109" i="4" s="1"/>
  <c r="S109" i="4"/>
  <c r="Q109" i="4"/>
  <c r="T108" i="4"/>
  <c r="X108" i="4" s="1"/>
  <c r="Z108" i="4" s="1"/>
  <c r="S108" i="4"/>
  <c r="Q108" i="4"/>
  <c r="T107" i="4"/>
  <c r="X107" i="4" s="1"/>
  <c r="Z107" i="4" s="1"/>
  <c r="S107" i="4"/>
  <c r="Q107" i="4"/>
  <c r="T106" i="4"/>
  <c r="X106" i="4" s="1"/>
  <c r="Z106" i="4" s="1"/>
  <c r="S106" i="4"/>
  <c r="Q106" i="4"/>
  <c r="T105" i="4"/>
  <c r="X105" i="4" s="1"/>
  <c r="Z105" i="4" s="1"/>
  <c r="S105" i="4"/>
  <c r="Q105" i="4"/>
  <c r="T104" i="4"/>
  <c r="X104" i="4" s="1"/>
  <c r="Z104" i="4" s="1"/>
  <c r="S104" i="4"/>
  <c r="Q104" i="4"/>
  <c r="T103" i="4"/>
  <c r="X103" i="4" s="1"/>
  <c r="Z103" i="4" s="1"/>
  <c r="S103" i="4"/>
  <c r="Q103" i="4"/>
  <c r="T102" i="4"/>
  <c r="X102" i="4" s="1"/>
  <c r="Z102" i="4" s="1"/>
  <c r="S102" i="4"/>
  <c r="Q102" i="4"/>
  <c r="T101" i="4"/>
  <c r="X101" i="4" s="1"/>
  <c r="Z101" i="4" s="1"/>
  <c r="S101" i="4"/>
  <c r="Q101" i="4"/>
  <c r="T100" i="4"/>
  <c r="X100" i="4" s="1"/>
  <c r="Z100" i="4" s="1"/>
  <c r="S100" i="4"/>
  <c r="Q100" i="4"/>
  <c r="T99" i="4"/>
  <c r="X99" i="4" s="1"/>
  <c r="Z99" i="4" s="1"/>
  <c r="S99" i="4"/>
  <c r="Q99" i="4"/>
  <c r="T98" i="4"/>
  <c r="X98" i="4" s="1"/>
  <c r="Z98" i="4" s="1"/>
  <c r="S98" i="4"/>
  <c r="Q98" i="4"/>
  <c r="T97" i="4"/>
  <c r="X97" i="4" s="1"/>
  <c r="Z97" i="4" s="1"/>
  <c r="S97" i="4"/>
  <c r="Q97" i="4"/>
  <c r="T96" i="4"/>
  <c r="X96" i="4" s="1"/>
  <c r="Z96" i="4" s="1"/>
  <c r="S96" i="4"/>
  <c r="Q96" i="4"/>
  <c r="T95" i="4"/>
  <c r="X95" i="4" s="1"/>
  <c r="Z95" i="4" s="1"/>
  <c r="S95" i="4"/>
  <c r="Q95" i="4"/>
  <c r="T94" i="4"/>
  <c r="X94" i="4" s="1"/>
  <c r="Z94" i="4" s="1"/>
  <c r="S94" i="4"/>
  <c r="Q94" i="4"/>
  <c r="T93" i="4"/>
  <c r="X93" i="4" s="1"/>
  <c r="Z93" i="4" s="1"/>
  <c r="S93" i="4"/>
  <c r="Q93" i="4"/>
  <c r="T92" i="4"/>
  <c r="X92" i="4" s="1"/>
  <c r="Z92" i="4" s="1"/>
  <c r="S92" i="4"/>
  <c r="Q92" i="4"/>
  <c r="T91" i="4"/>
  <c r="X91" i="4" s="1"/>
  <c r="Z91" i="4" s="1"/>
  <c r="S91" i="4"/>
  <c r="Q91" i="4"/>
  <c r="T90" i="4"/>
  <c r="X90" i="4" s="1"/>
  <c r="Z90" i="4" s="1"/>
  <c r="S90" i="4"/>
  <c r="Q90" i="4"/>
  <c r="T89" i="4"/>
  <c r="X89" i="4" s="1"/>
  <c r="Z89" i="4" s="1"/>
  <c r="S89" i="4"/>
  <c r="Q89" i="4"/>
  <c r="T88" i="4"/>
  <c r="X88" i="4" s="1"/>
  <c r="Z88" i="4" s="1"/>
  <c r="S88" i="4"/>
  <c r="Q88" i="4"/>
  <c r="T87" i="4"/>
  <c r="X87" i="4" s="1"/>
  <c r="Z87" i="4" s="1"/>
  <c r="S87" i="4"/>
  <c r="Q87" i="4"/>
  <c r="T86" i="4"/>
  <c r="X86" i="4" s="1"/>
  <c r="Z86" i="4" s="1"/>
  <c r="S86" i="4"/>
  <c r="Q86" i="4"/>
  <c r="T85" i="4"/>
  <c r="X85" i="4" s="1"/>
  <c r="Z85" i="4" s="1"/>
  <c r="S85" i="4"/>
  <c r="Q85" i="4"/>
  <c r="T84" i="4"/>
  <c r="X84" i="4" s="1"/>
  <c r="Z84" i="4" s="1"/>
  <c r="S84" i="4"/>
  <c r="Q84" i="4"/>
  <c r="T83" i="4"/>
  <c r="X83" i="4" s="1"/>
  <c r="Z83" i="4" s="1"/>
  <c r="S83" i="4"/>
  <c r="Q83" i="4"/>
  <c r="T82" i="4"/>
  <c r="X82" i="4" s="1"/>
  <c r="Z82" i="4" s="1"/>
  <c r="S82" i="4"/>
  <c r="Q82" i="4"/>
  <c r="T81" i="4"/>
  <c r="X81" i="4" s="1"/>
  <c r="Z81" i="4" s="1"/>
  <c r="S81" i="4"/>
  <c r="Q81" i="4"/>
  <c r="T80" i="4"/>
  <c r="X80" i="4" s="1"/>
  <c r="Z80" i="4" s="1"/>
  <c r="S80" i="4"/>
  <c r="Q80" i="4"/>
  <c r="T79" i="4"/>
  <c r="X79" i="4" s="1"/>
  <c r="Z79" i="4" s="1"/>
  <c r="S79" i="4"/>
  <c r="Q79" i="4"/>
  <c r="T78" i="4"/>
  <c r="X78" i="4" s="1"/>
  <c r="Z78" i="4" s="1"/>
  <c r="S78" i="4"/>
  <c r="Q78" i="4"/>
  <c r="T77" i="4"/>
  <c r="X77" i="4" s="1"/>
  <c r="Z77" i="4" s="1"/>
  <c r="S77" i="4"/>
  <c r="Q77" i="4"/>
  <c r="T76" i="4"/>
  <c r="X76" i="4" s="1"/>
  <c r="Z76" i="4" s="1"/>
  <c r="S76" i="4"/>
  <c r="Q76" i="4"/>
  <c r="T75" i="4"/>
  <c r="X75" i="4" s="1"/>
  <c r="Z75" i="4" s="1"/>
  <c r="S75" i="4"/>
  <c r="Q75" i="4"/>
  <c r="T74" i="4"/>
  <c r="X74" i="4" s="1"/>
  <c r="Z74" i="4" s="1"/>
  <c r="S74" i="4"/>
  <c r="Q74" i="4"/>
  <c r="T73" i="4"/>
  <c r="X73" i="4" s="1"/>
  <c r="Z73" i="4" s="1"/>
  <c r="S73" i="4"/>
  <c r="Q73" i="4"/>
  <c r="T72" i="4"/>
  <c r="X72" i="4" s="1"/>
  <c r="Z72" i="4" s="1"/>
  <c r="S72" i="4"/>
  <c r="Q72" i="4"/>
  <c r="T71" i="4"/>
  <c r="X71" i="4" s="1"/>
  <c r="Z71" i="4" s="1"/>
  <c r="S71" i="4"/>
  <c r="Q71" i="4"/>
  <c r="T70" i="4"/>
  <c r="X70" i="4" s="1"/>
  <c r="Z70" i="4" s="1"/>
  <c r="S70" i="4"/>
  <c r="Q70" i="4"/>
  <c r="T69" i="4"/>
  <c r="X69" i="4" s="1"/>
  <c r="Z69" i="4" s="1"/>
  <c r="S69" i="4"/>
  <c r="Q69" i="4"/>
  <c r="T68" i="4"/>
  <c r="X68" i="4" s="1"/>
  <c r="Z68" i="4" s="1"/>
  <c r="S68" i="4"/>
  <c r="Q68" i="4"/>
  <c r="T67" i="4"/>
  <c r="X67" i="4" s="1"/>
  <c r="Z67" i="4" s="1"/>
  <c r="S67" i="4"/>
  <c r="Q67" i="4"/>
  <c r="T66" i="4"/>
  <c r="X66" i="4" s="1"/>
  <c r="Z66" i="4" s="1"/>
  <c r="S66" i="4"/>
  <c r="Q66" i="4"/>
  <c r="T65" i="4"/>
  <c r="X65" i="4" s="1"/>
  <c r="Z65" i="4" s="1"/>
  <c r="S65" i="4"/>
  <c r="Q65" i="4"/>
  <c r="T64" i="4"/>
  <c r="X64" i="4" s="1"/>
  <c r="Z64" i="4" s="1"/>
  <c r="S64" i="4"/>
  <c r="Q64" i="4"/>
  <c r="T63" i="4"/>
  <c r="X63" i="4" s="1"/>
  <c r="Z63" i="4" s="1"/>
  <c r="S63" i="4"/>
  <c r="Q63" i="4"/>
  <c r="T62" i="4"/>
  <c r="X62" i="4" s="1"/>
  <c r="Z62" i="4" s="1"/>
  <c r="S62" i="4"/>
  <c r="Q62" i="4"/>
  <c r="T61" i="4"/>
  <c r="X61" i="4" s="1"/>
  <c r="Z61" i="4" s="1"/>
  <c r="S61" i="4"/>
  <c r="Q61" i="4"/>
  <c r="T60" i="4"/>
  <c r="X60" i="4" s="1"/>
  <c r="Z60" i="4" s="1"/>
  <c r="S60" i="4"/>
  <c r="Q60" i="4"/>
  <c r="T59" i="4"/>
  <c r="X59" i="4" s="1"/>
  <c r="Z59" i="4" s="1"/>
  <c r="S59" i="4"/>
  <c r="Q59" i="4"/>
  <c r="T58" i="4"/>
  <c r="X58" i="4" s="1"/>
  <c r="Z58" i="4" s="1"/>
  <c r="S58" i="4"/>
  <c r="Q58" i="4"/>
  <c r="T57" i="4"/>
  <c r="X57" i="4" s="1"/>
  <c r="Z57" i="4" s="1"/>
  <c r="S57" i="4"/>
  <c r="Q57" i="4"/>
  <c r="T56" i="4"/>
  <c r="X56" i="4" s="1"/>
  <c r="Z56" i="4" s="1"/>
  <c r="S56" i="4"/>
  <c r="Q56" i="4"/>
  <c r="T55" i="4"/>
  <c r="X55" i="4" s="1"/>
  <c r="Z55" i="4" s="1"/>
  <c r="S55" i="4"/>
  <c r="Q55" i="4"/>
  <c r="T54" i="4"/>
  <c r="X54" i="4" s="1"/>
  <c r="Z54" i="4" s="1"/>
  <c r="S54" i="4"/>
  <c r="Q54" i="4"/>
  <c r="T53" i="4"/>
  <c r="X53" i="4" s="1"/>
  <c r="Z53" i="4" s="1"/>
  <c r="S53" i="4"/>
  <c r="Q53" i="4"/>
  <c r="T52" i="4"/>
  <c r="X52" i="4" s="1"/>
  <c r="Z52" i="4" s="1"/>
  <c r="S52" i="4"/>
  <c r="Q52" i="4"/>
  <c r="T51" i="4"/>
  <c r="X51" i="4" s="1"/>
  <c r="Z51" i="4" s="1"/>
  <c r="S51" i="4"/>
  <c r="Q51" i="4"/>
  <c r="T50" i="4"/>
  <c r="X50" i="4" s="1"/>
  <c r="Z50" i="4" s="1"/>
  <c r="S50" i="4"/>
  <c r="Q50" i="4"/>
  <c r="T49" i="4"/>
  <c r="X49" i="4" s="1"/>
  <c r="Z49" i="4" s="1"/>
  <c r="S49" i="4"/>
  <c r="Q49" i="4"/>
  <c r="T48" i="4"/>
  <c r="X48" i="4" s="1"/>
  <c r="Z48" i="4" s="1"/>
  <c r="S48" i="4"/>
  <c r="Q48" i="4"/>
  <c r="T47" i="4"/>
  <c r="X47" i="4" s="1"/>
  <c r="Z47" i="4" s="1"/>
  <c r="S47" i="4"/>
  <c r="Q47" i="4"/>
  <c r="T46" i="4"/>
  <c r="X46" i="4" s="1"/>
  <c r="Z46" i="4" s="1"/>
  <c r="S46" i="4"/>
  <c r="Q46" i="4"/>
  <c r="T45" i="4"/>
  <c r="X45" i="4" s="1"/>
  <c r="Z45" i="4" s="1"/>
  <c r="S45" i="4"/>
  <c r="Q45" i="4"/>
  <c r="T44" i="4"/>
  <c r="X44" i="4" s="1"/>
  <c r="Z44" i="4" s="1"/>
  <c r="S44" i="4"/>
  <c r="Q44" i="4"/>
  <c r="T43" i="4"/>
  <c r="X43" i="4" s="1"/>
  <c r="Z43" i="4" s="1"/>
  <c r="S43" i="4"/>
  <c r="Q43" i="4"/>
  <c r="T42" i="4"/>
  <c r="X42" i="4" s="1"/>
  <c r="Z42" i="4" s="1"/>
  <c r="S42" i="4"/>
  <c r="Q42" i="4"/>
  <c r="T41" i="4"/>
  <c r="X41" i="4" s="1"/>
  <c r="Z41" i="4" s="1"/>
  <c r="S41" i="4"/>
  <c r="Q41" i="4"/>
  <c r="T40" i="4"/>
  <c r="X40" i="4" s="1"/>
  <c r="Z40" i="4" s="1"/>
  <c r="S40" i="4"/>
  <c r="Q40" i="4"/>
  <c r="T39" i="4"/>
  <c r="X39" i="4" s="1"/>
  <c r="Z39" i="4" s="1"/>
  <c r="S39" i="4"/>
  <c r="Q39" i="4"/>
  <c r="T38" i="4"/>
  <c r="X38" i="4" s="1"/>
  <c r="Z38" i="4" s="1"/>
  <c r="S38" i="4"/>
  <c r="Q38" i="4"/>
  <c r="T37" i="4"/>
  <c r="X37" i="4" s="1"/>
  <c r="Z37" i="4" s="1"/>
  <c r="S37" i="4"/>
  <c r="Q37" i="4"/>
  <c r="T36" i="4"/>
  <c r="X36" i="4" s="1"/>
  <c r="Z36" i="4" s="1"/>
  <c r="S36" i="4"/>
  <c r="Q36" i="4"/>
  <c r="T35" i="4"/>
  <c r="X35" i="4" s="1"/>
  <c r="Z35" i="4" s="1"/>
  <c r="S35" i="4"/>
  <c r="Q35" i="4"/>
  <c r="T34" i="4"/>
  <c r="X34" i="4" s="1"/>
  <c r="Z34" i="4" s="1"/>
  <c r="S34" i="4"/>
  <c r="Q34" i="4"/>
  <c r="T33" i="4"/>
  <c r="X33" i="4" s="1"/>
  <c r="Z33" i="4" s="1"/>
  <c r="S33" i="4"/>
  <c r="Q33" i="4"/>
  <c r="T32" i="4"/>
  <c r="X32" i="4" s="1"/>
  <c r="Z32" i="4" s="1"/>
  <c r="S32" i="4"/>
  <c r="Q32" i="4"/>
  <c r="T31" i="4"/>
  <c r="X31" i="4" s="1"/>
  <c r="Z31" i="4" s="1"/>
  <c r="S31" i="4"/>
  <c r="Q31" i="4"/>
  <c r="T30" i="4"/>
  <c r="X30" i="4" s="1"/>
  <c r="Z30" i="4" s="1"/>
  <c r="S30" i="4"/>
  <c r="Q30" i="4"/>
  <c r="T29" i="4"/>
  <c r="X29" i="4" s="1"/>
  <c r="Z29" i="4" s="1"/>
  <c r="S29" i="4"/>
  <c r="Q29" i="4"/>
  <c r="T28" i="4"/>
  <c r="X28" i="4" s="1"/>
  <c r="Z28" i="4" s="1"/>
  <c r="S28" i="4"/>
  <c r="Q28" i="4"/>
  <c r="T27" i="4"/>
  <c r="X27" i="4" s="1"/>
  <c r="Z27" i="4" s="1"/>
  <c r="S27" i="4"/>
  <c r="Q27" i="4"/>
  <c r="T26" i="4"/>
  <c r="X26" i="4" s="1"/>
  <c r="Z26" i="4" s="1"/>
  <c r="S26" i="4"/>
  <c r="Q26" i="4"/>
  <c r="T25" i="4"/>
  <c r="X25" i="4" s="1"/>
  <c r="Z25" i="4" s="1"/>
  <c r="S25" i="4"/>
  <c r="Q25" i="4"/>
  <c r="T24" i="4"/>
  <c r="X24" i="4" s="1"/>
  <c r="Z24" i="4" s="1"/>
  <c r="S24" i="4"/>
  <c r="Q24" i="4"/>
  <c r="T23" i="4"/>
  <c r="X23" i="4" s="1"/>
  <c r="Z23" i="4" s="1"/>
  <c r="S23" i="4"/>
  <c r="Q23" i="4"/>
  <c r="T22" i="4"/>
  <c r="X22" i="4" s="1"/>
  <c r="Z22" i="4" s="1"/>
  <c r="S22" i="4"/>
  <c r="Q22" i="4"/>
  <c r="T21" i="4"/>
  <c r="X21" i="4" s="1"/>
  <c r="Z21" i="4" s="1"/>
  <c r="S21" i="4"/>
  <c r="Q21" i="4"/>
  <c r="T20" i="4"/>
  <c r="X20" i="4" s="1"/>
  <c r="Z20" i="4" s="1"/>
  <c r="S20" i="4"/>
  <c r="Q20" i="4"/>
  <c r="T19" i="4"/>
  <c r="X19" i="4" s="1"/>
  <c r="Z19" i="4" s="1"/>
  <c r="S19" i="4"/>
  <c r="Q19" i="4"/>
  <c r="T18" i="4"/>
  <c r="X18" i="4" s="1"/>
  <c r="Z18" i="4" s="1"/>
  <c r="S18" i="4"/>
  <c r="Q18" i="4"/>
  <c r="T17" i="4"/>
  <c r="X17" i="4" s="1"/>
  <c r="Z17" i="4" s="1"/>
  <c r="S17" i="4"/>
  <c r="Q17" i="4"/>
  <c r="T16" i="4"/>
  <c r="X16" i="4" s="1"/>
  <c r="Z16" i="4" s="1"/>
  <c r="S16" i="4"/>
  <c r="Q16" i="4"/>
  <c r="T14" i="4"/>
  <c r="X14" i="4" s="1"/>
  <c r="Z14" i="4" s="1"/>
  <c r="S14" i="4"/>
  <c r="Q14" i="4"/>
  <c r="T13" i="4"/>
  <c r="X13" i="4" s="1"/>
  <c r="Z13" i="4" s="1"/>
  <c r="S13" i="4"/>
  <c r="Q13" i="4"/>
  <c r="T12" i="4"/>
  <c r="X12" i="4" s="1"/>
  <c r="Z12" i="4" s="1"/>
  <c r="S12" i="4"/>
  <c r="Q12" i="4"/>
  <c r="T11" i="4"/>
  <c r="X11" i="4" s="1"/>
  <c r="Z11" i="4" s="1"/>
  <c r="S11" i="4"/>
  <c r="Q11" i="4"/>
  <c r="T10" i="4"/>
  <c r="X10" i="4" s="1"/>
  <c r="Z10" i="4" s="1"/>
  <c r="S10" i="4"/>
  <c r="Q10" i="4"/>
  <c r="T9" i="4"/>
  <c r="X9" i="4" s="1"/>
  <c r="Z9" i="4" s="1"/>
  <c r="S9" i="4"/>
  <c r="Q9" i="4"/>
  <c r="T8" i="4"/>
  <c r="X8" i="4" s="1"/>
  <c r="Z8" i="4" s="1"/>
  <c r="S8" i="4"/>
  <c r="Q8" i="4"/>
  <c r="T7" i="4"/>
  <c r="X7" i="4" s="1"/>
  <c r="Z7" i="4" s="1"/>
  <c r="S7" i="4"/>
  <c r="Q7" i="4"/>
  <c r="T6" i="4"/>
  <c r="X6" i="4" s="1"/>
  <c r="Z6" i="4" s="1"/>
  <c r="S6" i="4"/>
  <c r="Q6" i="4"/>
  <c r="T5" i="4"/>
  <c r="X5" i="4" s="1"/>
  <c r="Z5" i="4" s="1"/>
  <c r="S5" i="4"/>
  <c r="Q5" i="4"/>
  <c r="T4" i="4"/>
  <c r="X4" i="4" s="1"/>
  <c r="Z4" i="4" s="1"/>
  <c r="S4" i="4"/>
  <c r="Q4" i="4"/>
  <c r="T3" i="4"/>
  <c r="X3" i="4" s="1"/>
  <c r="Z3" i="4" s="1"/>
  <c r="S3" i="4"/>
  <c r="Q3" i="4"/>
  <c r="T2" i="4"/>
  <c r="X2" i="4" s="1"/>
  <c r="Z2" i="4" s="1"/>
  <c r="S2" i="4"/>
  <c r="Q2" i="4"/>
  <c r="T200" i="3"/>
  <c r="X200" i="3" s="1"/>
  <c r="Z200" i="3" s="1"/>
  <c r="S200" i="3"/>
  <c r="Q200" i="3"/>
  <c r="T199" i="3"/>
  <c r="X199" i="3" s="1"/>
  <c r="Z199" i="3" s="1"/>
  <c r="S199" i="3"/>
  <c r="Q199" i="3"/>
  <c r="T198" i="3"/>
  <c r="X198" i="3" s="1"/>
  <c r="Z198" i="3" s="1"/>
  <c r="S198" i="3"/>
  <c r="Q198" i="3"/>
  <c r="T197" i="3"/>
  <c r="X197" i="3" s="1"/>
  <c r="Z197" i="3" s="1"/>
  <c r="S197" i="3"/>
  <c r="Q197" i="3"/>
  <c r="T196" i="3"/>
  <c r="X196" i="3" s="1"/>
  <c r="Z196" i="3" s="1"/>
  <c r="S196" i="3"/>
  <c r="Q196" i="3"/>
  <c r="T195" i="3"/>
  <c r="X195" i="3" s="1"/>
  <c r="Z195" i="3" s="1"/>
  <c r="S195" i="3"/>
  <c r="Q195" i="3"/>
  <c r="T194" i="3"/>
  <c r="X194" i="3" s="1"/>
  <c r="Z194" i="3" s="1"/>
  <c r="S194" i="3"/>
  <c r="Q194" i="3"/>
  <c r="T193" i="3"/>
  <c r="X193" i="3" s="1"/>
  <c r="Z193" i="3" s="1"/>
  <c r="S193" i="3"/>
  <c r="Q193" i="3"/>
  <c r="T192" i="3"/>
  <c r="X192" i="3" s="1"/>
  <c r="Z192" i="3" s="1"/>
  <c r="S192" i="3"/>
  <c r="Q192" i="3"/>
  <c r="T191" i="3"/>
  <c r="X191" i="3" s="1"/>
  <c r="Z191" i="3" s="1"/>
  <c r="S191" i="3"/>
  <c r="Q191" i="3"/>
  <c r="T190" i="3"/>
  <c r="X190" i="3" s="1"/>
  <c r="Z190" i="3" s="1"/>
  <c r="S190" i="3"/>
  <c r="Q190" i="3"/>
  <c r="T189" i="3"/>
  <c r="X189" i="3" s="1"/>
  <c r="Z189" i="3" s="1"/>
  <c r="S189" i="3"/>
  <c r="Q189" i="3"/>
  <c r="T188" i="3"/>
  <c r="X188" i="3" s="1"/>
  <c r="Z188" i="3" s="1"/>
  <c r="S188" i="3"/>
  <c r="Q188" i="3"/>
  <c r="T187" i="3"/>
  <c r="X187" i="3" s="1"/>
  <c r="Z187" i="3" s="1"/>
  <c r="S187" i="3"/>
  <c r="Q187" i="3"/>
  <c r="T186" i="3"/>
  <c r="X186" i="3" s="1"/>
  <c r="Z186" i="3" s="1"/>
  <c r="S186" i="3"/>
  <c r="Q186" i="3"/>
  <c r="T185" i="3"/>
  <c r="X185" i="3" s="1"/>
  <c r="Z185" i="3" s="1"/>
  <c r="S185" i="3"/>
  <c r="Q185" i="3"/>
  <c r="T184" i="3"/>
  <c r="X184" i="3" s="1"/>
  <c r="Z184" i="3" s="1"/>
  <c r="S184" i="3"/>
  <c r="Q184" i="3"/>
  <c r="T183" i="3"/>
  <c r="X183" i="3" s="1"/>
  <c r="Z183" i="3" s="1"/>
  <c r="S183" i="3"/>
  <c r="Q183" i="3"/>
  <c r="T182" i="3"/>
  <c r="X182" i="3" s="1"/>
  <c r="Z182" i="3" s="1"/>
  <c r="S182" i="3"/>
  <c r="Q182" i="3"/>
  <c r="T181" i="3"/>
  <c r="X181" i="3" s="1"/>
  <c r="Z181" i="3" s="1"/>
  <c r="S181" i="3"/>
  <c r="Q181" i="3"/>
  <c r="T180" i="3"/>
  <c r="X180" i="3" s="1"/>
  <c r="Z180" i="3" s="1"/>
  <c r="S180" i="3"/>
  <c r="Q180" i="3"/>
  <c r="T179" i="3"/>
  <c r="X179" i="3" s="1"/>
  <c r="Z179" i="3" s="1"/>
  <c r="S179" i="3"/>
  <c r="Q179" i="3"/>
  <c r="T178" i="3"/>
  <c r="X178" i="3" s="1"/>
  <c r="Z178" i="3" s="1"/>
  <c r="S178" i="3"/>
  <c r="Q178" i="3"/>
  <c r="T177" i="3"/>
  <c r="X177" i="3" s="1"/>
  <c r="Z177" i="3" s="1"/>
  <c r="S177" i="3"/>
  <c r="Q177" i="3"/>
  <c r="T176" i="3"/>
  <c r="X176" i="3" s="1"/>
  <c r="Z176" i="3" s="1"/>
  <c r="S176" i="3"/>
  <c r="Q176" i="3"/>
  <c r="T175" i="3"/>
  <c r="X175" i="3" s="1"/>
  <c r="Z175" i="3" s="1"/>
  <c r="S175" i="3"/>
  <c r="Q175" i="3"/>
  <c r="T174" i="3"/>
  <c r="X174" i="3" s="1"/>
  <c r="Z174" i="3" s="1"/>
  <c r="S174" i="3"/>
  <c r="Q174" i="3"/>
  <c r="T173" i="3"/>
  <c r="X173" i="3" s="1"/>
  <c r="Z173" i="3" s="1"/>
  <c r="S173" i="3"/>
  <c r="Q173" i="3"/>
  <c r="T172" i="3"/>
  <c r="X172" i="3" s="1"/>
  <c r="Z172" i="3" s="1"/>
  <c r="S172" i="3"/>
  <c r="Q172" i="3"/>
  <c r="T171" i="3"/>
  <c r="X171" i="3" s="1"/>
  <c r="Z171" i="3" s="1"/>
  <c r="S171" i="3"/>
  <c r="Q171" i="3"/>
  <c r="T170" i="3"/>
  <c r="X170" i="3" s="1"/>
  <c r="Z170" i="3" s="1"/>
  <c r="S170" i="3"/>
  <c r="Q170" i="3"/>
  <c r="T169" i="3"/>
  <c r="X169" i="3" s="1"/>
  <c r="Z169" i="3" s="1"/>
  <c r="S169" i="3"/>
  <c r="Q169" i="3"/>
  <c r="T168" i="3"/>
  <c r="X168" i="3" s="1"/>
  <c r="Z168" i="3" s="1"/>
  <c r="S168" i="3"/>
  <c r="Q168" i="3"/>
  <c r="T167" i="3"/>
  <c r="X167" i="3" s="1"/>
  <c r="Z167" i="3" s="1"/>
  <c r="S167" i="3"/>
  <c r="Q167" i="3"/>
  <c r="T166" i="3"/>
  <c r="X166" i="3" s="1"/>
  <c r="Z166" i="3" s="1"/>
  <c r="S166" i="3"/>
  <c r="Q166" i="3"/>
  <c r="T165" i="3"/>
  <c r="X165" i="3" s="1"/>
  <c r="Z165" i="3" s="1"/>
  <c r="S165" i="3"/>
  <c r="Q165" i="3"/>
  <c r="T164" i="3"/>
  <c r="X164" i="3" s="1"/>
  <c r="Z164" i="3" s="1"/>
  <c r="S164" i="3"/>
  <c r="Q164" i="3"/>
  <c r="T163" i="3"/>
  <c r="X163" i="3" s="1"/>
  <c r="Z163" i="3" s="1"/>
  <c r="S163" i="3"/>
  <c r="Q163" i="3"/>
  <c r="T162" i="3"/>
  <c r="X162" i="3" s="1"/>
  <c r="Z162" i="3" s="1"/>
  <c r="S162" i="3"/>
  <c r="Q162" i="3"/>
  <c r="T161" i="3"/>
  <c r="X161" i="3" s="1"/>
  <c r="Z161" i="3" s="1"/>
  <c r="S161" i="3"/>
  <c r="Q161" i="3"/>
  <c r="T160" i="3"/>
  <c r="X160" i="3" s="1"/>
  <c r="Z160" i="3" s="1"/>
  <c r="S160" i="3"/>
  <c r="Q160" i="3"/>
  <c r="T159" i="3"/>
  <c r="X159" i="3" s="1"/>
  <c r="Z159" i="3" s="1"/>
  <c r="S159" i="3"/>
  <c r="Q159" i="3"/>
  <c r="T158" i="3"/>
  <c r="X158" i="3" s="1"/>
  <c r="Z158" i="3" s="1"/>
  <c r="S158" i="3"/>
  <c r="Q158" i="3"/>
  <c r="T157" i="3"/>
  <c r="X157" i="3" s="1"/>
  <c r="Z157" i="3" s="1"/>
  <c r="S157" i="3"/>
  <c r="Q157" i="3"/>
  <c r="T156" i="3"/>
  <c r="X156" i="3" s="1"/>
  <c r="Z156" i="3" s="1"/>
  <c r="S156" i="3"/>
  <c r="Q156" i="3"/>
  <c r="T155" i="3"/>
  <c r="X155" i="3" s="1"/>
  <c r="Z155" i="3" s="1"/>
  <c r="S155" i="3"/>
  <c r="Q155" i="3"/>
  <c r="T154" i="3"/>
  <c r="X154" i="3" s="1"/>
  <c r="Z154" i="3" s="1"/>
  <c r="S154" i="3"/>
  <c r="Q154" i="3"/>
  <c r="T153" i="3"/>
  <c r="X153" i="3" s="1"/>
  <c r="Z153" i="3" s="1"/>
  <c r="S153" i="3"/>
  <c r="Q153" i="3"/>
  <c r="T152" i="3"/>
  <c r="X152" i="3" s="1"/>
  <c r="Z152" i="3" s="1"/>
  <c r="S152" i="3"/>
  <c r="Q152" i="3"/>
  <c r="T151" i="3"/>
  <c r="X151" i="3" s="1"/>
  <c r="Z151" i="3" s="1"/>
  <c r="S151" i="3"/>
  <c r="Q151" i="3"/>
  <c r="T150" i="3"/>
  <c r="X150" i="3" s="1"/>
  <c r="Z150" i="3" s="1"/>
  <c r="S150" i="3"/>
  <c r="Q150" i="3"/>
  <c r="T149" i="3"/>
  <c r="X149" i="3" s="1"/>
  <c r="Z149" i="3" s="1"/>
  <c r="S149" i="3"/>
  <c r="Q149" i="3"/>
  <c r="T148" i="3"/>
  <c r="X148" i="3" s="1"/>
  <c r="Z148" i="3" s="1"/>
  <c r="S148" i="3"/>
  <c r="Q148" i="3"/>
  <c r="T147" i="3"/>
  <c r="X147" i="3" s="1"/>
  <c r="Z147" i="3" s="1"/>
  <c r="S147" i="3"/>
  <c r="Q147" i="3"/>
  <c r="T146" i="3"/>
  <c r="X146" i="3" s="1"/>
  <c r="Z146" i="3" s="1"/>
  <c r="S146" i="3"/>
  <c r="Q146" i="3"/>
  <c r="T145" i="3"/>
  <c r="X145" i="3" s="1"/>
  <c r="Z145" i="3" s="1"/>
  <c r="S145" i="3"/>
  <c r="Q145" i="3"/>
  <c r="T144" i="3"/>
  <c r="X144" i="3" s="1"/>
  <c r="Z144" i="3" s="1"/>
  <c r="S144" i="3"/>
  <c r="Q144" i="3"/>
  <c r="T143" i="3"/>
  <c r="X143" i="3" s="1"/>
  <c r="Z143" i="3" s="1"/>
  <c r="S143" i="3"/>
  <c r="Q143" i="3"/>
  <c r="T142" i="3"/>
  <c r="X142" i="3" s="1"/>
  <c r="Z142" i="3" s="1"/>
  <c r="S142" i="3"/>
  <c r="Q142" i="3"/>
  <c r="T141" i="3"/>
  <c r="X141" i="3" s="1"/>
  <c r="Z141" i="3" s="1"/>
  <c r="S141" i="3"/>
  <c r="Q141" i="3"/>
  <c r="T140" i="3"/>
  <c r="X140" i="3" s="1"/>
  <c r="Z140" i="3" s="1"/>
  <c r="S140" i="3"/>
  <c r="Q140" i="3"/>
  <c r="T139" i="3"/>
  <c r="X139" i="3" s="1"/>
  <c r="Z139" i="3" s="1"/>
  <c r="S139" i="3"/>
  <c r="Q139" i="3"/>
  <c r="T138" i="3"/>
  <c r="X138" i="3" s="1"/>
  <c r="Z138" i="3" s="1"/>
  <c r="S138" i="3"/>
  <c r="Q138" i="3"/>
  <c r="T137" i="3"/>
  <c r="X137" i="3" s="1"/>
  <c r="Z137" i="3" s="1"/>
  <c r="S137" i="3"/>
  <c r="Q137" i="3"/>
  <c r="T136" i="3"/>
  <c r="X136" i="3" s="1"/>
  <c r="Z136" i="3" s="1"/>
  <c r="S136" i="3"/>
  <c r="Q136" i="3"/>
  <c r="T135" i="3"/>
  <c r="X135" i="3" s="1"/>
  <c r="Z135" i="3" s="1"/>
  <c r="S135" i="3"/>
  <c r="Q135" i="3"/>
  <c r="T134" i="3"/>
  <c r="X134" i="3" s="1"/>
  <c r="Z134" i="3" s="1"/>
  <c r="S134" i="3"/>
  <c r="Q134" i="3"/>
  <c r="T133" i="3"/>
  <c r="X133" i="3" s="1"/>
  <c r="Z133" i="3" s="1"/>
  <c r="S133" i="3"/>
  <c r="Q133" i="3"/>
  <c r="T132" i="3"/>
  <c r="X132" i="3" s="1"/>
  <c r="Z132" i="3" s="1"/>
  <c r="S132" i="3"/>
  <c r="Q132" i="3"/>
  <c r="T131" i="3"/>
  <c r="X131" i="3" s="1"/>
  <c r="Z131" i="3" s="1"/>
  <c r="S131" i="3"/>
  <c r="Q131" i="3"/>
  <c r="T130" i="3"/>
  <c r="X130" i="3" s="1"/>
  <c r="Z130" i="3" s="1"/>
  <c r="S130" i="3"/>
  <c r="Q130" i="3"/>
  <c r="T129" i="3"/>
  <c r="X129" i="3" s="1"/>
  <c r="Z129" i="3" s="1"/>
  <c r="S129" i="3"/>
  <c r="Q129" i="3"/>
  <c r="T128" i="3"/>
  <c r="X128" i="3" s="1"/>
  <c r="Z128" i="3" s="1"/>
  <c r="S128" i="3"/>
  <c r="Q128" i="3"/>
  <c r="T127" i="3"/>
  <c r="X127" i="3" s="1"/>
  <c r="Z127" i="3" s="1"/>
  <c r="S127" i="3"/>
  <c r="Q127" i="3"/>
  <c r="T126" i="3"/>
  <c r="X126" i="3" s="1"/>
  <c r="Z126" i="3" s="1"/>
  <c r="S126" i="3"/>
  <c r="Q126" i="3"/>
  <c r="T125" i="3"/>
  <c r="X125" i="3" s="1"/>
  <c r="Z125" i="3" s="1"/>
  <c r="S125" i="3"/>
  <c r="Q125" i="3"/>
  <c r="T124" i="3"/>
  <c r="X124" i="3" s="1"/>
  <c r="Z124" i="3" s="1"/>
  <c r="S124" i="3"/>
  <c r="Q124" i="3"/>
  <c r="T123" i="3"/>
  <c r="X123" i="3" s="1"/>
  <c r="Z123" i="3" s="1"/>
  <c r="S123" i="3"/>
  <c r="Q123" i="3"/>
  <c r="T122" i="3"/>
  <c r="X122" i="3" s="1"/>
  <c r="Z122" i="3" s="1"/>
  <c r="S122" i="3"/>
  <c r="Q122" i="3"/>
  <c r="T121" i="3"/>
  <c r="X121" i="3" s="1"/>
  <c r="Z121" i="3" s="1"/>
  <c r="S121" i="3"/>
  <c r="Q121" i="3"/>
  <c r="T120" i="3"/>
  <c r="X120" i="3" s="1"/>
  <c r="Z120" i="3" s="1"/>
  <c r="S120" i="3"/>
  <c r="Q120" i="3"/>
  <c r="T119" i="3"/>
  <c r="X119" i="3" s="1"/>
  <c r="Z119" i="3" s="1"/>
  <c r="S119" i="3"/>
  <c r="Q119" i="3"/>
  <c r="T118" i="3"/>
  <c r="X118" i="3" s="1"/>
  <c r="Z118" i="3" s="1"/>
  <c r="S118" i="3"/>
  <c r="Q118" i="3"/>
  <c r="T117" i="3"/>
  <c r="X117" i="3" s="1"/>
  <c r="Z117" i="3" s="1"/>
  <c r="S117" i="3"/>
  <c r="Q117" i="3"/>
  <c r="T116" i="3"/>
  <c r="X116" i="3" s="1"/>
  <c r="Z116" i="3" s="1"/>
  <c r="S116" i="3"/>
  <c r="Q116" i="3"/>
  <c r="T115" i="3"/>
  <c r="X115" i="3" s="1"/>
  <c r="Z115" i="3" s="1"/>
  <c r="S115" i="3"/>
  <c r="Q115" i="3"/>
  <c r="T114" i="3"/>
  <c r="X114" i="3" s="1"/>
  <c r="Z114" i="3" s="1"/>
  <c r="S114" i="3"/>
  <c r="Q114" i="3"/>
  <c r="T113" i="3"/>
  <c r="X113" i="3" s="1"/>
  <c r="Z113" i="3" s="1"/>
  <c r="S113" i="3"/>
  <c r="Q113" i="3"/>
  <c r="T112" i="3"/>
  <c r="X112" i="3" s="1"/>
  <c r="Z112" i="3" s="1"/>
  <c r="S112" i="3"/>
  <c r="Q112" i="3"/>
  <c r="T111" i="3"/>
  <c r="X111" i="3" s="1"/>
  <c r="Z111" i="3" s="1"/>
  <c r="S111" i="3"/>
  <c r="Q111" i="3"/>
  <c r="T110" i="3"/>
  <c r="X110" i="3" s="1"/>
  <c r="Z110" i="3" s="1"/>
  <c r="S110" i="3"/>
  <c r="Q110" i="3"/>
  <c r="T109" i="3"/>
  <c r="X109" i="3" s="1"/>
  <c r="Z109" i="3" s="1"/>
  <c r="S109" i="3"/>
  <c r="Q109" i="3"/>
  <c r="T108" i="3"/>
  <c r="X108" i="3" s="1"/>
  <c r="Z108" i="3" s="1"/>
  <c r="S108" i="3"/>
  <c r="Q108" i="3"/>
  <c r="T107" i="3"/>
  <c r="X107" i="3" s="1"/>
  <c r="Z107" i="3" s="1"/>
  <c r="S107" i="3"/>
  <c r="Q107" i="3"/>
  <c r="T106" i="3"/>
  <c r="X106" i="3" s="1"/>
  <c r="Z106" i="3" s="1"/>
  <c r="S106" i="3"/>
  <c r="Q106" i="3"/>
  <c r="T105" i="3"/>
  <c r="X105" i="3" s="1"/>
  <c r="Z105" i="3" s="1"/>
  <c r="S105" i="3"/>
  <c r="Q105" i="3"/>
  <c r="T104" i="3"/>
  <c r="X104" i="3" s="1"/>
  <c r="Z104" i="3" s="1"/>
  <c r="S104" i="3"/>
  <c r="Q104" i="3"/>
  <c r="T103" i="3"/>
  <c r="X103" i="3" s="1"/>
  <c r="Z103" i="3" s="1"/>
  <c r="S103" i="3"/>
  <c r="Q103" i="3"/>
  <c r="T102" i="3"/>
  <c r="X102" i="3" s="1"/>
  <c r="Z102" i="3" s="1"/>
  <c r="S102" i="3"/>
  <c r="Q102" i="3"/>
  <c r="T101" i="3"/>
  <c r="X101" i="3" s="1"/>
  <c r="Z101" i="3" s="1"/>
  <c r="S101" i="3"/>
  <c r="Q101" i="3"/>
  <c r="T100" i="3"/>
  <c r="X100" i="3" s="1"/>
  <c r="Z100" i="3" s="1"/>
  <c r="S100" i="3"/>
  <c r="Q100" i="3"/>
  <c r="T99" i="3"/>
  <c r="X99" i="3" s="1"/>
  <c r="Z99" i="3" s="1"/>
  <c r="S99" i="3"/>
  <c r="Q99" i="3"/>
  <c r="T98" i="3"/>
  <c r="X98" i="3" s="1"/>
  <c r="Z98" i="3" s="1"/>
  <c r="S98" i="3"/>
  <c r="Q98" i="3"/>
  <c r="T97" i="3"/>
  <c r="X97" i="3" s="1"/>
  <c r="Z97" i="3" s="1"/>
  <c r="S97" i="3"/>
  <c r="Q97" i="3"/>
  <c r="T96" i="3"/>
  <c r="X96" i="3" s="1"/>
  <c r="Z96" i="3" s="1"/>
  <c r="S96" i="3"/>
  <c r="Q96" i="3"/>
  <c r="T95" i="3"/>
  <c r="X95" i="3" s="1"/>
  <c r="Z95" i="3" s="1"/>
  <c r="S95" i="3"/>
  <c r="Q95" i="3"/>
  <c r="T94" i="3"/>
  <c r="X94" i="3" s="1"/>
  <c r="Z94" i="3" s="1"/>
  <c r="S94" i="3"/>
  <c r="Q94" i="3"/>
  <c r="T93" i="3"/>
  <c r="X93" i="3" s="1"/>
  <c r="Z93" i="3" s="1"/>
  <c r="S93" i="3"/>
  <c r="Q93" i="3"/>
  <c r="T92" i="3"/>
  <c r="X92" i="3" s="1"/>
  <c r="Z92" i="3" s="1"/>
  <c r="S92" i="3"/>
  <c r="Q92" i="3"/>
  <c r="T91" i="3"/>
  <c r="X91" i="3" s="1"/>
  <c r="Z91" i="3" s="1"/>
  <c r="S91" i="3"/>
  <c r="Q91" i="3"/>
  <c r="T90" i="3"/>
  <c r="X90" i="3" s="1"/>
  <c r="Z90" i="3" s="1"/>
  <c r="S90" i="3"/>
  <c r="Q90" i="3"/>
  <c r="T89" i="3"/>
  <c r="X89" i="3" s="1"/>
  <c r="Z89" i="3" s="1"/>
  <c r="S89" i="3"/>
  <c r="Q89" i="3"/>
  <c r="T88" i="3"/>
  <c r="X88" i="3" s="1"/>
  <c r="Z88" i="3" s="1"/>
  <c r="S88" i="3"/>
  <c r="Q88" i="3"/>
  <c r="T87" i="3"/>
  <c r="X87" i="3" s="1"/>
  <c r="Z87" i="3" s="1"/>
  <c r="S87" i="3"/>
  <c r="Q87" i="3"/>
  <c r="T86" i="3"/>
  <c r="X86" i="3" s="1"/>
  <c r="Z86" i="3" s="1"/>
  <c r="S86" i="3"/>
  <c r="Q86" i="3"/>
  <c r="T85" i="3"/>
  <c r="X85" i="3" s="1"/>
  <c r="Z85" i="3" s="1"/>
  <c r="S85" i="3"/>
  <c r="Q85" i="3"/>
  <c r="T84" i="3"/>
  <c r="X84" i="3" s="1"/>
  <c r="Z84" i="3" s="1"/>
  <c r="S84" i="3"/>
  <c r="Q84" i="3"/>
  <c r="T83" i="3"/>
  <c r="X83" i="3" s="1"/>
  <c r="Z83" i="3" s="1"/>
  <c r="S83" i="3"/>
  <c r="Q83" i="3"/>
  <c r="T82" i="3"/>
  <c r="X82" i="3" s="1"/>
  <c r="Z82" i="3" s="1"/>
  <c r="S82" i="3"/>
  <c r="Q82" i="3"/>
  <c r="T81" i="3"/>
  <c r="X81" i="3" s="1"/>
  <c r="Z81" i="3" s="1"/>
  <c r="S81" i="3"/>
  <c r="Q81" i="3"/>
  <c r="T80" i="3"/>
  <c r="X80" i="3" s="1"/>
  <c r="Z80" i="3" s="1"/>
  <c r="S80" i="3"/>
  <c r="Q80" i="3"/>
  <c r="T79" i="3"/>
  <c r="X79" i="3" s="1"/>
  <c r="Z79" i="3" s="1"/>
  <c r="S79" i="3"/>
  <c r="Q79" i="3"/>
  <c r="T78" i="3"/>
  <c r="X78" i="3" s="1"/>
  <c r="Z78" i="3" s="1"/>
  <c r="S78" i="3"/>
  <c r="Q78" i="3"/>
  <c r="T77" i="3"/>
  <c r="X77" i="3" s="1"/>
  <c r="Z77" i="3" s="1"/>
  <c r="S77" i="3"/>
  <c r="Q77" i="3"/>
  <c r="T76" i="3"/>
  <c r="X76" i="3" s="1"/>
  <c r="Z76" i="3" s="1"/>
  <c r="S76" i="3"/>
  <c r="Q76" i="3"/>
  <c r="T75" i="3"/>
  <c r="X75" i="3" s="1"/>
  <c r="Z75" i="3" s="1"/>
  <c r="S75" i="3"/>
  <c r="Q75" i="3"/>
  <c r="T74" i="3"/>
  <c r="X74" i="3" s="1"/>
  <c r="Z74" i="3" s="1"/>
  <c r="S74" i="3"/>
  <c r="Q74" i="3"/>
  <c r="T73" i="3"/>
  <c r="X73" i="3" s="1"/>
  <c r="Z73" i="3" s="1"/>
  <c r="S73" i="3"/>
  <c r="Q73" i="3"/>
  <c r="T72" i="3"/>
  <c r="X72" i="3" s="1"/>
  <c r="Z72" i="3" s="1"/>
  <c r="S72" i="3"/>
  <c r="Q72" i="3"/>
  <c r="T71" i="3"/>
  <c r="X71" i="3" s="1"/>
  <c r="Z71" i="3" s="1"/>
  <c r="S71" i="3"/>
  <c r="Q71" i="3"/>
  <c r="T70" i="3"/>
  <c r="X70" i="3" s="1"/>
  <c r="Z70" i="3" s="1"/>
  <c r="S70" i="3"/>
  <c r="Q70" i="3"/>
  <c r="T69" i="3"/>
  <c r="X69" i="3" s="1"/>
  <c r="Z69" i="3" s="1"/>
  <c r="S69" i="3"/>
  <c r="Q69" i="3"/>
  <c r="T68" i="3"/>
  <c r="X68" i="3" s="1"/>
  <c r="Z68" i="3" s="1"/>
  <c r="S68" i="3"/>
  <c r="Q68" i="3"/>
  <c r="T67" i="3"/>
  <c r="X67" i="3" s="1"/>
  <c r="Z67" i="3" s="1"/>
  <c r="S67" i="3"/>
  <c r="Q67" i="3"/>
  <c r="T66" i="3"/>
  <c r="X66" i="3" s="1"/>
  <c r="Z66" i="3" s="1"/>
  <c r="S66" i="3"/>
  <c r="Q66" i="3"/>
  <c r="T65" i="3"/>
  <c r="X65" i="3" s="1"/>
  <c r="Z65" i="3" s="1"/>
  <c r="S65" i="3"/>
  <c r="Q65" i="3"/>
  <c r="T64" i="3"/>
  <c r="X64" i="3" s="1"/>
  <c r="Z64" i="3" s="1"/>
  <c r="S64" i="3"/>
  <c r="Q64" i="3"/>
  <c r="T63" i="3"/>
  <c r="X63" i="3" s="1"/>
  <c r="Z63" i="3" s="1"/>
  <c r="S63" i="3"/>
  <c r="Q63" i="3"/>
  <c r="T62" i="3"/>
  <c r="X62" i="3" s="1"/>
  <c r="Z62" i="3" s="1"/>
  <c r="S62" i="3"/>
  <c r="Q62" i="3"/>
  <c r="T61" i="3"/>
  <c r="X61" i="3" s="1"/>
  <c r="Z61" i="3" s="1"/>
  <c r="S61" i="3"/>
  <c r="Q61" i="3"/>
  <c r="T60" i="3"/>
  <c r="X60" i="3" s="1"/>
  <c r="Z60" i="3" s="1"/>
  <c r="S60" i="3"/>
  <c r="Q60" i="3"/>
  <c r="T59" i="3"/>
  <c r="X59" i="3" s="1"/>
  <c r="Z59" i="3" s="1"/>
  <c r="S59" i="3"/>
  <c r="Q59" i="3"/>
  <c r="T58" i="3"/>
  <c r="X58" i="3" s="1"/>
  <c r="Z58" i="3" s="1"/>
  <c r="S58" i="3"/>
  <c r="Q58" i="3"/>
  <c r="T57" i="3"/>
  <c r="X57" i="3" s="1"/>
  <c r="Z57" i="3" s="1"/>
  <c r="S57" i="3"/>
  <c r="Q57" i="3"/>
  <c r="T56" i="3"/>
  <c r="X56" i="3" s="1"/>
  <c r="Z56" i="3" s="1"/>
  <c r="S56" i="3"/>
  <c r="Q56" i="3"/>
  <c r="T55" i="3"/>
  <c r="X55" i="3" s="1"/>
  <c r="Z55" i="3" s="1"/>
  <c r="S55" i="3"/>
  <c r="Q55" i="3"/>
  <c r="T54" i="3"/>
  <c r="X54" i="3" s="1"/>
  <c r="Z54" i="3" s="1"/>
  <c r="S54" i="3"/>
  <c r="Q54" i="3"/>
  <c r="T53" i="3"/>
  <c r="X53" i="3" s="1"/>
  <c r="Z53" i="3" s="1"/>
  <c r="S53" i="3"/>
  <c r="Q53" i="3"/>
  <c r="T52" i="3"/>
  <c r="X52" i="3" s="1"/>
  <c r="Z52" i="3" s="1"/>
  <c r="S52" i="3"/>
  <c r="Q52" i="3"/>
  <c r="T51" i="3"/>
  <c r="X51" i="3" s="1"/>
  <c r="Z51" i="3" s="1"/>
  <c r="S51" i="3"/>
  <c r="Q51" i="3"/>
  <c r="T50" i="3"/>
  <c r="X50" i="3" s="1"/>
  <c r="Z50" i="3" s="1"/>
  <c r="S50" i="3"/>
  <c r="Q50" i="3"/>
  <c r="T49" i="3"/>
  <c r="X49" i="3" s="1"/>
  <c r="Z49" i="3" s="1"/>
  <c r="S49" i="3"/>
  <c r="Q49" i="3"/>
  <c r="T48" i="3"/>
  <c r="X48" i="3" s="1"/>
  <c r="Z48" i="3" s="1"/>
  <c r="S48" i="3"/>
  <c r="Q48" i="3"/>
  <c r="T47" i="3"/>
  <c r="X47" i="3" s="1"/>
  <c r="Z47" i="3" s="1"/>
  <c r="S47" i="3"/>
  <c r="Q47" i="3"/>
  <c r="T46" i="3"/>
  <c r="X46" i="3" s="1"/>
  <c r="Z46" i="3" s="1"/>
  <c r="S46" i="3"/>
  <c r="Q46" i="3"/>
  <c r="T45" i="3"/>
  <c r="X45" i="3" s="1"/>
  <c r="Z45" i="3" s="1"/>
  <c r="S45" i="3"/>
  <c r="Q45" i="3"/>
  <c r="T44" i="3"/>
  <c r="X44" i="3" s="1"/>
  <c r="Z44" i="3" s="1"/>
  <c r="S44" i="3"/>
  <c r="Q44" i="3"/>
  <c r="T43" i="3"/>
  <c r="X43" i="3" s="1"/>
  <c r="Z43" i="3" s="1"/>
  <c r="S43" i="3"/>
  <c r="Q43" i="3"/>
  <c r="T42" i="3"/>
  <c r="X42" i="3" s="1"/>
  <c r="Z42" i="3" s="1"/>
  <c r="S42" i="3"/>
  <c r="Q42" i="3"/>
  <c r="T41" i="3"/>
  <c r="X41" i="3" s="1"/>
  <c r="Z41" i="3" s="1"/>
  <c r="S41" i="3"/>
  <c r="Q41" i="3"/>
  <c r="T40" i="3"/>
  <c r="X40" i="3" s="1"/>
  <c r="Z40" i="3" s="1"/>
  <c r="S40" i="3"/>
  <c r="Q40" i="3"/>
  <c r="T39" i="3"/>
  <c r="X39" i="3" s="1"/>
  <c r="Z39" i="3" s="1"/>
  <c r="S39" i="3"/>
  <c r="Q39" i="3"/>
  <c r="T38" i="3"/>
  <c r="X38" i="3" s="1"/>
  <c r="Z38" i="3" s="1"/>
  <c r="S38" i="3"/>
  <c r="Q38" i="3"/>
  <c r="T37" i="3"/>
  <c r="X37" i="3" s="1"/>
  <c r="Z37" i="3" s="1"/>
  <c r="S37" i="3"/>
  <c r="Q37" i="3"/>
  <c r="T36" i="3"/>
  <c r="X36" i="3" s="1"/>
  <c r="Z36" i="3" s="1"/>
  <c r="S36" i="3"/>
  <c r="Q36" i="3"/>
  <c r="T35" i="3"/>
  <c r="X35" i="3" s="1"/>
  <c r="Z35" i="3" s="1"/>
  <c r="S35" i="3"/>
  <c r="Q35" i="3"/>
  <c r="T34" i="3"/>
  <c r="X34" i="3" s="1"/>
  <c r="Z34" i="3" s="1"/>
  <c r="S34" i="3"/>
  <c r="Q34" i="3"/>
  <c r="T33" i="3"/>
  <c r="X33" i="3" s="1"/>
  <c r="Z33" i="3" s="1"/>
  <c r="S33" i="3"/>
  <c r="Q33" i="3"/>
  <c r="T32" i="3"/>
  <c r="X32" i="3" s="1"/>
  <c r="Z32" i="3" s="1"/>
  <c r="S32" i="3"/>
  <c r="Q32" i="3"/>
  <c r="T31" i="3"/>
  <c r="X31" i="3" s="1"/>
  <c r="Z31" i="3" s="1"/>
  <c r="S31" i="3"/>
  <c r="Q31" i="3"/>
  <c r="T30" i="3"/>
  <c r="X30" i="3" s="1"/>
  <c r="Z30" i="3" s="1"/>
  <c r="S30" i="3"/>
  <c r="Q30" i="3"/>
  <c r="T29" i="3"/>
  <c r="X29" i="3" s="1"/>
  <c r="Z29" i="3" s="1"/>
  <c r="S29" i="3"/>
  <c r="Q29" i="3"/>
  <c r="T27" i="3"/>
  <c r="X27" i="3" s="1"/>
  <c r="Z27" i="3" s="1"/>
  <c r="S27" i="3"/>
  <c r="Q27" i="3"/>
  <c r="T26" i="3"/>
  <c r="X26" i="3" s="1"/>
  <c r="Z26" i="3" s="1"/>
  <c r="S26" i="3"/>
  <c r="Q26" i="3"/>
  <c r="T25" i="3"/>
  <c r="X25" i="3" s="1"/>
  <c r="Z25" i="3" s="1"/>
  <c r="S25" i="3"/>
  <c r="Q25" i="3"/>
  <c r="T24" i="3"/>
  <c r="X24" i="3" s="1"/>
  <c r="Z24" i="3" s="1"/>
  <c r="S24" i="3"/>
  <c r="Q24" i="3"/>
  <c r="T23" i="3"/>
  <c r="X23" i="3" s="1"/>
  <c r="Z23" i="3" s="1"/>
  <c r="S23" i="3"/>
  <c r="Q23" i="3"/>
  <c r="T22" i="3"/>
  <c r="X22" i="3" s="1"/>
  <c r="Z22" i="3" s="1"/>
  <c r="S22" i="3"/>
  <c r="Q22" i="3"/>
  <c r="T21" i="3"/>
  <c r="X21" i="3" s="1"/>
  <c r="Z21" i="3" s="1"/>
  <c r="S21" i="3"/>
  <c r="Q21" i="3"/>
  <c r="T20" i="3"/>
  <c r="X20" i="3" s="1"/>
  <c r="Z20" i="3" s="1"/>
  <c r="S20" i="3"/>
  <c r="Q20" i="3"/>
  <c r="T19" i="3"/>
  <c r="X19" i="3" s="1"/>
  <c r="Z19" i="3" s="1"/>
  <c r="S19" i="3"/>
  <c r="Q19" i="3"/>
  <c r="T18" i="3"/>
  <c r="X18" i="3" s="1"/>
  <c r="Z18" i="3" s="1"/>
  <c r="S18" i="3"/>
  <c r="Q18" i="3"/>
  <c r="T17" i="3"/>
  <c r="X17" i="3" s="1"/>
  <c r="Z17" i="3" s="1"/>
  <c r="S17" i="3"/>
  <c r="Q17" i="3"/>
  <c r="T16" i="3"/>
  <c r="X16" i="3" s="1"/>
  <c r="Z16" i="3" s="1"/>
  <c r="S16" i="3"/>
  <c r="Q16" i="3"/>
  <c r="T15" i="3"/>
  <c r="X15" i="3" s="1"/>
  <c r="Z15" i="3" s="1"/>
  <c r="S15" i="3"/>
  <c r="Q15" i="3"/>
  <c r="T14" i="3"/>
  <c r="X14" i="3" s="1"/>
  <c r="Z14" i="3" s="1"/>
  <c r="S14" i="3"/>
  <c r="Q14" i="3"/>
  <c r="T13" i="3"/>
  <c r="X13" i="3" s="1"/>
  <c r="Z13" i="3" s="1"/>
  <c r="S13" i="3"/>
  <c r="Q13" i="3"/>
  <c r="T12" i="3"/>
  <c r="X12" i="3" s="1"/>
  <c r="Z12" i="3" s="1"/>
  <c r="S12" i="3"/>
  <c r="Q12" i="3"/>
  <c r="T11" i="3"/>
  <c r="X11" i="3" s="1"/>
  <c r="Z11" i="3" s="1"/>
  <c r="S11" i="3"/>
  <c r="Q11" i="3"/>
  <c r="T10" i="3"/>
  <c r="X10" i="3" s="1"/>
  <c r="Z10" i="3" s="1"/>
  <c r="S10" i="3"/>
  <c r="Q10" i="3"/>
  <c r="T9" i="3"/>
  <c r="X9" i="3" s="1"/>
  <c r="Z9" i="3" s="1"/>
  <c r="S9" i="3"/>
  <c r="Q9" i="3"/>
  <c r="T8" i="3"/>
  <c r="X8" i="3" s="1"/>
  <c r="Z8" i="3" s="1"/>
  <c r="S8" i="3"/>
  <c r="Q8" i="3"/>
  <c r="T7" i="3"/>
  <c r="X7" i="3" s="1"/>
  <c r="Z7" i="3" s="1"/>
  <c r="S7" i="3"/>
  <c r="Q7" i="3"/>
  <c r="T6" i="3"/>
  <c r="X6" i="3" s="1"/>
  <c r="Z6" i="3" s="1"/>
  <c r="S6" i="3"/>
  <c r="Q6" i="3"/>
  <c r="T5" i="3"/>
  <c r="X5" i="3" s="1"/>
  <c r="Z5" i="3" s="1"/>
  <c r="S5" i="3"/>
  <c r="Q5" i="3"/>
  <c r="T4" i="3"/>
  <c r="X4" i="3" s="1"/>
  <c r="Z4" i="3" s="1"/>
  <c r="S4" i="3"/>
  <c r="Q4" i="3"/>
  <c r="T3" i="3"/>
  <c r="X3" i="3" s="1"/>
  <c r="Z3" i="3" s="1"/>
  <c r="S3" i="3"/>
  <c r="Q3" i="3"/>
  <c r="T2" i="3"/>
  <c r="X2" i="3" s="1"/>
  <c r="Z2" i="3" s="1"/>
  <c r="S2" i="3"/>
  <c r="Q2" i="3"/>
  <c r="T200" i="2"/>
  <c r="X200" i="2" s="1"/>
  <c r="Z200" i="2" s="1"/>
  <c r="S200" i="2"/>
  <c r="Q200" i="2"/>
  <c r="T199" i="2"/>
  <c r="X199" i="2" s="1"/>
  <c r="Z199" i="2" s="1"/>
  <c r="S199" i="2"/>
  <c r="Q199" i="2"/>
  <c r="T198" i="2"/>
  <c r="X198" i="2" s="1"/>
  <c r="Z198" i="2" s="1"/>
  <c r="S198" i="2"/>
  <c r="Q198" i="2"/>
  <c r="T197" i="2"/>
  <c r="X197" i="2" s="1"/>
  <c r="Z197" i="2" s="1"/>
  <c r="S197" i="2"/>
  <c r="Q197" i="2"/>
  <c r="T196" i="2"/>
  <c r="X196" i="2" s="1"/>
  <c r="Z196" i="2" s="1"/>
  <c r="S196" i="2"/>
  <c r="Q196" i="2"/>
  <c r="T195" i="2"/>
  <c r="X195" i="2" s="1"/>
  <c r="Z195" i="2" s="1"/>
  <c r="S195" i="2"/>
  <c r="Q195" i="2"/>
  <c r="T194" i="2"/>
  <c r="X194" i="2" s="1"/>
  <c r="Z194" i="2" s="1"/>
  <c r="S194" i="2"/>
  <c r="Q194" i="2"/>
  <c r="T193" i="2"/>
  <c r="X193" i="2" s="1"/>
  <c r="Z193" i="2" s="1"/>
  <c r="S193" i="2"/>
  <c r="Q193" i="2"/>
  <c r="T192" i="2"/>
  <c r="X192" i="2" s="1"/>
  <c r="Z192" i="2" s="1"/>
  <c r="S192" i="2"/>
  <c r="Q192" i="2"/>
  <c r="T191" i="2"/>
  <c r="X191" i="2" s="1"/>
  <c r="Z191" i="2" s="1"/>
  <c r="S191" i="2"/>
  <c r="Q191" i="2"/>
  <c r="T190" i="2"/>
  <c r="X190" i="2" s="1"/>
  <c r="Z190" i="2" s="1"/>
  <c r="S190" i="2"/>
  <c r="Q190" i="2"/>
  <c r="T189" i="2"/>
  <c r="X189" i="2" s="1"/>
  <c r="Z189" i="2" s="1"/>
  <c r="S189" i="2"/>
  <c r="Q189" i="2"/>
  <c r="T188" i="2"/>
  <c r="X188" i="2" s="1"/>
  <c r="Z188" i="2" s="1"/>
  <c r="S188" i="2"/>
  <c r="Q188" i="2"/>
  <c r="T187" i="2"/>
  <c r="X187" i="2" s="1"/>
  <c r="Z187" i="2" s="1"/>
  <c r="S187" i="2"/>
  <c r="Q187" i="2"/>
  <c r="T186" i="2"/>
  <c r="X186" i="2" s="1"/>
  <c r="Z186" i="2" s="1"/>
  <c r="S186" i="2"/>
  <c r="Q186" i="2"/>
  <c r="T185" i="2"/>
  <c r="X185" i="2" s="1"/>
  <c r="Z185" i="2" s="1"/>
  <c r="S185" i="2"/>
  <c r="Q185" i="2"/>
  <c r="T184" i="2"/>
  <c r="X184" i="2" s="1"/>
  <c r="Z184" i="2" s="1"/>
  <c r="S184" i="2"/>
  <c r="Q184" i="2"/>
  <c r="T183" i="2"/>
  <c r="X183" i="2" s="1"/>
  <c r="Z183" i="2" s="1"/>
  <c r="S183" i="2"/>
  <c r="Q183" i="2"/>
  <c r="T182" i="2"/>
  <c r="X182" i="2" s="1"/>
  <c r="Z182" i="2" s="1"/>
  <c r="S182" i="2"/>
  <c r="Q182" i="2"/>
  <c r="T181" i="2"/>
  <c r="X181" i="2" s="1"/>
  <c r="Z181" i="2" s="1"/>
  <c r="S181" i="2"/>
  <c r="Q181" i="2"/>
  <c r="T180" i="2"/>
  <c r="X180" i="2" s="1"/>
  <c r="Z180" i="2" s="1"/>
  <c r="S180" i="2"/>
  <c r="Q180" i="2"/>
  <c r="T179" i="2"/>
  <c r="X179" i="2" s="1"/>
  <c r="Z179" i="2" s="1"/>
  <c r="S179" i="2"/>
  <c r="Q179" i="2"/>
  <c r="T178" i="2"/>
  <c r="X178" i="2" s="1"/>
  <c r="Z178" i="2" s="1"/>
  <c r="S178" i="2"/>
  <c r="Q178" i="2"/>
  <c r="T177" i="2"/>
  <c r="X177" i="2" s="1"/>
  <c r="Z177" i="2" s="1"/>
  <c r="S177" i="2"/>
  <c r="Q177" i="2"/>
  <c r="T176" i="2"/>
  <c r="X176" i="2" s="1"/>
  <c r="Z176" i="2" s="1"/>
  <c r="S176" i="2"/>
  <c r="Q176" i="2"/>
  <c r="T175" i="2"/>
  <c r="X175" i="2" s="1"/>
  <c r="Z175" i="2" s="1"/>
  <c r="S175" i="2"/>
  <c r="Q175" i="2"/>
  <c r="T174" i="2"/>
  <c r="X174" i="2" s="1"/>
  <c r="Z174" i="2" s="1"/>
  <c r="S174" i="2"/>
  <c r="Q174" i="2"/>
  <c r="T173" i="2"/>
  <c r="X173" i="2" s="1"/>
  <c r="Z173" i="2" s="1"/>
  <c r="S173" i="2"/>
  <c r="Q173" i="2"/>
  <c r="T172" i="2"/>
  <c r="X172" i="2" s="1"/>
  <c r="Z172" i="2" s="1"/>
  <c r="S172" i="2"/>
  <c r="Q172" i="2"/>
  <c r="T171" i="2"/>
  <c r="X171" i="2" s="1"/>
  <c r="Z171" i="2" s="1"/>
  <c r="S171" i="2"/>
  <c r="Q171" i="2"/>
  <c r="T170" i="2"/>
  <c r="X170" i="2" s="1"/>
  <c r="Z170" i="2" s="1"/>
  <c r="S170" i="2"/>
  <c r="Q170" i="2"/>
  <c r="T169" i="2"/>
  <c r="X169" i="2" s="1"/>
  <c r="Z169" i="2" s="1"/>
  <c r="S169" i="2"/>
  <c r="Q169" i="2"/>
  <c r="T168" i="2"/>
  <c r="X168" i="2" s="1"/>
  <c r="Z168" i="2" s="1"/>
  <c r="S168" i="2"/>
  <c r="Q168" i="2"/>
  <c r="T167" i="2"/>
  <c r="X167" i="2" s="1"/>
  <c r="Z167" i="2" s="1"/>
  <c r="S167" i="2"/>
  <c r="Q167" i="2"/>
  <c r="T166" i="2"/>
  <c r="X166" i="2" s="1"/>
  <c r="Z166" i="2" s="1"/>
  <c r="S166" i="2"/>
  <c r="Q166" i="2"/>
  <c r="T165" i="2"/>
  <c r="X165" i="2" s="1"/>
  <c r="Z165" i="2" s="1"/>
  <c r="S165" i="2"/>
  <c r="Q165" i="2"/>
  <c r="T164" i="2"/>
  <c r="X164" i="2" s="1"/>
  <c r="Z164" i="2" s="1"/>
  <c r="S164" i="2"/>
  <c r="Q164" i="2"/>
  <c r="T163" i="2"/>
  <c r="X163" i="2" s="1"/>
  <c r="Z163" i="2" s="1"/>
  <c r="S163" i="2"/>
  <c r="Q163" i="2"/>
  <c r="T162" i="2"/>
  <c r="X162" i="2" s="1"/>
  <c r="Z162" i="2" s="1"/>
  <c r="S162" i="2"/>
  <c r="Q162" i="2"/>
  <c r="T161" i="2"/>
  <c r="X161" i="2" s="1"/>
  <c r="Z161" i="2" s="1"/>
  <c r="S161" i="2"/>
  <c r="Q161" i="2"/>
  <c r="T160" i="2"/>
  <c r="X160" i="2" s="1"/>
  <c r="Z160" i="2" s="1"/>
  <c r="S160" i="2"/>
  <c r="Q160" i="2"/>
  <c r="T159" i="2"/>
  <c r="X159" i="2" s="1"/>
  <c r="Z159" i="2" s="1"/>
  <c r="S159" i="2"/>
  <c r="Q159" i="2"/>
  <c r="T158" i="2"/>
  <c r="X158" i="2" s="1"/>
  <c r="Z158" i="2" s="1"/>
  <c r="S158" i="2"/>
  <c r="Q158" i="2"/>
  <c r="T157" i="2"/>
  <c r="X157" i="2" s="1"/>
  <c r="Z157" i="2" s="1"/>
  <c r="S157" i="2"/>
  <c r="Q157" i="2"/>
  <c r="T156" i="2"/>
  <c r="X156" i="2" s="1"/>
  <c r="Z156" i="2" s="1"/>
  <c r="S156" i="2"/>
  <c r="Q156" i="2"/>
  <c r="T155" i="2"/>
  <c r="X155" i="2" s="1"/>
  <c r="Z155" i="2" s="1"/>
  <c r="S155" i="2"/>
  <c r="Q155" i="2"/>
  <c r="T154" i="2"/>
  <c r="X154" i="2" s="1"/>
  <c r="Z154" i="2" s="1"/>
  <c r="S154" i="2"/>
  <c r="Q154" i="2"/>
  <c r="T153" i="2"/>
  <c r="X153" i="2" s="1"/>
  <c r="Z153" i="2" s="1"/>
  <c r="S153" i="2"/>
  <c r="Q153" i="2"/>
  <c r="T152" i="2"/>
  <c r="X152" i="2" s="1"/>
  <c r="Z152" i="2" s="1"/>
  <c r="S152" i="2"/>
  <c r="Q152" i="2"/>
  <c r="T151" i="2"/>
  <c r="X151" i="2" s="1"/>
  <c r="Z151" i="2" s="1"/>
  <c r="S151" i="2"/>
  <c r="Q151" i="2"/>
  <c r="T150" i="2"/>
  <c r="X150" i="2" s="1"/>
  <c r="Z150" i="2" s="1"/>
  <c r="S150" i="2"/>
  <c r="Q150" i="2"/>
  <c r="T149" i="2"/>
  <c r="X149" i="2" s="1"/>
  <c r="Z149" i="2" s="1"/>
  <c r="S149" i="2"/>
  <c r="Q149" i="2"/>
  <c r="T148" i="2"/>
  <c r="X148" i="2" s="1"/>
  <c r="Z148" i="2" s="1"/>
  <c r="S148" i="2"/>
  <c r="Q148" i="2"/>
  <c r="T147" i="2"/>
  <c r="X147" i="2" s="1"/>
  <c r="Z147" i="2" s="1"/>
  <c r="S147" i="2"/>
  <c r="Q147" i="2"/>
  <c r="T146" i="2"/>
  <c r="X146" i="2" s="1"/>
  <c r="Z146" i="2" s="1"/>
  <c r="S146" i="2"/>
  <c r="Q146" i="2"/>
  <c r="T145" i="2"/>
  <c r="X145" i="2" s="1"/>
  <c r="Z145" i="2" s="1"/>
  <c r="S145" i="2"/>
  <c r="Q145" i="2"/>
  <c r="T144" i="2"/>
  <c r="X144" i="2" s="1"/>
  <c r="Z144" i="2" s="1"/>
  <c r="S144" i="2"/>
  <c r="Q144" i="2"/>
  <c r="T143" i="2"/>
  <c r="X143" i="2" s="1"/>
  <c r="Z143" i="2" s="1"/>
  <c r="S143" i="2"/>
  <c r="Q143" i="2"/>
  <c r="T142" i="2"/>
  <c r="X142" i="2" s="1"/>
  <c r="Z142" i="2" s="1"/>
  <c r="S142" i="2"/>
  <c r="Q142" i="2"/>
  <c r="T141" i="2"/>
  <c r="X141" i="2" s="1"/>
  <c r="Z141" i="2" s="1"/>
  <c r="S141" i="2"/>
  <c r="Q141" i="2"/>
  <c r="T140" i="2"/>
  <c r="X140" i="2" s="1"/>
  <c r="Z140" i="2" s="1"/>
  <c r="S140" i="2"/>
  <c r="Q140" i="2"/>
  <c r="T139" i="2"/>
  <c r="X139" i="2" s="1"/>
  <c r="Z139" i="2" s="1"/>
  <c r="S139" i="2"/>
  <c r="Q139" i="2"/>
  <c r="T138" i="2"/>
  <c r="X138" i="2" s="1"/>
  <c r="Z138" i="2" s="1"/>
  <c r="S138" i="2"/>
  <c r="Q138" i="2"/>
  <c r="T137" i="2"/>
  <c r="X137" i="2" s="1"/>
  <c r="Z137" i="2" s="1"/>
  <c r="S137" i="2"/>
  <c r="Q137" i="2"/>
  <c r="T136" i="2"/>
  <c r="X136" i="2" s="1"/>
  <c r="Z136" i="2" s="1"/>
  <c r="S136" i="2"/>
  <c r="Q136" i="2"/>
  <c r="T135" i="2"/>
  <c r="X135" i="2" s="1"/>
  <c r="Z135" i="2" s="1"/>
  <c r="S135" i="2"/>
  <c r="Q135" i="2"/>
  <c r="T134" i="2"/>
  <c r="X134" i="2" s="1"/>
  <c r="Z134" i="2" s="1"/>
  <c r="S134" i="2"/>
  <c r="Q134" i="2"/>
  <c r="T133" i="2"/>
  <c r="X133" i="2" s="1"/>
  <c r="Z133" i="2" s="1"/>
  <c r="S133" i="2"/>
  <c r="Q133" i="2"/>
  <c r="T132" i="2"/>
  <c r="X132" i="2" s="1"/>
  <c r="Z132" i="2" s="1"/>
  <c r="S132" i="2"/>
  <c r="Q132" i="2"/>
  <c r="T131" i="2"/>
  <c r="X131" i="2" s="1"/>
  <c r="Z131" i="2" s="1"/>
  <c r="S131" i="2"/>
  <c r="Q131" i="2"/>
  <c r="T130" i="2"/>
  <c r="X130" i="2" s="1"/>
  <c r="Z130" i="2" s="1"/>
  <c r="S130" i="2"/>
  <c r="Q130" i="2"/>
  <c r="T129" i="2"/>
  <c r="X129" i="2" s="1"/>
  <c r="Z129" i="2" s="1"/>
  <c r="S129" i="2"/>
  <c r="Q129" i="2"/>
  <c r="T128" i="2"/>
  <c r="X128" i="2" s="1"/>
  <c r="Z128" i="2" s="1"/>
  <c r="S128" i="2"/>
  <c r="Q128" i="2"/>
  <c r="T127" i="2"/>
  <c r="X127" i="2" s="1"/>
  <c r="Z127" i="2" s="1"/>
  <c r="S127" i="2"/>
  <c r="Q127" i="2"/>
  <c r="T126" i="2"/>
  <c r="X126" i="2" s="1"/>
  <c r="Z126" i="2" s="1"/>
  <c r="S126" i="2"/>
  <c r="Q126" i="2"/>
  <c r="T125" i="2"/>
  <c r="X125" i="2" s="1"/>
  <c r="Z125" i="2" s="1"/>
  <c r="S125" i="2"/>
  <c r="Q125" i="2"/>
  <c r="T124" i="2"/>
  <c r="X124" i="2" s="1"/>
  <c r="Z124" i="2" s="1"/>
  <c r="S124" i="2"/>
  <c r="Q124" i="2"/>
  <c r="T123" i="2"/>
  <c r="X123" i="2" s="1"/>
  <c r="Z123" i="2" s="1"/>
  <c r="S123" i="2"/>
  <c r="Q123" i="2"/>
  <c r="T122" i="2"/>
  <c r="X122" i="2" s="1"/>
  <c r="Z122" i="2" s="1"/>
  <c r="S122" i="2"/>
  <c r="Q122" i="2"/>
  <c r="T121" i="2"/>
  <c r="X121" i="2" s="1"/>
  <c r="Z121" i="2" s="1"/>
  <c r="S121" i="2"/>
  <c r="Q121" i="2"/>
  <c r="T120" i="2"/>
  <c r="X120" i="2" s="1"/>
  <c r="Z120" i="2" s="1"/>
  <c r="S120" i="2"/>
  <c r="Q120" i="2"/>
  <c r="T119" i="2"/>
  <c r="X119" i="2" s="1"/>
  <c r="Z119" i="2" s="1"/>
  <c r="S119" i="2"/>
  <c r="Q119" i="2"/>
  <c r="T118" i="2"/>
  <c r="X118" i="2" s="1"/>
  <c r="Z118" i="2" s="1"/>
  <c r="S118" i="2"/>
  <c r="Q118" i="2"/>
  <c r="T117" i="2"/>
  <c r="X117" i="2" s="1"/>
  <c r="Z117" i="2" s="1"/>
  <c r="S117" i="2"/>
  <c r="Q117" i="2"/>
  <c r="T116" i="2"/>
  <c r="X116" i="2" s="1"/>
  <c r="Z116" i="2" s="1"/>
  <c r="S116" i="2"/>
  <c r="Q116" i="2"/>
  <c r="T115" i="2"/>
  <c r="X115" i="2" s="1"/>
  <c r="Z115" i="2" s="1"/>
  <c r="S115" i="2"/>
  <c r="Q115" i="2"/>
  <c r="T114" i="2"/>
  <c r="X114" i="2" s="1"/>
  <c r="Z114" i="2" s="1"/>
  <c r="S114" i="2"/>
  <c r="Q114" i="2"/>
  <c r="T113" i="2"/>
  <c r="X113" i="2" s="1"/>
  <c r="Z113" i="2" s="1"/>
  <c r="S113" i="2"/>
  <c r="Q113" i="2"/>
  <c r="T112" i="2"/>
  <c r="X112" i="2" s="1"/>
  <c r="Z112" i="2" s="1"/>
  <c r="S112" i="2"/>
  <c r="Q112" i="2"/>
  <c r="T111" i="2"/>
  <c r="X111" i="2" s="1"/>
  <c r="Z111" i="2" s="1"/>
  <c r="S111" i="2"/>
  <c r="Q111" i="2"/>
  <c r="T110" i="2"/>
  <c r="X110" i="2" s="1"/>
  <c r="Z110" i="2" s="1"/>
  <c r="S110" i="2"/>
  <c r="Q110" i="2"/>
  <c r="T109" i="2"/>
  <c r="X109" i="2" s="1"/>
  <c r="Z109" i="2" s="1"/>
  <c r="S109" i="2"/>
  <c r="Q109" i="2"/>
  <c r="T108" i="2"/>
  <c r="X108" i="2" s="1"/>
  <c r="Z108" i="2" s="1"/>
  <c r="S108" i="2"/>
  <c r="Q108" i="2"/>
  <c r="T107" i="2"/>
  <c r="X107" i="2" s="1"/>
  <c r="Z107" i="2" s="1"/>
  <c r="S107" i="2"/>
  <c r="Q107" i="2"/>
  <c r="T106" i="2"/>
  <c r="X106" i="2" s="1"/>
  <c r="Z106" i="2" s="1"/>
  <c r="S106" i="2"/>
  <c r="Q106" i="2"/>
  <c r="T105" i="2"/>
  <c r="X105" i="2" s="1"/>
  <c r="Z105" i="2" s="1"/>
  <c r="S105" i="2"/>
  <c r="Q105" i="2"/>
  <c r="T104" i="2"/>
  <c r="X104" i="2" s="1"/>
  <c r="Z104" i="2" s="1"/>
  <c r="S104" i="2"/>
  <c r="Q104" i="2"/>
  <c r="T103" i="2"/>
  <c r="X103" i="2" s="1"/>
  <c r="Z103" i="2" s="1"/>
  <c r="S103" i="2"/>
  <c r="Q103" i="2"/>
  <c r="T102" i="2"/>
  <c r="X102" i="2" s="1"/>
  <c r="Z102" i="2" s="1"/>
  <c r="S102" i="2"/>
  <c r="Q102" i="2"/>
  <c r="T101" i="2"/>
  <c r="X101" i="2" s="1"/>
  <c r="Z101" i="2" s="1"/>
  <c r="S101" i="2"/>
  <c r="Q101" i="2"/>
  <c r="T100" i="2"/>
  <c r="X100" i="2" s="1"/>
  <c r="Z100" i="2" s="1"/>
  <c r="S100" i="2"/>
  <c r="Q100" i="2"/>
  <c r="T99" i="2"/>
  <c r="X99" i="2" s="1"/>
  <c r="Z99" i="2" s="1"/>
  <c r="S99" i="2"/>
  <c r="Q99" i="2"/>
  <c r="T98" i="2"/>
  <c r="X98" i="2" s="1"/>
  <c r="Z98" i="2" s="1"/>
  <c r="S98" i="2"/>
  <c r="Q98" i="2"/>
  <c r="T97" i="2"/>
  <c r="X97" i="2" s="1"/>
  <c r="Z97" i="2" s="1"/>
  <c r="S97" i="2"/>
  <c r="Q97" i="2"/>
  <c r="T96" i="2"/>
  <c r="X96" i="2" s="1"/>
  <c r="Z96" i="2" s="1"/>
  <c r="S96" i="2"/>
  <c r="Q96" i="2"/>
  <c r="T95" i="2"/>
  <c r="X95" i="2" s="1"/>
  <c r="Z95" i="2" s="1"/>
  <c r="S95" i="2"/>
  <c r="Q95" i="2"/>
  <c r="T94" i="2"/>
  <c r="X94" i="2" s="1"/>
  <c r="Z94" i="2" s="1"/>
  <c r="S94" i="2"/>
  <c r="Q94" i="2"/>
  <c r="T93" i="2"/>
  <c r="X93" i="2" s="1"/>
  <c r="Z93" i="2" s="1"/>
  <c r="S93" i="2"/>
  <c r="Q93" i="2"/>
  <c r="T92" i="2"/>
  <c r="X92" i="2" s="1"/>
  <c r="Z92" i="2" s="1"/>
  <c r="S92" i="2"/>
  <c r="Q92" i="2"/>
  <c r="T91" i="2"/>
  <c r="X91" i="2" s="1"/>
  <c r="Z91" i="2" s="1"/>
  <c r="S91" i="2"/>
  <c r="Q91" i="2"/>
  <c r="T90" i="2"/>
  <c r="X90" i="2" s="1"/>
  <c r="Z90" i="2" s="1"/>
  <c r="S90" i="2"/>
  <c r="Q90" i="2"/>
  <c r="T89" i="2"/>
  <c r="X89" i="2" s="1"/>
  <c r="Z89" i="2" s="1"/>
  <c r="S89" i="2"/>
  <c r="Q89" i="2"/>
  <c r="T88" i="2"/>
  <c r="X88" i="2" s="1"/>
  <c r="Z88" i="2" s="1"/>
  <c r="S88" i="2"/>
  <c r="Q88" i="2"/>
  <c r="T87" i="2"/>
  <c r="X87" i="2" s="1"/>
  <c r="Z87" i="2" s="1"/>
  <c r="S87" i="2"/>
  <c r="Q87" i="2"/>
  <c r="T86" i="2"/>
  <c r="X86" i="2" s="1"/>
  <c r="Z86" i="2" s="1"/>
  <c r="S86" i="2"/>
  <c r="Q86" i="2"/>
  <c r="T85" i="2"/>
  <c r="X85" i="2" s="1"/>
  <c r="Z85" i="2" s="1"/>
  <c r="S85" i="2"/>
  <c r="Q85" i="2"/>
  <c r="T84" i="2"/>
  <c r="X84" i="2" s="1"/>
  <c r="Z84" i="2" s="1"/>
  <c r="S84" i="2"/>
  <c r="Q84" i="2"/>
  <c r="T83" i="2"/>
  <c r="X83" i="2" s="1"/>
  <c r="Z83" i="2" s="1"/>
  <c r="S83" i="2"/>
  <c r="Q83" i="2"/>
  <c r="T82" i="2"/>
  <c r="X82" i="2" s="1"/>
  <c r="Z82" i="2" s="1"/>
  <c r="S82" i="2"/>
  <c r="Q82" i="2"/>
  <c r="T81" i="2"/>
  <c r="X81" i="2" s="1"/>
  <c r="Z81" i="2" s="1"/>
  <c r="S81" i="2"/>
  <c r="Q81" i="2"/>
  <c r="T80" i="2"/>
  <c r="X80" i="2" s="1"/>
  <c r="Z80" i="2" s="1"/>
  <c r="S80" i="2"/>
  <c r="Q80" i="2"/>
  <c r="T79" i="2"/>
  <c r="X79" i="2" s="1"/>
  <c r="Z79" i="2" s="1"/>
  <c r="S79" i="2"/>
  <c r="Q79" i="2"/>
  <c r="T78" i="2"/>
  <c r="X78" i="2" s="1"/>
  <c r="Z78" i="2" s="1"/>
  <c r="S78" i="2"/>
  <c r="Q78" i="2"/>
  <c r="T77" i="2"/>
  <c r="X77" i="2" s="1"/>
  <c r="Z77" i="2" s="1"/>
  <c r="S77" i="2"/>
  <c r="Q77" i="2"/>
  <c r="T76" i="2"/>
  <c r="X76" i="2" s="1"/>
  <c r="Z76" i="2" s="1"/>
  <c r="S76" i="2"/>
  <c r="Q76" i="2"/>
  <c r="T75" i="2"/>
  <c r="X75" i="2" s="1"/>
  <c r="Z75" i="2" s="1"/>
  <c r="S75" i="2"/>
  <c r="Q75" i="2"/>
  <c r="T74" i="2"/>
  <c r="X74" i="2" s="1"/>
  <c r="Z74" i="2" s="1"/>
  <c r="S74" i="2"/>
  <c r="Q74" i="2"/>
  <c r="T73" i="2"/>
  <c r="X73" i="2" s="1"/>
  <c r="Z73" i="2" s="1"/>
  <c r="S73" i="2"/>
  <c r="Q73" i="2"/>
  <c r="T72" i="2"/>
  <c r="X72" i="2" s="1"/>
  <c r="Z72" i="2" s="1"/>
  <c r="S72" i="2"/>
  <c r="Q72" i="2"/>
  <c r="T71" i="2"/>
  <c r="X71" i="2" s="1"/>
  <c r="Z71" i="2" s="1"/>
  <c r="S71" i="2"/>
  <c r="Q71" i="2"/>
  <c r="T70" i="2"/>
  <c r="X70" i="2" s="1"/>
  <c r="Z70" i="2" s="1"/>
  <c r="S70" i="2"/>
  <c r="Q70" i="2"/>
  <c r="T69" i="2"/>
  <c r="X69" i="2" s="1"/>
  <c r="Z69" i="2" s="1"/>
  <c r="S69" i="2"/>
  <c r="Q69" i="2"/>
  <c r="T68" i="2"/>
  <c r="X68" i="2" s="1"/>
  <c r="Z68" i="2" s="1"/>
  <c r="S68" i="2"/>
  <c r="Q68" i="2"/>
  <c r="T67" i="2"/>
  <c r="X67" i="2" s="1"/>
  <c r="Z67" i="2" s="1"/>
  <c r="S67" i="2"/>
  <c r="Q67" i="2"/>
  <c r="T66" i="2"/>
  <c r="X66" i="2" s="1"/>
  <c r="Z66" i="2" s="1"/>
  <c r="S66" i="2"/>
  <c r="Q66" i="2"/>
  <c r="T65" i="2"/>
  <c r="X65" i="2" s="1"/>
  <c r="Z65" i="2" s="1"/>
  <c r="S65" i="2"/>
  <c r="Q65" i="2"/>
  <c r="T64" i="2"/>
  <c r="X64" i="2" s="1"/>
  <c r="Z64" i="2" s="1"/>
  <c r="S64" i="2"/>
  <c r="Q64" i="2"/>
  <c r="T63" i="2"/>
  <c r="X63" i="2" s="1"/>
  <c r="Z63" i="2" s="1"/>
  <c r="S63" i="2"/>
  <c r="Q63" i="2"/>
  <c r="T62" i="2"/>
  <c r="X62" i="2" s="1"/>
  <c r="Z62" i="2" s="1"/>
  <c r="S62" i="2"/>
  <c r="Q62" i="2"/>
  <c r="T61" i="2"/>
  <c r="X61" i="2" s="1"/>
  <c r="Z61" i="2" s="1"/>
  <c r="S61" i="2"/>
  <c r="Q61" i="2"/>
  <c r="T60" i="2"/>
  <c r="X60" i="2" s="1"/>
  <c r="Z60" i="2" s="1"/>
  <c r="S60" i="2"/>
  <c r="Q60" i="2"/>
  <c r="T59" i="2"/>
  <c r="X59" i="2" s="1"/>
  <c r="Z59" i="2" s="1"/>
  <c r="S59" i="2"/>
  <c r="Q59" i="2"/>
  <c r="T58" i="2"/>
  <c r="X58" i="2" s="1"/>
  <c r="Z58" i="2" s="1"/>
  <c r="S58" i="2"/>
  <c r="Q58" i="2"/>
  <c r="T57" i="2"/>
  <c r="X57" i="2" s="1"/>
  <c r="Z57" i="2" s="1"/>
  <c r="S57" i="2"/>
  <c r="Q57" i="2"/>
  <c r="T56" i="2"/>
  <c r="X56" i="2" s="1"/>
  <c r="Z56" i="2" s="1"/>
  <c r="S56" i="2"/>
  <c r="Q56" i="2"/>
  <c r="T55" i="2"/>
  <c r="X55" i="2" s="1"/>
  <c r="Z55" i="2" s="1"/>
  <c r="S55" i="2"/>
  <c r="Q55" i="2"/>
  <c r="T54" i="2"/>
  <c r="X54" i="2" s="1"/>
  <c r="Z54" i="2" s="1"/>
  <c r="S54" i="2"/>
  <c r="Q54" i="2"/>
  <c r="T53" i="2"/>
  <c r="X53" i="2" s="1"/>
  <c r="Z53" i="2" s="1"/>
  <c r="S53" i="2"/>
  <c r="Q53" i="2"/>
  <c r="T52" i="2"/>
  <c r="X52" i="2" s="1"/>
  <c r="Z52" i="2" s="1"/>
  <c r="S52" i="2"/>
  <c r="Q52" i="2"/>
  <c r="T51" i="2"/>
  <c r="X51" i="2" s="1"/>
  <c r="Z51" i="2" s="1"/>
  <c r="S51" i="2"/>
  <c r="Q51" i="2"/>
  <c r="T50" i="2"/>
  <c r="X50" i="2" s="1"/>
  <c r="Z50" i="2" s="1"/>
  <c r="S50" i="2"/>
  <c r="Q50" i="2"/>
  <c r="T49" i="2"/>
  <c r="X49" i="2" s="1"/>
  <c r="Z49" i="2" s="1"/>
  <c r="S49" i="2"/>
  <c r="Q49" i="2"/>
  <c r="T48" i="2"/>
  <c r="X48" i="2" s="1"/>
  <c r="Z48" i="2" s="1"/>
  <c r="S48" i="2"/>
  <c r="Q48" i="2"/>
  <c r="T47" i="2"/>
  <c r="X47" i="2" s="1"/>
  <c r="Z47" i="2" s="1"/>
  <c r="S47" i="2"/>
  <c r="Q47" i="2"/>
  <c r="T46" i="2"/>
  <c r="X46" i="2" s="1"/>
  <c r="Z46" i="2" s="1"/>
  <c r="S46" i="2"/>
  <c r="Q46" i="2"/>
  <c r="T45" i="2"/>
  <c r="X45" i="2" s="1"/>
  <c r="Z45" i="2" s="1"/>
  <c r="S45" i="2"/>
  <c r="Q45" i="2"/>
  <c r="T44" i="2"/>
  <c r="X44" i="2" s="1"/>
  <c r="Z44" i="2" s="1"/>
  <c r="S44" i="2"/>
  <c r="Q44" i="2"/>
  <c r="T43" i="2"/>
  <c r="X43" i="2" s="1"/>
  <c r="Z43" i="2" s="1"/>
  <c r="S43" i="2"/>
  <c r="Q43" i="2"/>
  <c r="T42" i="2"/>
  <c r="X42" i="2" s="1"/>
  <c r="Z42" i="2" s="1"/>
  <c r="S42" i="2"/>
  <c r="Q42" i="2"/>
  <c r="T41" i="2"/>
  <c r="X41" i="2" s="1"/>
  <c r="Z41" i="2" s="1"/>
  <c r="S41" i="2"/>
  <c r="Q41" i="2"/>
  <c r="T40" i="2"/>
  <c r="X40" i="2" s="1"/>
  <c r="Z40" i="2" s="1"/>
  <c r="S40" i="2"/>
  <c r="Q40" i="2"/>
  <c r="T39" i="2"/>
  <c r="X39" i="2" s="1"/>
  <c r="Z39" i="2" s="1"/>
  <c r="S39" i="2"/>
  <c r="Q39" i="2"/>
  <c r="T38" i="2"/>
  <c r="X38" i="2" s="1"/>
  <c r="Z38" i="2" s="1"/>
  <c r="S38" i="2"/>
  <c r="Q38" i="2"/>
  <c r="T37" i="2"/>
  <c r="X37" i="2" s="1"/>
  <c r="Z37" i="2" s="1"/>
  <c r="S37" i="2"/>
  <c r="Q37" i="2"/>
  <c r="T36" i="2"/>
  <c r="X36" i="2" s="1"/>
  <c r="Z36" i="2" s="1"/>
  <c r="S36" i="2"/>
  <c r="Q36" i="2"/>
  <c r="T35" i="2"/>
  <c r="X35" i="2" s="1"/>
  <c r="Z35" i="2" s="1"/>
  <c r="S35" i="2"/>
  <c r="Q35" i="2"/>
  <c r="T34" i="2"/>
  <c r="X34" i="2" s="1"/>
  <c r="Z34" i="2" s="1"/>
  <c r="S34" i="2"/>
  <c r="Q34" i="2"/>
  <c r="T33" i="2"/>
  <c r="X33" i="2" s="1"/>
  <c r="Z33" i="2" s="1"/>
  <c r="S33" i="2"/>
  <c r="Q33" i="2"/>
  <c r="T32" i="2"/>
  <c r="X32" i="2" s="1"/>
  <c r="Z32" i="2" s="1"/>
  <c r="S32" i="2"/>
  <c r="Q32" i="2"/>
  <c r="T31" i="2"/>
  <c r="X31" i="2" s="1"/>
  <c r="Z31" i="2" s="1"/>
  <c r="S31" i="2"/>
  <c r="Q31" i="2"/>
  <c r="T30" i="2"/>
  <c r="X30" i="2" s="1"/>
  <c r="Z30" i="2" s="1"/>
  <c r="S30" i="2"/>
  <c r="Q30" i="2"/>
  <c r="T29" i="2"/>
  <c r="X29" i="2" s="1"/>
  <c r="Z29" i="2" s="1"/>
  <c r="S29" i="2"/>
  <c r="Q29" i="2"/>
  <c r="T28" i="2"/>
  <c r="X28" i="2" s="1"/>
  <c r="Z28" i="2" s="1"/>
  <c r="S28" i="2"/>
  <c r="Q28" i="2"/>
  <c r="T27" i="2"/>
  <c r="X27" i="2" s="1"/>
  <c r="Z27" i="2" s="1"/>
  <c r="S27" i="2"/>
  <c r="Q27" i="2"/>
  <c r="T26" i="2"/>
  <c r="X26" i="2" s="1"/>
  <c r="Z26" i="2" s="1"/>
  <c r="S26" i="2"/>
  <c r="Q26" i="2"/>
  <c r="T25" i="2"/>
  <c r="X25" i="2" s="1"/>
  <c r="Z25" i="2" s="1"/>
  <c r="S25" i="2"/>
  <c r="Q25" i="2"/>
  <c r="T24" i="2"/>
  <c r="X24" i="2" s="1"/>
  <c r="Z24" i="2" s="1"/>
  <c r="S24" i="2"/>
  <c r="Q24" i="2"/>
  <c r="T23" i="2"/>
  <c r="X23" i="2" s="1"/>
  <c r="Z23" i="2" s="1"/>
  <c r="S23" i="2"/>
  <c r="Q23" i="2"/>
  <c r="T22" i="2"/>
  <c r="X22" i="2" s="1"/>
  <c r="Z22" i="2" s="1"/>
  <c r="S22" i="2"/>
  <c r="Q22" i="2"/>
  <c r="T21" i="2"/>
  <c r="X21" i="2" s="1"/>
  <c r="Z21" i="2" s="1"/>
  <c r="S21" i="2"/>
  <c r="Q21" i="2"/>
  <c r="T20" i="2"/>
  <c r="X20" i="2" s="1"/>
  <c r="Z20" i="2" s="1"/>
  <c r="S20" i="2"/>
  <c r="Q20" i="2"/>
  <c r="T19" i="2"/>
  <c r="X19" i="2" s="1"/>
  <c r="Z19" i="2" s="1"/>
  <c r="S19" i="2"/>
  <c r="Q19" i="2"/>
  <c r="T18" i="2"/>
  <c r="X18" i="2" s="1"/>
  <c r="Z18" i="2" s="1"/>
  <c r="S18" i="2"/>
  <c r="Q18" i="2"/>
  <c r="T17" i="2"/>
  <c r="X17" i="2" s="1"/>
  <c r="Z17" i="2" s="1"/>
  <c r="S17" i="2"/>
  <c r="Q17" i="2"/>
  <c r="T16" i="2"/>
  <c r="X16" i="2" s="1"/>
  <c r="Z16" i="2" s="1"/>
  <c r="S16" i="2"/>
  <c r="Q16" i="2"/>
  <c r="T15" i="2"/>
  <c r="X15" i="2" s="1"/>
  <c r="Z15" i="2" s="1"/>
  <c r="S15" i="2"/>
  <c r="Q15" i="2"/>
  <c r="T14" i="2"/>
  <c r="X14" i="2" s="1"/>
  <c r="Z14" i="2" s="1"/>
  <c r="S14" i="2"/>
  <c r="Q14" i="2"/>
  <c r="T13" i="2"/>
  <c r="X13" i="2" s="1"/>
  <c r="Z13" i="2" s="1"/>
  <c r="S13" i="2"/>
  <c r="Q13" i="2"/>
  <c r="T12" i="2"/>
  <c r="X12" i="2" s="1"/>
  <c r="Z12" i="2" s="1"/>
  <c r="S12" i="2"/>
  <c r="Q12" i="2"/>
  <c r="T11" i="2"/>
  <c r="X11" i="2" s="1"/>
  <c r="Z11" i="2" s="1"/>
  <c r="S11" i="2"/>
  <c r="Q11" i="2"/>
  <c r="T10" i="2"/>
  <c r="X10" i="2" s="1"/>
  <c r="Z10" i="2" s="1"/>
  <c r="S10" i="2"/>
  <c r="Q10" i="2"/>
  <c r="T9" i="2"/>
  <c r="X9" i="2" s="1"/>
  <c r="Z9" i="2" s="1"/>
  <c r="S9" i="2"/>
  <c r="Q9" i="2"/>
  <c r="T8" i="2"/>
  <c r="X8" i="2" s="1"/>
  <c r="Z8" i="2" s="1"/>
  <c r="S8" i="2"/>
  <c r="Q8" i="2"/>
  <c r="T7" i="2"/>
  <c r="X7" i="2" s="1"/>
  <c r="Z7" i="2" s="1"/>
  <c r="S7" i="2"/>
  <c r="Q7" i="2"/>
  <c r="T6" i="2"/>
  <c r="X6" i="2" s="1"/>
  <c r="Z6" i="2" s="1"/>
  <c r="S6" i="2"/>
  <c r="Q6" i="2"/>
  <c r="T5" i="2"/>
  <c r="X5" i="2" s="1"/>
  <c r="Z5" i="2" s="1"/>
  <c r="S5" i="2"/>
  <c r="Q5" i="2"/>
  <c r="T4" i="2"/>
  <c r="X4" i="2" s="1"/>
  <c r="Z4" i="2" s="1"/>
  <c r="S4" i="2"/>
  <c r="Q4" i="2"/>
  <c r="T3" i="2"/>
  <c r="X3" i="2" s="1"/>
  <c r="Z3" i="2" s="1"/>
  <c r="S3" i="2"/>
  <c r="Q3" i="2"/>
  <c r="T2" i="2"/>
  <c r="X2" i="2" s="1"/>
  <c r="Z2" i="2" s="1"/>
  <c r="S2" i="2"/>
  <c r="Q2" i="2"/>
  <c r="T200" i="1"/>
  <c r="X200" i="1" s="1"/>
  <c r="Z200" i="1" s="1"/>
  <c r="S200" i="1"/>
  <c r="Q200" i="1"/>
  <c r="T199" i="1"/>
  <c r="X199" i="1" s="1"/>
  <c r="Z199" i="1" s="1"/>
  <c r="S199" i="1"/>
  <c r="Q199" i="1"/>
  <c r="T198" i="1"/>
  <c r="X198" i="1" s="1"/>
  <c r="Z198" i="1" s="1"/>
  <c r="S198" i="1"/>
  <c r="Q198" i="1"/>
  <c r="T197" i="1"/>
  <c r="X197" i="1" s="1"/>
  <c r="Z197" i="1" s="1"/>
  <c r="S197" i="1"/>
  <c r="Q197" i="1"/>
  <c r="T196" i="1"/>
  <c r="X196" i="1" s="1"/>
  <c r="Z196" i="1" s="1"/>
  <c r="S196" i="1"/>
  <c r="Q196" i="1"/>
  <c r="T195" i="1"/>
  <c r="X195" i="1" s="1"/>
  <c r="Z195" i="1" s="1"/>
  <c r="S195" i="1"/>
  <c r="Q195" i="1"/>
  <c r="T194" i="1"/>
  <c r="X194" i="1" s="1"/>
  <c r="Z194" i="1" s="1"/>
  <c r="S194" i="1"/>
  <c r="Q194" i="1"/>
  <c r="T193" i="1"/>
  <c r="X193" i="1" s="1"/>
  <c r="Z193" i="1" s="1"/>
  <c r="S193" i="1"/>
  <c r="Q193" i="1"/>
  <c r="T192" i="1"/>
  <c r="X192" i="1" s="1"/>
  <c r="Z192" i="1" s="1"/>
  <c r="S192" i="1"/>
  <c r="Q192" i="1"/>
  <c r="T191" i="1"/>
  <c r="X191" i="1" s="1"/>
  <c r="Z191" i="1" s="1"/>
  <c r="S191" i="1"/>
  <c r="Q191" i="1"/>
  <c r="T190" i="1"/>
  <c r="X190" i="1" s="1"/>
  <c r="Z190" i="1" s="1"/>
  <c r="S190" i="1"/>
  <c r="Q190" i="1"/>
  <c r="T189" i="1"/>
  <c r="X189" i="1" s="1"/>
  <c r="Z189" i="1" s="1"/>
  <c r="S189" i="1"/>
  <c r="Q189" i="1"/>
  <c r="T188" i="1"/>
  <c r="X188" i="1" s="1"/>
  <c r="Z188" i="1" s="1"/>
  <c r="S188" i="1"/>
  <c r="Q188" i="1"/>
  <c r="T187" i="1"/>
  <c r="X187" i="1" s="1"/>
  <c r="Z187" i="1" s="1"/>
  <c r="S187" i="1"/>
  <c r="Q187" i="1"/>
  <c r="T186" i="1"/>
  <c r="X186" i="1" s="1"/>
  <c r="Z186" i="1" s="1"/>
  <c r="S186" i="1"/>
  <c r="Q186" i="1"/>
  <c r="T185" i="1"/>
  <c r="X185" i="1" s="1"/>
  <c r="Z185" i="1" s="1"/>
  <c r="S185" i="1"/>
  <c r="Q185" i="1"/>
  <c r="T184" i="1"/>
  <c r="X184" i="1" s="1"/>
  <c r="Z184" i="1" s="1"/>
  <c r="S184" i="1"/>
  <c r="Q184" i="1"/>
  <c r="T183" i="1"/>
  <c r="X183" i="1" s="1"/>
  <c r="Z183" i="1" s="1"/>
  <c r="S183" i="1"/>
  <c r="Q183" i="1"/>
  <c r="T182" i="1"/>
  <c r="X182" i="1" s="1"/>
  <c r="Z182" i="1" s="1"/>
  <c r="S182" i="1"/>
  <c r="Q182" i="1"/>
  <c r="T181" i="1"/>
  <c r="X181" i="1" s="1"/>
  <c r="Z181" i="1" s="1"/>
  <c r="S181" i="1"/>
  <c r="Q181" i="1"/>
  <c r="T180" i="1"/>
  <c r="X180" i="1" s="1"/>
  <c r="Z180" i="1" s="1"/>
  <c r="S180" i="1"/>
  <c r="Q180" i="1"/>
  <c r="T179" i="1"/>
  <c r="X179" i="1" s="1"/>
  <c r="Z179" i="1" s="1"/>
  <c r="S179" i="1"/>
  <c r="Q179" i="1"/>
  <c r="T178" i="1"/>
  <c r="X178" i="1" s="1"/>
  <c r="Z178" i="1" s="1"/>
  <c r="S178" i="1"/>
  <c r="Q178" i="1"/>
  <c r="T177" i="1"/>
  <c r="X177" i="1" s="1"/>
  <c r="Z177" i="1" s="1"/>
  <c r="S177" i="1"/>
  <c r="Q177" i="1"/>
  <c r="T176" i="1"/>
  <c r="X176" i="1" s="1"/>
  <c r="Z176" i="1" s="1"/>
  <c r="S176" i="1"/>
  <c r="Q176" i="1"/>
  <c r="T175" i="1"/>
  <c r="X175" i="1" s="1"/>
  <c r="Z175" i="1" s="1"/>
  <c r="S175" i="1"/>
  <c r="Q175" i="1"/>
  <c r="T174" i="1"/>
  <c r="X174" i="1" s="1"/>
  <c r="Z174" i="1" s="1"/>
  <c r="S174" i="1"/>
  <c r="Q174" i="1"/>
  <c r="T173" i="1"/>
  <c r="X173" i="1" s="1"/>
  <c r="Z173" i="1" s="1"/>
  <c r="S173" i="1"/>
  <c r="Q173" i="1"/>
  <c r="T172" i="1"/>
  <c r="X172" i="1" s="1"/>
  <c r="Z172" i="1" s="1"/>
  <c r="S172" i="1"/>
  <c r="Q172" i="1"/>
  <c r="T171" i="1"/>
  <c r="X171" i="1" s="1"/>
  <c r="Z171" i="1" s="1"/>
  <c r="S171" i="1"/>
  <c r="Q171" i="1"/>
  <c r="T170" i="1"/>
  <c r="X170" i="1" s="1"/>
  <c r="Z170" i="1" s="1"/>
  <c r="S170" i="1"/>
  <c r="Q170" i="1"/>
  <c r="T169" i="1"/>
  <c r="X169" i="1" s="1"/>
  <c r="Z169" i="1" s="1"/>
  <c r="S169" i="1"/>
  <c r="Q169" i="1"/>
  <c r="T168" i="1"/>
  <c r="X168" i="1" s="1"/>
  <c r="Z168" i="1" s="1"/>
  <c r="S168" i="1"/>
  <c r="Q168" i="1"/>
  <c r="T167" i="1"/>
  <c r="X167" i="1" s="1"/>
  <c r="Z167" i="1" s="1"/>
  <c r="S167" i="1"/>
  <c r="Q167" i="1"/>
  <c r="T166" i="1"/>
  <c r="X166" i="1" s="1"/>
  <c r="Z166" i="1" s="1"/>
  <c r="S166" i="1"/>
  <c r="Q166" i="1"/>
  <c r="T165" i="1"/>
  <c r="X165" i="1" s="1"/>
  <c r="Z165" i="1" s="1"/>
  <c r="S165" i="1"/>
  <c r="Q165" i="1"/>
  <c r="T164" i="1"/>
  <c r="X164" i="1" s="1"/>
  <c r="Z164" i="1" s="1"/>
  <c r="S164" i="1"/>
  <c r="Q164" i="1"/>
  <c r="T163" i="1"/>
  <c r="X163" i="1" s="1"/>
  <c r="Z163" i="1" s="1"/>
  <c r="S163" i="1"/>
  <c r="Q163" i="1"/>
  <c r="T162" i="1"/>
  <c r="X162" i="1" s="1"/>
  <c r="Z162" i="1" s="1"/>
  <c r="S162" i="1"/>
  <c r="Q162" i="1"/>
  <c r="T161" i="1"/>
  <c r="X161" i="1" s="1"/>
  <c r="Z161" i="1" s="1"/>
  <c r="S161" i="1"/>
  <c r="Q161" i="1"/>
  <c r="T160" i="1"/>
  <c r="X160" i="1" s="1"/>
  <c r="Z160" i="1" s="1"/>
  <c r="S160" i="1"/>
  <c r="Q160" i="1"/>
  <c r="T159" i="1"/>
  <c r="X159" i="1" s="1"/>
  <c r="Z159" i="1" s="1"/>
  <c r="S159" i="1"/>
  <c r="Q159" i="1"/>
  <c r="T158" i="1"/>
  <c r="X158" i="1" s="1"/>
  <c r="Z158" i="1" s="1"/>
  <c r="S158" i="1"/>
  <c r="Q158" i="1"/>
  <c r="T157" i="1"/>
  <c r="X157" i="1" s="1"/>
  <c r="Z157" i="1" s="1"/>
  <c r="S157" i="1"/>
  <c r="Q157" i="1"/>
  <c r="T156" i="1"/>
  <c r="X156" i="1" s="1"/>
  <c r="Z156" i="1" s="1"/>
  <c r="S156" i="1"/>
  <c r="Q156" i="1"/>
  <c r="T155" i="1"/>
  <c r="X155" i="1" s="1"/>
  <c r="Z155" i="1" s="1"/>
  <c r="S155" i="1"/>
  <c r="Q155" i="1"/>
  <c r="T154" i="1"/>
  <c r="X154" i="1" s="1"/>
  <c r="Z154" i="1" s="1"/>
  <c r="S154" i="1"/>
  <c r="Q154" i="1"/>
  <c r="T153" i="1"/>
  <c r="X153" i="1" s="1"/>
  <c r="Z153" i="1" s="1"/>
  <c r="S153" i="1"/>
  <c r="Q153" i="1"/>
  <c r="T152" i="1"/>
  <c r="X152" i="1" s="1"/>
  <c r="Z152" i="1" s="1"/>
  <c r="S152" i="1"/>
  <c r="Q152" i="1"/>
  <c r="T151" i="1"/>
  <c r="X151" i="1" s="1"/>
  <c r="Z151" i="1" s="1"/>
  <c r="S151" i="1"/>
  <c r="Q151" i="1"/>
  <c r="T150" i="1"/>
  <c r="X150" i="1" s="1"/>
  <c r="Z150" i="1" s="1"/>
  <c r="S150" i="1"/>
  <c r="Q150" i="1"/>
  <c r="T149" i="1"/>
  <c r="X149" i="1" s="1"/>
  <c r="Z149" i="1" s="1"/>
  <c r="S149" i="1"/>
  <c r="Q149" i="1"/>
  <c r="T148" i="1"/>
  <c r="X148" i="1" s="1"/>
  <c r="Z148" i="1" s="1"/>
  <c r="S148" i="1"/>
  <c r="Q148" i="1"/>
  <c r="T147" i="1"/>
  <c r="X147" i="1" s="1"/>
  <c r="Z147" i="1" s="1"/>
  <c r="S147" i="1"/>
  <c r="Q147" i="1"/>
  <c r="T146" i="1"/>
  <c r="X146" i="1" s="1"/>
  <c r="Z146" i="1" s="1"/>
  <c r="S146" i="1"/>
  <c r="Q146" i="1"/>
  <c r="T145" i="1"/>
  <c r="X145" i="1" s="1"/>
  <c r="Z145" i="1" s="1"/>
  <c r="S145" i="1"/>
  <c r="Q145" i="1"/>
  <c r="T144" i="1"/>
  <c r="X144" i="1" s="1"/>
  <c r="Z144" i="1" s="1"/>
  <c r="S144" i="1"/>
  <c r="Q144" i="1"/>
  <c r="T143" i="1"/>
  <c r="X143" i="1" s="1"/>
  <c r="Z143" i="1" s="1"/>
  <c r="S143" i="1"/>
  <c r="Q143" i="1"/>
  <c r="T142" i="1"/>
  <c r="X142" i="1" s="1"/>
  <c r="Z142" i="1" s="1"/>
  <c r="S142" i="1"/>
  <c r="Q142" i="1"/>
  <c r="T141" i="1"/>
  <c r="X141" i="1" s="1"/>
  <c r="Z141" i="1" s="1"/>
  <c r="S141" i="1"/>
  <c r="Q141" i="1"/>
  <c r="T140" i="1"/>
  <c r="X140" i="1" s="1"/>
  <c r="Z140" i="1" s="1"/>
  <c r="S140" i="1"/>
  <c r="Q140" i="1"/>
  <c r="T139" i="1"/>
  <c r="X139" i="1" s="1"/>
  <c r="Z139" i="1" s="1"/>
  <c r="S139" i="1"/>
  <c r="Q139" i="1"/>
  <c r="T138" i="1"/>
  <c r="X138" i="1" s="1"/>
  <c r="Z138" i="1" s="1"/>
  <c r="S138" i="1"/>
  <c r="Q138" i="1"/>
  <c r="T137" i="1"/>
  <c r="X137" i="1" s="1"/>
  <c r="Z137" i="1" s="1"/>
  <c r="S137" i="1"/>
  <c r="Q137" i="1"/>
  <c r="T136" i="1"/>
  <c r="X136" i="1" s="1"/>
  <c r="Z136" i="1" s="1"/>
  <c r="S136" i="1"/>
  <c r="Q136" i="1"/>
  <c r="T135" i="1"/>
  <c r="X135" i="1" s="1"/>
  <c r="Z135" i="1" s="1"/>
  <c r="S135" i="1"/>
  <c r="Q135" i="1"/>
  <c r="T134" i="1"/>
  <c r="X134" i="1" s="1"/>
  <c r="Z134" i="1" s="1"/>
  <c r="S134" i="1"/>
  <c r="Q134" i="1"/>
  <c r="T133" i="1"/>
  <c r="X133" i="1" s="1"/>
  <c r="Z133" i="1" s="1"/>
  <c r="S133" i="1"/>
  <c r="Q133" i="1"/>
  <c r="T132" i="1"/>
  <c r="X132" i="1" s="1"/>
  <c r="Z132" i="1" s="1"/>
  <c r="S132" i="1"/>
  <c r="Q132" i="1"/>
  <c r="T131" i="1"/>
  <c r="X131" i="1" s="1"/>
  <c r="Z131" i="1" s="1"/>
  <c r="S131" i="1"/>
  <c r="Q131" i="1"/>
  <c r="T130" i="1"/>
  <c r="X130" i="1" s="1"/>
  <c r="Z130" i="1" s="1"/>
  <c r="S130" i="1"/>
  <c r="Q130" i="1"/>
  <c r="T129" i="1"/>
  <c r="X129" i="1" s="1"/>
  <c r="Z129" i="1" s="1"/>
  <c r="S129" i="1"/>
  <c r="Q129" i="1"/>
  <c r="T128" i="1"/>
  <c r="X128" i="1" s="1"/>
  <c r="Z128" i="1" s="1"/>
  <c r="S128" i="1"/>
  <c r="Q128" i="1"/>
  <c r="T127" i="1"/>
  <c r="X127" i="1" s="1"/>
  <c r="Z127" i="1" s="1"/>
  <c r="S127" i="1"/>
  <c r="Q127" i="1"/>
  <c r="T126" i="1"/>
  <c r="X126" i="1" s="1"/>
  <c r="Z126" i="1" s="1"/>
  <c r="S126" i="1"/>
  <c r="Q126" i="1"/>
  <c r="T125" i="1"/>
  <c r="X125" i="1" s="1"/>
  <c r="Z125" i="1" s="1"/>
  <c r="S125" i="1"/>
  <c r="Q125" i="1"/>
  <c r="T124" i="1"/>
  <c r="X124" i="1" s="1"/>
  <c r="Z124" i="1" s="1"/>
  <c r="S124" i="1"/>
  <c r="Q124" i="1"/>
  <c r="T123" i="1"/>
  <c r="X123" i="1" s="1"/>
  <c r="Z123" i="1" s="1"/>
  <c r="S123" i="1"/>
  <c r="Q123" i="1"/>
  <c r="T122" i="1"/>
  <c r="X122" i="1" s="1"/>
  <c r="Z122" i="1" s="1"/>
  <c r="S122" i="1"/>
  <c r="Q122" i="1"/>
  <c r="T121" i="1"/>
  <c r="X121" i="1" s="1"/>
  <c r="Z121" i="1" s="1"/>
  <c r="S121" i="1"/>
  <c r="Q121" i="1"/>
  <c r="T120" i="1"/>
  <c r="X120" i="1" s="1"/>
  <c r="Z120" i="1" s="1"/>
  <c r="S120" i="1"/>
  <c r="Q120" i="1"/>
  <c r="T119" i="1"/>
  <c r="X119" i="1" s="1"/>
  <c r="Z119" i="1" s="1"/>
  <c r="S119" i="1"/>
  <c r="Q119" i="1"/>
  <c r="T118" i="1"/>
  <c r="X118" i="1" s="1"/>
  <c r="Z118" i="1" s="1"/>
  <c r="S118" i="1"/>
  <c r="Q118" i="1"/>
  <c r="T117" i="1"/>
  <c r="X117" i="1" s="1"/>
  <c r="Z117" i="1" s="1"/>
  <c r="S117" i="1"/>
  <c r="Q117" i="1"/>
  <c r="T116" i="1"/>
  <c r="X116" i="1" s="1"/>
  <c r="Z116" i="1" s="1"/>
  <c r="S116" i="1"/>
  <c r="Q116" i="1"/>
  <c r="T115" i="1"/>
  <c r="X115" i="1" s="1"/>
  <c r="Z115" i="1" s="1"/>
  <c r="S115" i="1"/>
  <c r="Q115" i="1"/>
  <c r="T114" i="1"/>
  <c r="X114" i="1" s="1"/>
  <c r="Z114" i="1" s="1"/>
  <c r="S114" i="1"/>
  <c r="Q114" i="1"/>
  <c r="T113" i="1"/>
  <c r="X113" i="1" s="1"/>
  <c r="Z113" i="1" s="1"/>
  <c r="S113" i="1"/>
  <c r="Q113" i="1"/>
  <c r="T112" i="1"/>
  <c r="X112" i="1" s="1"/>
  <c r="Z112" i="1" s="1"/>
  <c r="S112" i="1"/>
  <c r="Q112" i="1"/>
  <c r="T111" i="1"/>
  <c r="X111" i="1" s="1"/>
  <c r="Z111" i="1" s="1"/>
  <c r="S111" i="1"/>
  <c r="Q111" i="1"/>
  <c r="T110" i="1"/>
  <c r="X110" i="1" s="1"/>
  <c r="Z110" i="1" s="1"/>
  <c r="S110" i="1"/>
  <c r="Q110" i="1"/>
  <c r="T109" i="1"/>
  <c r="X109" i="1" s="1"/>
  <c r="Z109" i="1" s="1"/>
  <c r="S109" i="1"/>
  <c r="Q109" i="1"/>
  <c r="T108" i="1"/>
  <c r="X108" i="1" s="1"/>
  <c r="Z108" i="1" s="1"/>
  <c r="S108" i="1"/>
  <c r="Q108" i="1"/>
  <c r="T107" i="1"/>
  <c r="X107" i="1" s="1"/>
  <c r="Z107" i="1" s="1"/>
  <c r="S107" i="1"/>
  <c r="Q107" i="1"/>
  <c r="T106" i="1"/>
  <c r="X106" i="1" s="1"/>
  <c r="Z106" i="1" s="1"/>
  <c r="S106" i="1"/>
  <c r="Q106" i="1"/>
  <c r="T105" i="1"/>
  <c r="X105" i="1" s="1"/>
  <c r="Z105" i="1" s="1"/>
  <c r="S105" i="1"/>
  <c r="Q105" i="1"/>
  <c r="T104" i="1"/>
  <c r="X104" i="1" s="1"/>
  <c r="Z104" i="1" s="1"/>
  <c r="S104" i="1"/>
  <c r="Q104" i="1"/>
  <c r="T103" i="1"/>
  <c r="X103" i="1" s="1"/>
  <c r="Z103" i="1" s="1"/>
  <c r="S103" i="1"/>
  <c r="Q103" i="1"/>
  <c r="T102" i="1"/>
  <c r="X102" i="1" s="1"/>
  <c r="Z102" i="1" s="1"/>
  <c r="S102" i="1"/>
  <c r="Q102" i="1"/>
  <c r="T101" i="1"/>
  <c r="X101" i="1" s="1"/>
  <c r="Z101" i="1" s="1"/>
  <c r="S101" i="1"/>
  <c r="Q101" i="1"/>
  <c r="T100" i="1"/>
  <c r="X100" i="1" s="1"/>
  <c r="Z100" i="1" s="1"/>
  <c r="S100" i="1"/>
  <c r="Q100" i="1"/>
  <c r="T99" i="1"/>
  <c r="X99" i="1" s="1"/>
  <c r="Z99" i="1" s="1"/>
  <c r="S99" i="1"/>
  <c r="Q99" i="1"/>
  <c r="T98" i="1"/>
  <c r="X98" i="1" s="1"/>
  <c r="Z98" i="1" s="1"/>
  <c r="S98" i="1"/>
  <c r="Q98" i="1"/>
  <c r="T97" i="1"/>
  <c r="X97" i="1" s="1"/>
  <c r="Z97" i="1" s="1"/>
  <c r="S97" i="1"/>
  <c r="Q97" i="1"/>
  <c r="T96" i="1"/>
  <c r="X96" i="1" s="1"/>
  <c r="Z96" i="1" s="1"/>
  <c r="S96" i="1"/>
  <c r="Q96" i="1"/>
  <c r="T95" i="1"/>
  <c r="X95" i="1" s="1"/>
  <c r="Z95" i="1" s="1"/>
  <c r="S95" i="1"/>
  <c r="Q95" i="1"/>
  <c r="T94" i="1"/>
  <c r="X94" i="1" s="1"/>
  <c r="Z94" i="1" s="1"/>
  <c r="S94" i="1"/>
  <c r="Q94" i="1"/>
  <c r="T93" i="1"/>
  <c r="X93" i="1" s="1"/>
  <c r="Z93" i="1" s="1"/>
  <c r="S93" i="1"/>
  <c r="Q93" i="1"/>
  <c r="T92" i="1"/>
  <c r="X92" i="1" s="1"/>
  <c r="Z92" i="1" s="1"/>
  <c r="S92" i="1"/>
  <c r="Q92" i="1"/>
  <c r="T91" i="1"/>
  <c r="X91" i="1" s="1"/>
  <c r="Z91" i="1" s="1"/>
  <c r="S91" i="1"/>
  <c r="Q91" i="1"/>
  <c r="T90" i="1"/>
  <c r="X90" i="1" s="1"/>
  <c r="Z90" i="1" s="1"/>
  <c r="S90" i="1"/>
  <c r="Q90" i="1"/>
  <c r="T89" i="1"/>
  <c r="X89" i="1" s="1"/>
  <c r="Z89" i="1" s="1"/>
  <c r="S89" i="1"/>
  <c r="Q89" i="1"/>
  <c r="T88" i="1"/>
  <c r="X88" i="1" s="1"/>
  <c r="Z88" i="1" s="1"/>
  <c r="S88" i="1"/>
  <c r="Q88" i="1"/>
  <c r="T87" i="1"/>
  <c r="X87" i="1" s="1"/>
  <c r="Z87" i="1" s="1"/>
  <c r="S87" i="1"/>
  <c r="Q87" i="1"/>
  <c r="T86" i="1"/>
  <c r="X86" i="1" s="1"/>
  <c r="Z86" i="1" s="1"/>
  <c r="S86" i="1"/>
  <c r="Q86" i="1"/>
  <c r="T85" i="1"/>
  <c r="X85" i="1" s="1"/>
  <c r="Z85" i="1" s="1"/>
  <c r="S85" i="1"/>
  <c r="Q85" i="1"/>
  <c r="T84" i="1"/>
  <c r="X84" i="1" s="1"/>
  <c r="Z84" i="1" s="1"/>
  <c r="S84" i="1"/>
  <c r="Q84" i="1"/>
  <c r="T83" i="1"/>
  <c r="X83" i="1" s="1"/>
  <c r="Z83" i="1" s="1"/>
  <c r="S83" i="1"/>
  <c r="Q83" i="1"/>
  <c r="T82" i="1"/>
  <c r="X82" i="1" s="1"/>
  <c r="Z82" i="1" s="1"/>
  <c r="S82" i="1"/>
  <c r="Q82" i="1"/>
  <c r="T81" i="1"/>
  <c r="X81" i="1" s="1"/>
  <c r="Z81" i="1" s="1"/>
  <c r="S81" i="1"/>
  <c r="Q81" i="1"/>
  <c r="T80" i="1"/>
  <c r="X80" i="1" s="1"/>
  <c r="Z80" i="1" s="1"/>
  <c r="S80" i="1"/>
  <c r="Q80" i="1"/>
  <c r="T79" i="1"/>
  <c r="X79" i="1" s="1"/>
  <c r="Z79" i="1" s="1"/>
  <c r="S79" i="1"/>
  <c r="Q79" i="1"/>
  <c r="T78" i="1"/>
  <c r="X78" i="1" s="1"/>
  <c r="Z78" i="1" s="1"/>
  <c r="S78" i="1"/>
  <c r="Q78" i="1"/>
  <c r="T77" i="1"/>
  <c r="X77" i="1" s="1"/>
  <c r="Z77" i="1" s="1"/>
  <c r="S77" i="1"/>
  <c r="Q77" i="1"/>
  <c r="T76" i="1"/>
  <c r="X76" i="1" s="1"/>
  <c r="Z76" i="1" s="1"/>
  <c r="S76" i="1"/>
  <c r="Q76" i="1"/>
  <c r="T75" i="1"/>
  <c r="X75" i="1" s="1"/>
  <c r="Z75" i="1" s="1"/>
  <c r="S75" i="1"/>
  <c r="Q75" i="1"/>
  <c r="T74" i="1"/>
  <c r="X74" i="1" s="1"/>
  <c r="Z74" i="1" s="1"/>
  <c r="S74" i="1"/>
  <c r="Q74" i="1"/>
  <c r="T73" i="1"/>
  <c r="X73" i="1" s="1"/>
  <c r="Z73" i="1" s="1"/>
  <c r="S73" i="1"/>
  <c r="Q73" i="1"/>
  <c r="T72" i="1"/>
  <c r="X72" i="1" s="1"/>
  <c r="Z72" i="1" s="1"/>
  <c r="S72" i="1"/>
  <c r="Q72" i="1"/>
  <c r="T71" i="1"/>
  <c r="X71" i="1" s="1"/>
  <c r="Z71" i="1" s="1"/>
  <c r="S71" i="1"/>
  <c r="Q71" i="1"/>
  <c r="T70" i="1"/>
  <c r="X70" i="1" s="1"/>
  <c r="Z70" i="1" s="1"/>
  <c r="S70" i="1"/>
  <c r="Q70" i="1"/>
  <c r="T69" i="1"/>
  <c r="X69" i="1" s="1"/>
  <c r="Z69" i="1" s="1"/>
  <c r="S69" i="1"/>
  <c r="Q69" i="1"/>
  <c r="T68" i="1"/>
  <c r="X68" i="1" s="1"/>
  <c r="Z68" i="1" s="1"/>
  <c r="S68" i="1"/>
  <c r="Q68" i="1"/>
  <c r="T67" i="1"/>
  <c r="X67" i="1" s="1"/>
  <c r="Z67" i="1" s="1"/>
  <c r="S67" i="1"/>
  <c r="Q67" i="1"/>
  <c r="T66" i="1"/>
  <c r="X66" i="1" s="1"/>
  <c r="Z66" i="1" s="1"/>
  <c r="S66" i="1"/>
  <c r="Q66" i="1"/>
  <c r="T65" i="1"/>
  <c r="X65" i="1" s="1"/>
  <c r="Z65" i="1" s="1"/>
  <c r="S65" i="1"/>
  <c r="Q65" i="1"/>
  <c r="T64" i="1"/>
  <c r="X64" i="1" s="1"/>
  <c r="Z64" i="1" s="1"/>
  <c r="S64" i="1"/>
  <c r="Q64" i="1"/>
  <c r="T63" i="1"/>
  <c r="X63" i="1" s="1"/>
  <c r="Z63" i="1" s="1"/>
  <c r="S63" i="1"/>
  <c r="Q63" i="1"/>
  <c r="T62" i="1"/>
  <c r="X62" i="1" s="1"/>
  <c r="Z62" i="1" s="1"/>
  <c r="S62" i="1"/>
  <c r="Q62" i="1"/>
  <c r="T61" i="1"/>
  <c r="X61" i="1" s="1"/>
  <c r="Z61" i="1" s="1"/>
  <c r="S61" i="1"/>
  <c r="Q61" i="1"/>
  <c r="T60" i="1"/>
  <c r="X60" i="1" s="1"/>
  <c r="Z60" i="1" s="1"/>
  <c r="S60" i="1"/>
  <c r="Q60" i="1"/>
  <c r="T59" i="1"/>
  <c r="X59" i="1" s="1"/>
  <c r="Z59" i="1" s="1"/>
  <c r="S59" i="1"/>
  <c r="Q59" i="1"/>
  <c r="T58" i="1"/>
  <c r="X58" i="1" s="1"/>
  <c r="Z58" i="1" s="1"/>
  <c r="S58" i="1"/>
  <c r="Q58" i="1"/>
  <c r="T57" i="1"/>
  <c r="X57" i="1" s="1"/>
  <c r="Z57" i="1" s="1"/>
  <c r="S57" i="1"/>
  <c r="Q57" i="1"/>
  <c r="T56" i="1"/>
  <c r="X56" i="1" s="1"/>
  <c r="Z56" i="1" s="1"/>
  <c r="S56" i="1"/>
  <c r="Q56" i="1"/>
  <c r="T55" i="1"/>
  <c r="X55" i="1" s="1"/>
  <c r="Z55" i="1" s="1"/>
  <c r="S55" i="1"/>
  <c r="Q55" i="1"/>
  <c r="T54" i="1"/>
  <c r="X54" i="1" s="1"/>
  <c r="Z54" i="1" s="1"/>
  <c r="S54" i="1"/>
  <c r="Q54" i="1"/>
  <c r="T53" i="1"/>
  <c r="X53" i="1" s="1"/>
  <c r="Z53" i="1" s="1"/>
  <c r="S53" i="1"/>
  <c r="Q53" i="1"/>
  <c r="T52" i="1"/>
  <c r="X52" i="1" s="1"/>
  <c r="Z52" i="1" s="1"/>
  <c r="S52" i="1"/>
  <c r="Q52" i="1"/>
  <c r="T51" i="1"/>
  <c r="X51" i="1" s="1"/>
  <c r="Z51" i="1" s="1"/>
  <c r="S51" i="1"/>
  <c r="Q51" i="1"/>
  <c r="T50" i="1"/>
  <c r="X50" i="1" s="1"/>
  <c r="Z50" i="1" s="1"/>
  <c r="S50" i="1"/>
  <c r="Q50" i="1"/>
  <c r="T49" i="1"/>
  <c r="X49" i="1" s="1"/>
  <c r="Z49" i="1" s="1"/>
  <c r="S49" i="1"/>
  <c r="Q49" i="1"/>
  <c r="T48" i="1"/>
  <c r="X48" i="1" s="1"/>
  <c r="Z48" i="1" s="1"/>
  <c r="S48" i="1"/>
  <c r="Q48" i="1"/>
  <c r="T47" i="1"/>
  <c r="X47" i="1" s="1"/>
  <c r="Z47" i="1" s="1"/>
  <c r="S47" i="1"/>
  <c r="Q47" i="1"/>
  <c r="T46" i="1"/>
  <c r="X46" i="1" s="1"/>
  <c r="Z46" i="1" s="1"/>
  <c r="S46" i="1"/>
  <c r="Q46" i="1"/>
  <c r="T45" i="1"/>
  <c r="X45" i="1" s="1"/>
  <c r="Z45" i="1" s="1"/>
  <c r="S45" i="1"/>
  <c r="Q45" i="1"/>
  <c r="T44" i="1"/>
  <c r="X44" i="1" s="1"/>
  <c r="Z44" i="1" s="1"/>
  <c r="S44" i="1"/>
  <c r="Q44" i="1"/>
  <c r="T43" i="1"/>
  <c r="X43" i="1" s="1"/>
  <c r="Z43" i="1" s="1"/>
  <c r="S43" i="1"/>
  <c r="Q43" i="1"/>
  <c r="T42" i="1"/>
  <c r="X42" i="1" s="1"/>
  <c r="Z42" i="1" s="1"/>
  <c r="S42" i="1"/>
  <c r="Q42" i="1"/>
  <c r="T41" i="1"/>
  <c r="X41" i="1" s="1"/>
  <c r="Z41" i="1" s="1"/>
  <c r="S41" i="1"/>
  <c r="Q41" i="1"/>
  <c r="T40" i="1"/>
  <c r="X40" i="1" s="1"/>
  <c r="Z40" i="1" s="1"/>
  <c r="S40" i="1"/>
  <c r="Q40" i="1"/>
  <c r="T39" i="1"/>
  <c r="X39" i="1" s="1"/>
  <c r="Z39" i="1" s="1"/>
  <c r="S39" i="1"/>
  <c r="Q39" i="1"/>
  <c r="T38" i="1"/>
  <c r="X38" i="1" s="1"/>
  <c r="Z38" i="1" s="1"/>
  <c r="S38" i="1"/>
  <c r="Q38" i="1"/>
  <c r="T37" i="1"/>
  <c r="X37" i="1" s="1"/>
  <c r="Z37" i="1" s="1"/>
  <c r="S37" i="1"/>
  <c r="Q37" i="1"/>
  <c r="T36" i="1"/>
  <c r="X36" i="1" s="1"/>
  <c r="Z36" i="1" s="1"/>
  <c r="S36" i="1"/>
  <c r="Q36" i="1"/>
  <c r="T35" i="1"/>
  <c r="X35" i="1" s="1"/>
  <c r="Z35" i="1" s="1"/>
  <c r="S35" i="1"/>
  <c r="Q35" i="1"/>
  <c r="T34" i="1"/>
  <c r="X34" i="1" s="1"/>
  <c r="Z34" i="1" s="1"/>
  <c r="S34" i="1"/>
  <c r="Q34" i="1"/>
  <c r="T33" i="1"/>
  <c r="X33" i="1" s="1"/>
  <c r="Z33" i="1" s="1"/>
  <c r="S33" i="1"/>
  <c r="Q33" i="1"/>
  <c r="T32" i="1"/>
  <c r="X32" i="1" s="1"/>
  <c r="Z32" i="1" s="1"/>
  <c r="S32" i="1"/>
  <c r="Q32" i="1"/>
  <c r="T31" i="1"/>
  <c r="X31" i="1" s="1"/>
  <c r="Z31" i="1" s="1"/>
  <c r="S31" i="1"/>
  <c r="Q31" i="1"/>
  <c r="T30" i="1"/>
  <c r="X30" i="1" s="1"/>
  <c r="Z30" i="1" s="1"/>
  <c r="S30" i="1"/>
  <c r="Q30" i="1"/>
  <c r="T29" i="1"/>
  <c r="X29" i="1" s="1"/>
  <c r="Z29" i="1" s="1"/>
  <c r="S29" i="1"/>
  <c r="Q29" i="1"/>
  <c r="T28" i="1"/>
  <c r="X28" i="1" s="1"/>
  <c r="Z28" i="1" s="1"/>
  <c r="S28" i="1"/>
  <c r="Q28" i="1"/>
  <c r="T27" i="1"/>
  <c r="X27" i="1" s="1"/>
  <c r="Z27" i="1" s="1"/>
  <c r="S27" i="1"/>
  <c r="Q27" i="1"/>
  <c r="T26" i="1"/>
  <c r="X26" i="1" s="1"/>
  <c r="Z26" i="1" s="1"/>
  <c r="S26" i="1"/>
  <c r="Q26" i="1"/>
  <c r="T25" i="1"/>
  <c r="X25" i="1" s="1"/>
  <c r="Z25" i="1" s="1"/>
  <c r="S25" i="1"/>
  <c r="Q25" i="1"/>
  <c r="T24" i="1"/>
  <c r="X24" i="1" s="1"/>
  <c r="Z24" i="1" s="1"/>
  <c r="S24" i="1"/>
  <c r="Q24" i="1"/>
  <c r="T23" i="1"/>
  <c r="X23" i="1" s="1"/>
  <c r="Z23" i="1" s="1"/>
  <c r="S23" i="1"/>
  <c r="Q23" i="1"/>
  <c r="T22" i="1"/>
  <c r="X22" i="1" s="1"/>
  <c r="Z22" i="1" s="1"/>
  <c r="S22" i="1"/>
  <c r="Q22" i="1"/>
  <c r="T21" i="1"/>
  <c r="X21" i="1" s="1"/>
  <c r="Z21" i="1" s="1"/>
  <c r="S21" i="1"/>
  <c r="Q21" i="1"/>
  <c r="T20" i="1"/>
  <c r="X20" i="1" s="1"/>
  <c r="Z20" i="1" s="1"/>
  <c r="S20" i="1"/>
  <c r="Q20" i="1"/>
  <c r="T19" i="1"/>
  <c r="X19" i="1" s="1"/>
  <c r="Z19" i="1" s="1"/>
  <c r="S19" i="1"/>
  <c r="Q19" i="1"/>
  <c r="T18" i="1"/>
  <c r="S18" i="1"/>
  <c r="Q18" i="1"/>
  <c r="T17" i="1"/>
  <c r="X17" i="1" s="1"/>
  <c r="Z17" i="1" s="1"/>
  <c r="S17" i="1"/>
  <c r="Q17" i="1"/>
  <c r="T16" i="1"/>
  <c r="X16" i="1" s="1"/>
  <c r="Z16" i="1" s="1"/>
  <c r="S16" i="1"/>
  <c r="Q16" i="1"/>
  <c r="T15" i="1"/>
  <c r="X15" i="1" s="1"/>
  <c r="Z15" i="1" s="1"/>
  <c r="S15" i="1"/>
  <c r="Q15" i="1"/>
  <c r="T14" i="1"/>
  <c r="X14" i="1" s="1"/>
  <c r="Z14" i="1" s="1"/>
  <c r="S14" i="1"/>
  <c r="Q14" i="1"/>
  <c r="T13" i="1"/>
  <c r="X13" i="1" s="1"/>
  <c r="Z13" i="1" s="1"/>
  <c r="S13" i="1"/>
  <c r="Q13" i="1"/>
  <c r="T12" i="1"/>
  <c r="X12" i="1" s="1"/>
  <c r="Z12" i="1" s="1"/>
  <c r="S12" i="1"/>
  <c r="Q12" i="1"/>
  <c r="T11" i="1"/>
  <c r="X11" i="1" s="1"/>
  <c r="Z11" i="1" s="1"/>
  <c r="S11" i="1"/>
  <c r="Q11" i="1"/>
  <c r="T10" i="1"/>
  <c r="X10" i="1" s="1"/>
  <c r="Z10" i="1" s="1"/>
  <c r="S10" i="1"/>
  <c r="Q10" i="1"/>
  <c r="T9" i="1"/>
  <c r="X9" i="1" s="1"/>
  <c r="Z9" i="1" s="1"/>
  <c r="S9" i="1"/>
  <c r="Q9" i="1"/>
  <c r="T8" i="1"/>
  <c r="X8" i="1" s="1"/>
  <c r="Z8" i="1" s="1"/>
  <c r="S8" i="1"/>
  <c r="Q8" i="1"/>
  <c r="T7" i="1"/>
  <c r="X7" i="1" s="1"/>
  <c r="Z7" i="1" s="1"/>
  <c r="S7" i="1"/>
  <c r="Q7" i="1"/>
  <c r="T6" i="1"/>
  <c r="X6" i="1" s="1"/>
  <c r="Z6" i="1" s="1"/>
  <c r="S6" i="1"/>
  <c r="Q6" i="1"/>
  <c r="T5" i="1"/>
  <c r="X5" i="1" s="1"/>
  <c r="Z5" i="1" s="1"/>
  <c r="S5" i="1"/>
  <c r="Q5" i="1"/>
  <c r="T4" i="1"/>
  <c r="X4" i="1" s="1"/>
  <c r="Z4" i="1" s="1"/>
  <c r="S4" i="1"/>
  <c r="Q4" i="1"/>
  <c r="T3" i="1"/>
  <c r="X3" i="1" s="1"/>
  <c r="Z3" i="1" s="1"/>
  <c r="S3" i="1"/>
  <c r="Q3" i="1"/>
  <c r="T2" i="1"/>
  <c r="X2" i="1" s="1"/>
  <c r="Z2" i="1" s="1"/>
  <c r="S2" i="1"/>
  <c r="Q2" i="1"/>
  <c r="V3" i="5"/>
  <c r="W3" i="5" s="1"/>
  <c r="K3" i="5"/>
  <c r="V2" i="5"/>
  <c r="AG2" i="5" s="1"/>
  <c r="K2" i="5"/>
  <c r="K2" i="3"/>
  <c r="V2" i="3"/>
  <c r="W2" i="3"/>
  <c r="K3" i="3"/>
  <c r="V3" i="3"/>
  <c r="W3" i="3" s="1"/>
  <c r="AL267" i="5"/>
  <c r="AN267" i="5" s="1"/>
  <c r="AI267" i="5"/>
  <c r="AH267" i="5"/>
  <c r="AK267" i="5" s="1"/>
  <c r="AL266" i="5"/>
  <c r="AI266" i="5"/>
  <c r="AH266" i="5"/>
  <c r="AK266" i="5" s="1"/>
  <c r="AL265" i="5"/>
  <c r="AI265" i="5"/>
  <c r="AH265" i="5"/>
  <c r="AK265" i="5" s="1"/>
  <c r="AL264" i="5"/>
  <c r="AN264" i="5" s="1"/>
  <c r="AI264" i="5"/>
  <c r="AH264" i="5"/>
  <c r="AK264" i="5" s="1"/>
  <c r="AL263" i="5"/>
  <c r="AN263" i="5" s="1"/>
  <c r="AI263" i="5"/>
  <c r="AH263" i="5"/>
  <c r="AK263" i="5" s="1"/>
  <c r="AL262" i="5"/>
  <c r="AN262" i="5" s="1"/>
  <c r="AI262" i="5"/>
  <c r="AH262" i="5"/>
  <c r="AK262" i="5" s="1"/>
  <c r="AL261" i="5"/>
  <c r="AN261" i="5" s="1"/>
  <c r="AI261" i="5"/>
  <c r="AH261" i="5"/>
  <c r="AK261" i="5" s="1"/>
  <c r="AL260" i="5"/>
  <c r="AN260" i="5" s="1"/>
  <c r="AI260" i="5"/>
  <c r="AH260" i="5"/>
  <c r="AL259" i="5"/>
  <c r="AN259" i="5" s="1"/>
  <c r="AI259" i="5"/>
  <c r="AH259" i="5"/>
  <c r="AK259" i="5" s="1"/>
  <c r="AL258" i="5"/>
  <c r="AN258" i="5" s="1"/>
  <c r="AI258" i="5"/>
  <c r="AH258" i="5"/>
  <c r="AK258" i="5" s="1"/>
  <c r="AL257" i="5"/>
  <c r="AN257" i="5" s="1"/>
  <c r="AI257" i="5"/>
  <c r="AH257" i="5"/>
  <c r="AK257" i="5" s="1"/>
  <c r="AL256" i="5"/>
  <c r="AN256" i="5" s="1"/>
  <c r="AI256" i="5"/>
  <c r="AH256" i="5"/>
  <c r="AK256" i="5" s="1"/>
  <c r="AL255" i="5"/>
  <c r="AN255" i="5" s="1"/>
  <c r="AI255" i="5"/>
  <c r="AH255" i="5"/>
  <c r="AK255" i="5" s="1"/>
  <c r="AL254" i="5"/>
  <c r="AN254" i="5" s="1"/>
  <c r="AH254" i="5"/>
  <c r="AK254" i="5" s="1"/>
  <c r="AL253" i="5"/>
  <c r="AN253" i="5" s="1"/>
  <c r="AI253" i="5"/>
  <c r="AH253" i="5"/>
  <c r="AK253" i="5" s="1"/>
  <c r="AL252" i="5"/>
  <c r="AN252" i="5" s="1"/>
  <c r="AH252" i="5"/>
  <c r="AK252" i="5" s="1"/>
  <c r="AL251" i="5"/>
  <c r="AN251" i="5" s="1"/>
  <c r="AH251" i="5"/>
  <c r="AK251" i="5" s="1"/>
  <c r="AL250" i="5"/>
  <c r="AN250" i="5" s="1"/>
  <c r="AI250" i="5"/>
  <c r="AH250" i="5"/>
  <c r="AK250" i="5" s="1"/>
  <c r="AL249" i="5"/>
  <c r="AN249" i="5" s="1"/>
  <c r="AI249" i="5"/>
  <c r="AH249" i="5"/>
  <c r="AK249" i="5" s="1"/>
  <c r="AL248" i="5"/>
  <c r="AN248" i="5" s="1"/>
  <c r="AI248" i="5"/>
  <c r="AH248" i="5"/>
  <c r="AK248" i="5" s="1"/>
  <c r="AL247" i="5"/>
  <c r="AN247" i="5" s="1"/>
  <c r="AI247" i="5"/>
  <c r="AH247" i="5"/>
  <c r="AK247" i="5" s="1"/>
  <c r="AL246" i="5"/>
  <c r="AN246" i="5" s="1"/>
  <c r="AI246" i="5"/>
  <c r="AH246" i="5"/>
  <c r="AK246" i="5" s="1"/>
  <c r="AL245" i="5"/>
  <c r="AN245" i="5" s="1"/>
  <c r="AI245" i="5"/>
  <c r="AH245" i="5"/>
  <c r="AK245" i="5" s="1"/>
  <c r="AL244" i="5"/>
  <c r="AN244" i="5" s="1"/>
  <c r="AI244" i="5"/>
  <c r="AH244" i="5"/>
  <c r="AK244" i="5" s="1"/>
  <c r="AL243" i="5"/>
  <c r="AN243" i="5" s="1"/>
  <c r="AI243" i="5"/>
  <c r="AH243" i="5"/>
  <c r="AK243" i="5" s="1"/>
  <c r="AL242" i="5"/>
  <c r="AN242" i="5" s="1"/>
  <c r="AH242" i="5"/>
  <c r="AK242" i="5" s="1"/>
  <c r="AL241" i="5"/>
  <c r="AN241" i="5" s="1"/>
  <c r="AH241" i="5"/>
  <c r="AK241" i="5" s="1"/>
  <c r="AL240" i="5"/>
  <c r="AN240" i="5" s="1"/>
  <c r="AH240" i="5"/>
  <c r="AK240" i="5" s="1"/>
  <c r="AL239" i="5"/>
  <c r="AN239" i="5" s="1"/>
  <c r="AI239" i="5"/>
  <c r="AH239" i="5"/>
  <c r="AK239" i="5" s="1"/>
  <c r="AL238" i="5"/>
  <c r="AN238" i="5" s="1"/>
  <c r="AI238" i="5"/>
  <c r="AH238" i="5"/>
  <c r="AK238" i="5" s="1"/>
  <c r="AL237" i="5"/>
  <c r="AN237" i="5" s="1"/>
  <c r="AI237" i="5"/>
  <c r="AH237" i="5"/>
  <c r="AK237" i="5" s="1"/>
  <c r="AL236" i="5"/>
  <c r="AN236" i="5" s="1"/>
  <c r="AI236" i="5"/>
  <c r="AH236" i="5"/>
  <c r="AK236" i="5" s="1"/>
  <c r="AL235" i="5"/>
  <c r="AN235" i="5" s="1"/>
  <c r="AI235" i="5"/>
  <c r="AH235" i="5"/>
  <c r="AK235" i="5" s="1"/>
  <c r="AL234" i="5"/>
  <c r="AN234" i="5" s="1"/>
  <c r="AI234" i="5"/>
  <c r="AH234" i="5"/>
  <c r="AK234" i="5" s="1"/>
  <c r="AL233" i="5"/>
  <c r="AN233" i="5" s="1"/>
  <c r="AI233" i="5"/>
  <c r="AH233" i="5"/>
  <c r="AK233" i="5" s="1"/>
  <c r="AL232" i="5"/>
  <c r="AN232" i="5" s="1"/>
  <c r="AI232" i="5"/>
  <c r="AH232" i="5"/>
  <c r="AK232" i="5" s="1"/>
  <c r="AL231" i="5"/>
  <c r="AN231" i="5" s="1"/>
  <c r="AI231" i="5"/>
  <c r="AH231" i="5"/>
  <c r="AK231" i="5" s="1"/>
  <c r="AL230" i="5"/>
  <c r="AN230" i="5" s="1"/>
  <c r="AI230" i="5"/>
  <c r="AH230" i="5"/>
  <c r="AK230" i="5" s="1"/>
  <c r="AL229" i="5"/>
  <c r="AN229" i="5" s="1"/>
  <c r="AI229" i="5"/>
  <c r="AH229" i="5"/>
  <c r="AK229" i="5" s="1"/>
  <c r="AL228" i="5"/>
  <c r="AN228" i="5" s="1"/>
  <c r="AI228" i="5"/>
  <c r="AH228" i="5"/>
  <c r="AK228" i="5" s="1"/>
  <c r="AL227" i="5"/>
  <c r="AN227" i="5" s="1"/>
  <c r="AI227" i="5"/>
  <c r="AH227" i="5"/>
  <c r="AK227" i="5" s="1"/>
  <c r="AL226" i="5"/>
  <c r="AN226" i="5" s="1"/>
  <c r="AI226" i="5"/>
  <c r="AH226" i="5"/>
  <c r="AK226" i="5" s="1"/>
  <c r="AL225" i="5"/>
  <c r="AN225" i="5" s="1"/>
  <c r="AI225" i="5"/>
  <c r="AH225" i="5"/>
  <c r="AK225" i="5" s="1"/>
  <c r="AL224" i="5"/>
  <c r="AN224" i="5" s="1"/>
  <c r="AI224" i="5"/>
  <c r="AH224" i="5"/>
  <c r="AK224" i="5" s="1"/>
  <c r="AL223" i="5"/>
  <c r="AN223" i="5" s="1"/>
  <c r="AI223" i="5"/>
  <c r="AH223" i="5"/>
  <c r="AK223" i="5" s="1"/>
  <c r="AL222" i="5"/>
  <c r="AN222" i="5" s="1"/>
  <c r="AI222" i="5"/>
  <c r="AH222" i="5"/>
  <c r="AK222" i="5" s="1"/>
  <c r="AL221" i="5"/>
  <c r="AN221" i="5" s="1"/>
  <c r="AI221" i="5"/>
  <c r="AH221" i="5"/>
  <c r="AK221" i="5" s="1"/>
  <c r="AL220" i="5"/>
  <c r="AN220" i="5" s="1"/>
  <c r="AI220" i="5"/>
  <c r="AH220" i="5"/>
  <c r="AK220" i="5" s="1"/>
  <c r="AL219" i="5"/>
  <c r="AN219" i="5" s="1"/>
  <c r="AI219" i="5"/>
  <c r="AH219" i="5"/>
  <c r="AK219" i="5" s="1"/>
  <c r="AL218" i="5"/>
  <c r="AN218" i="5" s="1"/>
  <c r="AI218" i="5"/>
  <c r="AH218" i="5"/>
  <c r="AK218" i="5" s="1"/>
  <c r="AL217" i="5"/>
  <c r="AN217" i="5" s="1"/>
  <c r="AI217" i="5"/>
  <c r="AH217" i="5"/>
  <c r="AK217" i="5" s="1"/>
  <c r="AL216" i="5"/>
  <c r="AN216" i="5" s="1"/>
  <c r="AI216" i="5"/>
  <c r="AH216" i="5"/>
  <c r="AK216" i="5" s="1"/>
  <c r="AL215" i="5"/>
  <c r="AN215" i="5" s="1"/>
  <c r="AI215" i="5"/>
  <c r="AH215" i="5"/>
  <c r="AK215" i="5" s="1"/>
  <c r="AL214" i="5"/>
  <c r="AN214" i="5" s="1"/>
  <c r="AI214" i="5"/>
  <c r="AH214" i="5"/>
  <c r="AK214" i="5" s="1"/>
  <c r="AL213" i="5"/>
  <c r="AN213" i="5" s="1"/>
  <c r="AI213" i="5"/>
  <c r="AH213" i="5"/>
  <c r="AK213" i="5" s="1"/>
  <c r="AL212" i="5"/>
  <c r="AN212" i="5" s="1"/>
  <c r="AI212" i="5"/>
  <c r="AH212" i="5"/>
  <c r="AK212" i="5" s="1"/>
  <c r="AL211" i="5"/>
  <c r="AN211" i="5" s="1"/>
  <c r="AI211" i="5"/>
  <c r="AH211" i="5"/>
  <c r="AK211" i="5" s="1"/>
  <c r="AL210" i="5"/>
  <c r="AN210" i="5" s="1"/>
  <c r="AI210" i="5"/>
  <c r="AH210" i="5"/>
  <c r="AK210" i="5" s="1"/>
  <c r="AL209" i="5"/>
  <c r="AN209" i="5" s="1"/>
  <c r="AI209" i="5"/>
  <c r="AH209" i="5"/>
  <c r="AK209" i="5" s="1"/>
  <c r="AL208" i="5"/>
  <c r="AN208" i="5" s="1"/>
  <c r="AI208" i="5"/>
  <c r="AH208" i="5"/>
  <c r="AK208" i="5" s="1"/>
  <c r="AL207" i="5"/>
  <c r="AN207" i="5" s="1"/>
  <c r="AI207" i="5"/>
  <c r="AH207" i="5"/>
  <c r="AK207" i="5" s="1"/>
  <c r="AB207" i="5"/>
  <c r="AL206" i="5"/>
  <c r="AN206" i="5" s="1"/>
  <c r="AI206" i="5"/>
  <c r="AH206" i="5"/>
  <c r="AK206" i="5" s="1"/>
  <c r="AP205" i="5"/>
  <c r="AN205" i="5"/>
  <c r="AI205" i="5"/>
  <c r="AH205" i="5"/>
  <c r="AL204" i="5"/>
  <c r="AN204" i="5" s="1"/>
  <c r="AI204" i="5"/>
  <c r="AH204" i="5"/>
  <c r="AL203" i="5"/>
  <c r="AN203" i="5" s="1"/>
  <c r="AI203" i="5"/>
  <c r="AH203" i="5"/>
  <c r="AH200" i="5"/>
  <c r="W200" i="5"/>
  <c r="V200" i="5"/>
  <c r="AG200" i="5" s="1"/>
  <c r="K200" i="5"/>
  <c r="AH199" i="5"/>
  <c r="V199" i="5"/>
  <c r="W199" i="5" s="1"/>
  <c r="AH198" i="5"/>
  <c r="X198" i="5"/>
  <c r="Z198" i="5" s="1"/>
  <c r="V198" i="5"/>
  <c r="W198" i="5" s="1"/>
  <c r="AH197" i="5"/>
  <c r="W197" i="5"/>
  <c r="V197" i="5"/>
  <c r="AH196" i="5"/>
  <c r="X196" i="5"/>
  <c r="Z196" i="5" s="1"/>
  <c r="W196" i="5"/>
  <c r="V196" i="5"/>
  <c r="AH195" i="5"/>
  <c r="W195" i="5"/>
  <c r="V195" i="5"/>
  <c r="AH194" i="5"/>
  <c r="W194" i="5"/>
  <c r="V194" i="5"/>
  <c r="AH193" i="5"/>
  <c r="W193" i="5"/>
  <c r="V193" i="5"/>
  <c r="AH192" i="5"/>
  <c r="W192" i="5"/>
  <c r="V192" i="5"/>
  <c r="AH191" i="5"/>
  <c r="W191" i="5"/>
  <c r="V191" i="5"/>
  <c r="AH190" i="5"/>
  <c r="W190" i="5"/>
  <c r="V190" i="5"/>
  <c r="AH189" i="5"/>
  <c r="W189" i="5"/>
  <c r="V189" i="5"/>
  <c r="AH188" i="5"/>
  <c r="X188" i="5"/>
  <c r="Z188" i="5" s="1"/>
  <c r="W188" i="5"/>
  <c r="V188" i="5"/>
  <c r="AH187" i="5"/>
  <c r="W187" i="5"/>
  <c r="V187" i="5"/>
  <c r="AH186" i="5"/>
  <c r="W186" i="5"/>
  <c r="V186" i="5"/>
  <c r="AH185" i="5"/>
  <c r="W185" i="5"/>
  <c r="V185" i="5"/>
  <c r="AH184" i="5"/>
  <c r="W184" i="5"/>
  <c r="V184" i="5"/>
  <c r="AH183" i="5"/>
  <c r="W183" i="5"/>
  <c r="V183" i="5"/>
  <c r="AH182" i="5"/>
  <c r="W182" i="5"/>
  <c r="V182" i="5"/>
  <c r="AH181" i="5"/>
  <c r="W181" i="5"/>
  <c r="V181" i="5"/>
  <c r="AH180" i="5"/>
  <c r="W180" i="5"/>
  <c r="V180" i="5"/>
  <c r="AH179" i="5"/>
  <c r="W179" i="5"/>
  <c r="V179" i="5"/>
  <c r="AH178" i="5"/>
  <c r="W178" i="5"/>
  <c r="V178" i="5"/>
  <c r="AH177" i="5"/>
  <c r="W177" i="5"/>
  <c r="V177" i="5"/>
  <c r="AH176" i="5"/>
  <c r="W176" i="5"/>
  <c r="V176" i="5"/>
  <c r="AH175" i="5"/>
  <c r="W175" i="5"/>
  <c r="V175" i="5"/>
  <c r="AH174" i="5"/>
  <c r="W174" i="5"/>
  <c r="V174" i="5"/>
  <c r="AH173" i="5"/>
  <c r="W173" i="5"/>
  <c r="V173" i="5"/>
  <c r="AH172" i="5"/>
  <c r="W172" i="5"/>
  <c r="V172" i="5"/>
  <c r="AH171" i="5"/>
  <c r="W171" i="5"/>
  <c r="V171" i="5"/>
  <c r="AH170" i="5"/>
  <c r="W170" i="5"/>
  <c r="V170" i="5"/>
  <c r="AH169" i="5"/>
  <c r="W169" i="5"/>
  <c r="V169" i="5"/>
  <c r="AH168" i="5"/>
  <c r="W168" i="5"/>
  <c r="V168" i="5"/>
  <c r="AH167" i="5"/>
  <c r="W167" i="5"/>
  <c r="V167" i="5"/>
  <c r="AH166" i="5"/>
  <c r="W166" i="5"/>
  <c r="V166" i="5"/>
  <c r="AH165" i="5"/>
  <c r="W165" i="5"/>
  <c r="V165" i="5"/>
  <c r="AH164" i="5"/>
  <c r="W164" i="5"/>
  <c r="V164" i="5"/>
  <c r="AH163" i="5"/>
  <c r="W163" i="5"/>
  <c r="V163" i="5"/>
  <c r="AH162" i="5"/>
  <c r="W162" i="5"/>
  <c r="V162" i="5"/>
  <c r="AH161" i="5"/>
  <c r="W161" i="5"/>
  <c r="V161" i="5"/>
  <c r="AH160" i="5"/>
  <c r="W160" i="5"/>
  <c r="V160" i="5"/>
  <c r="AH159" i="5"/>
  <c r="W159" i="5"/>
  <c r="V159" i="5"/>
  <c r="AH158" i="5"/>
  <c r="W158" i="5"/>
  <c r="V158" i="5"/>
  <c r="AH157" i="5"/>
  <c r="W157" i="5"/>
  <c r="V157" i="5"/>
  <c r="AH156" i="5"/>
  <c r="W156" i="5"/>
  <c r="V156" i="5"/>
  <c r="AH155" i="5"/>
  <c r="W155" i="5"/>
  <c r="V155" i="5"/>
  <c r="AH154" i="5"/>
  <c r="W154" i="5"/>
  <c r="V154" i="5"/>
  <c r="AH153" i="5"/>
  <c r="W153" i="5"/>
  <c r="V153" i="5"/>
  <c r="AH152" i="5"/>
  <c r="W152" i="5"/>
  <c r="V152" i="5"/>
  <c r="AH151" i="5"/>
  <c r="W151" i="5"/>
  <c r="V151" i="5"/>
  <c r="AH150" i="5"/>
  <c r="W150" i="5"/>
  <c r="V150" i="5"/>
  <c r="AH149" i="5"/>
  <c r="W149" i="5"/>
  <c r="V149" i="5"/>
  <c r="AH148" i="5"/>
  <c r="W148" i="5"/>
  <c r="V148" i="5"/>
  <c r="AH147" i="5"/>
  <c r="W147" i="5"/>
  <c r="V147" i="5"/>
  <c r="AH146" i="5"/>
  <c r="W146" i="5"/>
  <c r="V146" i="5"/>
  <c r="AH145" i="5"/>
  <c r="W145" i="5"/>
  <c r="V145" i="5"/>
  <c r="AH144" i="5"/>
  <c r="W144" i="5"/>
  <c r="V144" i="5"/>
  <c r="AH143" i="5"/>
  <c r="W143" i="5"/>
  <c r="V143" i="5"/>
  <c r="AH142" i="5"/>
  <c r="W142" i="5"/>
  <c r="V142" i="5"/>
  <c r="AH141" i="5"/>
  <c r="W141" i="5"/>
  <c r="V141" i="5"/>
  <c r="AH140" i="5"/>
  <c r="W140" i="5"/>
  <c r="V140" i="5"/>
  <c r="AH139" i="5"/>
  <c r="W139" i="5"/>
  <c r="V139" i="5"/>
  <c r="AH138" i="5"/>
  <c r="W138" i="5"/>
  <c r="V138" i="5"/>
  <c r="AH137" i="5"/>
  <c r="W137" i="5"/>
  <c r="V137" i="5"/>
  <c r="AH136" i="5"/>
  <c r="W136" i="5"/>
  <c r="V136" i="5"/>
  <c r="AH135" i="5"/>
  <c r="W135" i="5"/>
  <c r="V135" i="5"/>
  <c r="AH134" i="5"/>
  <c r="W134" i="5"/>
  <c r="V134" i="5"/>
  <c r="AH133" i="5"/>
  <c r="W133" i="5"/>
  <c r="V133" i="5"/>
  <c r="AH132" i="5"/>
  <c r="W132" i="5"/>
  <c r="V132" i="5"/>
  <c r="AH131" i="5"/>
  <c r="W131" i="5"/>
  <c r="V131" i="5"/>
  <c r="AH130" i="5"/>
  <c r="W130" i="5"/>
  <c r="V130" i="5"/>
  <c r="AH129" i="5"/>
  <c r="W129" i="5"/>
  <c r="V129" i="5"/>
  <c r="AH128" i="5"/>
  <c r="W128" i="5"/>
  <c r="V128" i="5"/>
  <c r="AH127" i="5"/>
  <c r="W127" i="5"/>
  <c r="V127" i="5"/>
  <c r="AH126" i="5"/>
  <c r="W126" i="5"/>
  <c r="V126" i="5"/>
  <c r="AH125" i="5"/>
  <c r="W125" i="5"/>
  <c r="V125" i="5"/>
  <c r="AH124" i="5"/>
  <c r="W124" i="5"/>
  <c r="V124" i="5"/>
  <c r="AH123" i="5"/>
  <c r="W123" i="5"/>
  <c r="V123" i="5"/>
  <c r="AH122" i="5"/>
  <c r="W122" i="5"/>
  <c r="V122" i="5"/>
  <c r="AH121" i="5"/>
  <c r="W121" i="5"/>
  <c r="V121" i="5"/>
  <c r="AH120" i="5"/>
  <c r="W120" i="5"/>
  <c r="V120" i="5"/>
  <c r="AH119" i="5"/>
  <c r="W119" i="5"/>
  <c r="V119" i="5"/>
  <c r="AH118" i="5"/>
  <c r="W118" i="5"/>
  <c r="V118" i="5"/>
  <c r="AH117" i="5"/>
  <c r="W117" i="5"/>
  <c r="V117" i="5"/>
  <c r="AH116" i="5"/>
  <c r="W116" i="5"/>
  <c r="V116" i="5"/>
  <c r="AH115" i="5"/>
  <c r="W115" i="5"/>
  <c r="V115" i="5"/>
  <c r="AH114" i="5"/>
  <c r="W114" i="5"/>
  <c r="V114" i="5"/>
  <c r="AH113" i="5"/>
  <c r="W113" i="5"/>
  <c r="V113" i="5"/>
  <c r="AH112" i="5"/>
  <c r="W112" i="5"/>
  <c r="V112" i="5"/>
  <c r="AH111" i="5"/>
  <c r="W111" i="5"/>
  <c r="V111" i="5"/>
  <c r="AH110" i="5"/>
  <c r="W110" i="5"/>
  <c r="V110" i="5"/>
  <c r="AH109" i="5"/>
  <c r="W109" i="5"/>
  <c r="V109" i="5"/>
  <c r="AH108" i="5"/>
  <c r="W108" i="5"/>
  <c r="V108" i="5"/>
  <c r="AH107" i="5"/>
  <c r="W107" i="5"/>
  <c r="V107" i="5"/>
  <c r="AH106" i="5"/>
  <c r="W106" i="5"/>
  <c r="V106" i="5"/>
  <c r="AH105" i="5"/>
  <c r="W105" i="5"/>
  <c r="V105" i="5"/>
  <c r="AH104" i="5"/>
  <c r="W104" i="5"/>
  <c r="V104" i="5"/>
  <c r="AH103" i="5"/>
  <c r="W103" i="5"/>
  <c r="V103" i="5"/>
  <c r="AH102" i="5"/>
  <c r="W102" i="5"/>
  <c r="V102" i="5"/>
  <c r="AH101" i="5"/>
  <c r="W101" i="5"/>
  <c r="V101" i="5"/>
  <c r="AH100" i="5"/>
  <c r="W100" i="5"/>
  <c r="V100" i="5"/>
  <c r="AH99" i="5"/>
  <c r="W99" i="5"/>
  <c r="V99" i="5"/>
  <c r="AH98" i="5"/>
  <c r="W98" i="5"/>
  <c r="V98" i="5"/>
  <c r="AH97" i="5"/>
  <c r="W97" i="5"/>
  <c r="V97" i="5"/>
  <c r="AH96" i="5"/>
  <c r="W96" i="5"/>
  <c r="V96" i="5"/>
  <c r="AH95" i="5"/>
  <c r="W95" i="5"/>
  <c r="V95" i="5"/>
  <c r="AH94" i="5"/>
  <c r="W94" i="5"/>
  <c r="V94" i="5"/>
  <c r="AH93" i="5"/>
  <c r="W93" i="5"/>
  <c r="V93" i="5"/>
  <c r="AH92" i="5"/>
  <c r="W92" i="5"/>
  <c r="V92" i="5"/>
  <c r="AH91" i="5"/>
  <c r="W91" i="5"/>
  <c r="V91" i="5"/>
  <c r="AH90" i="5"/>
  <c r="W90" i="5"/>
  <c r="V90" i="5"/>
  <c r="AH89" i="5"/>
  <c r="W89" i="5"/>
  <c r="V89" i="5"/>
  <c r="AH88" i="5"/>
  <c r="W88" i="5"/>
  <c r="V88" i="5"/>
  <c r="AH87" i="5"/>
  <c r="AG87" i="5"/>
  <c r="V87" i="5"/>
  <c r="W87" i="5" s="1"/>
  <c r="K87" i="5"/>
  <c r="AH86" i="5"/>
  <c r="W86" i="5"/>
  <c r="V86" i="5"/>
  <c r="AG86" i="5" s="1"/>
  <c r="K86" i="5"/>
  <c r="AH85" i="5"/>
  <c r="AG85" i="5"/>
  <c r="V85" i="5"/>
  <c r="W85" i="5" s="1"/>
  <c r="K85" i="5"/>
  <c r="AH84" i="5"/>
  <c r="W84" i="5"/>
  <c r="V84" i="5"/>
  <c r="AG84" i="5" s="1"/>
  <c r="K84" i="5"/>
  <c r="AH83" i="5"/>
  <c r="AG83" i="5"/>
  <c r="V83" i="5"/>
  <c r="W83" i="5" s="1"/>
  <c r="K83" i="5"/>
  <c r="AH82" i="5"/>
  <c r="W82" i="5"/>
  <c r="V82" i="5"/>
  <c r="AG82" i="5" s="1"/>
  <c r="K82" i="5"/>
  <c r="AH81" i="5"/>
  <c r="AG81" i="5"/>
  <c r="V81" i="5"/>
  <c r="W81" i="5" s="1"/>
  <c r="K81" i="5"/>
  <c r="AH80" i="5"/>
  <c r="W80" i="5"/>
  <c r="V80" i="5"/>
  <c r="AG80" i="5" s="1"/>
  <c r="K80" i="5"/>
  <c r="AH79" i="5"/>
  <c r="AG79" i="5"/>
  <c r="V79" i="5"/>
  <c r="W79" i="5" s="1"/>
  <c r="K79" i="5"/>
  <c r="AH78" i="5"/>
  <c r="W78" i="5"/>
  <c r="V78" i="5"/>
  <c r="AG78" i="5" s="1"/>
  <c r="K78" i="5"/>
  <c r="AH77" i="5"/>
  <c r="AG77" i="5"/>
  <c r="V77" i="5"/>
  <c r="W77" i="5" s="1"/>
  <c r="K77" i="5"/>
  <c r="AH76" i="5"/>
  <c r="W76" i="5"/>
  <c r="V76" i="5"/>
  <c r="AG76" i="5" s="1"/>
  <c r="K76" i="5"/>
  <c r="AH75" i="5"/>
  <c r="AG75" i="5"/>
  <c r="V75" i="5"/>
  <c r="W75" i="5" s="1"/>
  <c r="K75" i="5"/>
  <c r="AH74" i="5"/>
  <c r="W74" i="5"/>
  <c r="V74" i="5"/>
  <c r="AG74" i="5" s="1"/>
  <c r="K74" i="5"/>
  <c r="AH73" i="5"/>
  <c r="AG73" i="5"/>
  <c r="V73" i="5"/>
  <c r="W73" i="5" s="1"/>
  <c r="K73" i="5"/>
  <c r="AH72" i="5"/>
  <c r="W72" i="5"/>
  <c r="V72" i="5"/>
  <c r="AG72" i="5" s="1"/>
  <c r="K72" i="5"/>
  <c r="AH71" i="5"/>
  <c r="V71" i="5"/>
  <c r="K71" i="5"/>
  <c r="AH70" i="5"/>
  <c r="W70" i="5"/>
  <c r="V70" i="5"/>
  <c r="AG70" i="5" s="1"/>
  <c r="K70" i="5"/>
  <c r="AH69" i="5"/>
  <c r="AG69" i="5"/>
  <c r="W69" i="5"/>
  <c r="V69" i="5"/>
  <c r="K69" i="5"/>
  <c r="AH68" i="5"/>
  <c r="W68" i="5"/>
  <c r="V68" i="5"/>
  <c r="AG68" i="5" s="1"/>
  <c r="K68" i="5"/>
  <c r="AH67" i="5"/>
  <c r="V67" i="5"/>
  <c r="K67" i="5"/>
  <c r="AH66" i="5"/>
  <c r="W66" i="5"/>
  <c r="V66" i="5"/>
  <c r="AG66" i="5" s="1"/>
  <c r="K66" i="5"/>
  <c r="AH65" i="5"/>
  <c r="AG65" i="5"/>
  <c r="W65" i="5"/>
  <c r="V65" i="5"/>
  <c r="K65" i="5"/>
  <c r="AH64" i="5"/>
  <c r="W64" i="5"/>
  <c r="V64" i="5"/>
  <c r="AG64" i="5" s="1"/>
  <c r="K64" i="5"/>
  <c r="AH63" i="5"/>
  <c r="V63" i="5"/>
  <c r="K63" i="5"/>
  <c r="AH62" i="5"/>
  <c r="W62" i="5"/>
  <c r="V62" i="5"/>
  <c r="AG62" i="5" s="1"/>
  <c r="K62" i="5"/>
  <c r="AH61" i="5"/>
  <c r="AG61" i="5"/>
  <c r="W61" i="5"/>
  <c r="V61" i="5"/>
  <c r="K61" i="5"/>
  <c r="AH60" i="5"/>
  <c r="W60" i="5"/>
  <c r="V60" i="5"/>
  <c r="AG60" i="5" s="1"/>
  <c r="K60" i="5"/>
  <c r="AH59" i="5"/>
  <c r="V59" i="5"/>
  <c r="K59" i="5"/>
  <c r="AH58" i="5"/>
  <c r="W58" i="5"/>
  <c r="V58" i="5"/>
  <c r="AG58" i="5" s="1"/>
  <c r="K58" i="5"/>
  <c r="AH57" i="5"/>
  <c r="AG57" i="5"/>
  <c r="W57" i="5"/>
  <c r="V57" i="5"/>
  <c r="K57" i="5"/>
  <c r="AH56" i="5"/>
  <c r="W56" i="5"/>
  <c r="V56" i="5"/>
  <c r="AG56" i="5" s="1"/>
  <c r="K56" i="5"/>
  <c r="AH55" i="5"/>
  <c r="V55" i="5"/>
  <c r="K55" i="5"/>
  <c r="AH54" i="5"/>
  <c r="W54" i="5"/>
  <c r="V54" i="5"/>
  <c r="AG54" i="5" s="1"/>
  <c r="K54" i="5"/>
  <c r="AH53" i="5"/>
  <c r="V53" i="5"/>
  <c r="W53" i="5" s="1"/>
  <c r="K53" i="5"/>
  <c r="AH52" i="5"/>
  <c r="W52" i="5"/>
  <c r="V52" i="5"/>
  <c r="AG52" i="5" s="1"/>
  <c r="K52" i="5"/>
  <c r="AH51" i="5"/>
  <c r="AG51" i="5"/>
  <c r="V51" i="5"/>
  <c r="W51" i="5" s="1"/>
  <c r="K51" i="5"/>
  <c r="AH50" i="5"/>
  <c r="W50" i="5"/>
  <c r="V50" i="5"/>
  <c r="AG50" i="5" s="1"/>
  <c r="K50" i="5"/>
  <c r="AH49" i="5"/>
  <c r="AG49" i="5"/>
  <c r="V49" i="5"/>
  <c r="W49" i="5" s="1"/>
  <c r="K49" i="5"/>
  <c r="AH48" i="5"/>
  <c r="W48" i="5"/>
  <c r="V48" i="5"/>
  <c r="AG48" i="5" s="1"/>
  <c r="K48" i="5"/>
  <c r="AH47" i="5"/>
  <c r="AG47" i="5"/>
  <c r="V47" i="5"/>
  <c r="W47" i="5" s="1"/>
  <c r="K47" i="5"/>
  <c r="AH46" i="5"/>
  <c r="W46" i="5"/>
  <c r="V46" i="5"/>
  <c r="AG46" i="5" s="1"/>
  <c r="K46" i="5"/>
  <c r="AH45" i="5"/>
  <c r="V45" i="5"/>
  <c r="W45" i="5" s="1"/>
  <c r="K45" i="5"/>
  <c r="AH44" i="5"/>
  <c r="W44" i="5"/>
  <c r="V44" i="5"/>
  <c r="AG44" i="5" s="1"/>
  <c r="K44" i="5"/>
  <c r="AH43" i="5"/>
  <c r="AG43" i="5"/>
  <c r="V43" i="5"/>
  <c r="W43" i="5" s="1"/>
  <c r="K43" i="5"/>
  <c r="AH42" i="5"/>
  <c r="W42" i="5"/>
  <c r="V42" i="5"/>
  <c r="AG42" i="5" s="1"/>
  <c r="K42" i="5"/>
  <c r="AH41" i="5"/>
  <c r="V41" i="5"/>
  <c r="W41" i="5" s="1"/>
  <c r="K41" i="5"/>
  <c r="AH40" i="5"/>
  <c r="W40" i="5"/>
  <c r="V40" i="5"/>
  <c r="AG40" i="5" s="1"/>
  <c r="K40" i="5"/>
  <c r="AH39" i="5"/>
  <c r="AG39" i="5"/>
  <c r="V39" i="5"/>
  <c r="W39" i="5" s="1"/>
  <c r="K39" i="5"/>
  <c r="AH38" i="5"/>
  <c r="V38" i="5"/>
  <c r="AG38" i="5" s="1"/>
  <c r="K38" i="5"/>
  <c r="AH37" i="5"/>
  <c r="V37" i="5"/>
  <c r="W37" i="5" s="1"/>
  <c r="K37" i="5"/>
  <c r="AH36" i="5"/>
  <c r="W36" i="5"/>
  <c r="V36" i="5"/>
  <c r="AG36" i="5" s="1"/>
  <c r="K36" i="5"/>
  <c r="AH35" i="5"/>
  <c r="V35" i="5"/>
  <c r="W35" i="5" s="1"/>
  <c r="K35" i="5"/>
  <c r="AH34" i="5"/>
  <c r="W34" i="5"/>
  <c r="V34" i="5"/>
  <c r="AG34" i="5" s="1"/>
  <c r="K34" i="5"/>
  <c r="AH33" i="5"/>
  <c r="V33" i="5"/>
  <c r="W33" i="5" s="1"/>
  <c r="K33" i="5"/>
  <c r="AH32" i="5"/>
  <c r="W32" i="5"/>
  <c r="V32" i="5"/>
  <c r="AG32" i="5" s="1"/>
  <c r="K32" i="5"/>
  <c r="AH31" i="5"/>
  <c r="AG31" i="5"/>
  <c r="V31" i="5"/>
  <c r="W31" i="5" s="1"/>
  <c r="K31" i="5"/>
  <c r="AH30" i="5"/>
  <c r="W30" i="5"/>
  <c r="V30" i="5"/>
  <c r="AG30" i="5" s="1"/>
  <c r="K30" i="5"/>
  <c r="AH29" i="5"/>
  <c r="V29" i="5"/>
  <c r="W29" i="5" s="1"/>
  <c r="K29" i="5"/>
  <c r="AH28" i="5"/>
  <c r="V28" i="5"/>
  <c r="AG28" i="5" s="1"/>
  <c r="K28" i="5"/>
  <c r="AH27" i="5"/>
  <c r="V27" i="5"/>
  <c r="W27" i="5" s="1"/>
  <c r="K27" i="5"/>
  <c r="AH26" i="5"/>
  <c r="V26" i="5"/>
  <c r="AG26" i="5" s="1"/>
  <c r="K26" i="5"/>
  <c r="AH25" i="5"/>
  <c r="V25" i="5"/>
  <c r="W25" i="5" s="1"/>
  <c r="K25" i="5"/>
  <c r="AH24" i="5"/>
  <c r="V24" i="5"/>
  <c r="AG24" i="5" s="1"/>
  <c r="K24" i="5"/>
  <c r="AH23" i="5"/>
  <c r="V23" i="5"/>
  <c r="W23" i="5" s="1"/>
  <c r="K23" i="5"/>
  <c r="AH22" i="5"/>
  <c r="V22" i="5"/>
  <c r="AG22" i="5" s="1"/>
  <c r="K22" i="5"/>
  <c r="AH21" i="5"/>
  <c r="V21" i="5"/>
  <c r="W21" i="5" s="1"/>
  <c r="K21" i="5"/>
  <c r="AH20" i="5"/>
  <c r="V20" i="5"/>
  <c r="AG20" i="5" s="1"/>
  <c r="K20" i="5"/>
  <c r="AH19" i="5"/>
  <c r="V19" i="5"/>
  <c r="W19" i="5" s="1"/>
  <c r="K19" i="5"/>
  <c r="AH18" i="5"/>
  <c r="V18" i="5"/>
  <c r="AG18" i="5" s="1"/>
  <c r="K18" i="5"/>
  <c r="AH17" i="5"/>
  <c r="V17" i="5"/>
  <c r="W17" i="5" s="1"/>
  <c r="K17" i="5"/>
  <c r="AH16" i="5"/>
  <c r="V16" i="5"/>
  <c r="AG16" i="5" s="1"/>
  <c r="K16" i="5"/>
  <c r="AH15" i="5"/>
  <c r="V15" i="5"/>
  <c r="W15" i="5" s="1"/>
  <c r="K15" i="5"/>
  <c r="AH14" i="5"/>
  <c r="W14" i="5"/>
  <c r="V14" i="5"/>
  <c r="AG14" i="5" s="1"/>
  <c r="K14" i="5"/>
  <c r="AH13" i="5"/>
  <c r="V13" i="5"/>
  <c r="W13" i="5" s="1"/>
  <c r="K13" i="5"/>
  <c r="AH12" i="5"/>
  <c r="W12" i="5"/>
  <c r="V12" i="5"/>
  <c r="AG12" i="5" s="1"/>
  <c r="K12" i="5"/>
  <c r="AH11" i="5"/>
  <c r="V11" i="5"/>
  <c r="W11" i="5" s="1"/>
  <c r="K11" i="5"/>
  <c r="AH10" i="5"/>
  <c r="V10" i="5"/>
  <c r="AG10" i="5" s="1"/>
  <c r="K10" i="5"/>
  <c r="AH9" i="5"/>
  <c r="V9" i="5"/>
  <c r="W9" i="5" s="1"/>
  <c r="K9" i="5"/>
  <c r="AH8" i="5"/>
  <c r="W8" i="5"/>
  <c r="V8" i="5"/>
  <c r="AG8" i="5" s="1"/>
  <c r="K8" i="5"/>
  <c r="AH7" i="5"/>
  <c r="AG7" i="5"/>
  <c r="V7" i="5"/>
  <c r="W7" i="5" s="1"/>
  <c r="K7" i="5"/>
  <c r="AH6" i="5"/>
  <c r="W6" i="5"/>
  <c r="V6" i="5"/>
  <c r="AG6" i="5" s="1"/>
  <c r="K6" i="5"/>
  <c r="AH5" i="5"/>
  <c r="AH4" i="5"/>
  <c r="AG4" i="5"/>
  <c r="AH3" i="5"/>
  <c r="AH2" i="5"/>
  <c r="AL267" i="4"/>
  <c r="AI267" i="4"/>
  <c r="AH267" i="4"/>
  <c r="AK267" i="4" s="1"/>
  <c r="AL266" i="4"/>
  <c r="AN266" i="4" s="1"/>
  <c r="AI266" i="4"/>
  <c r="AH266" i="4"/>
  <c r="AK266" i="4" s="1"/>
  <c r="AL265" i="4"/>
  <c r="AM265" i="4" s="1"/>
  <c r="AP265" i="4" s="1"/>
  <c r="AI265" i="4"/>
  <c r="AH265" i="4"/>
  <c r="AK265" i="4" s="1"/>
  <c r="AL264" i="4"/>
  <c r="AN264" i="4" s="1"/>
  <c r="AI264" i="4"/>
  <c r="AH264" i="4"/>
  <c r="AK264" i="4" s="1"/>
  <c r="AL263" i="4"/>
  <c r="AN263" i="4" s="1"/>
  <c r="AI263" i="4"/>
  <c r="AH263" i="4"/>
  <c r="AK263" i="4" s="1"/>
  <c r="AL262" i="4"/>
  <c r="AN262" i="4" s="1"/>
  <c r="AI262" i="4"/>
  <c r="AH262" i="4"/>
  <c r="AK262" i="4" s="1"/>
  <c r="AL261" i="4"/>
  <c r="AN261" i="4" s="1"/>
  <c r="AI261" i="4"/>
  <c r="AH261" i="4"/>
  <c r="AK261" i="4" s="1"/>
  <c r="AL260" i="4"/>
  <c r="AN260" i="4" s="1"/>
  <c r="AI260" i="4"/>
  <c r="AH260" i="4"/>
  <c r="AK260" i="4" s="1"/>
  <c r="AL259" i="4"/>
  <c r="AN259" i="4" s="1"/>
  <c r="AI259" i="4"/>
  <c r="AH259" i="4"/>
  <c r="AL258" i="4"/>
  <c r="AN258" i="4" s="1"/>
  <c r="AI258" i="4"/>
  <c r="AH258" i="4"/>
  <c r="AL257" i="4"/>
  <c r="AN257" i="4" s="1"/>
  <c r="AI257" i="4"/>
  <c r="AH257" i="4"/>
  <c r="AL256" i="4"/>
  <c r="AN256" i="4" s="1"/>
  <c r="AI256" i="4"/>
  <c r="AH256" i="4"/>
  <c r="AL255" i="4"/>
  <c r="AN255" i="4" s="1"/>
  <c r="AI255" i="4"/>
  <c r="AH255" i="4"/>
  <c r="AL254" i="4"/>
  <c r="AN254" i="4" s="1"/>
  <c r="AH254" i="4"/>
  <c r="AL253" i="4"/>
  <c r="AN253" i="4" s="1"/>
  <c r="AH253" i="4"/>
  <c r="AL252" i="4"/>
  <c r="AN252" i="4" s="1"/>
  <c r="AI252" i="4"/>
  <c r="AH252" i="4"/>
  <c r="AL251" i="4"/>
  <c r="AN251" i="4" s="1"/>
  <c r="AI251" i="4"/>
  <c r="AH251" i="4"/>
  <c r="AL250" i="4"/>
  <c r="AN250" i="4" s="1"/>
  <c r="AI250" i="4"/>
  <c r="AH250" i="4"/>
  <c r="AL249" i="4"/>
  <c r="AN249" i="4" s="1"/>
  <c r="AI249" i="4"/>
  <c r="AH249" i="4"/>
  <c r="AL248" i="4"/>
  <c r="AN248" i="4" s="1"/>
  <c r="AI248" i="4"/>
  <c r="AH248" i="4"/>
  <c r="AL247" i="4"/>
  <c r="AN247" i="4" s="1"/>
  <c r="AI247" i="4"/>
  <c r="AH247" i="4"/>
  <c r="AL246" i="4"/>
  <c r="AN246" i="4" s="1"/>
  <c r="AI246" i="4"/>
  <c r="AH246" i="4"/>
  <c r="AL245" i="4"/>
  <c r="AN245" i="4" s="1"/>
  <c r="AI245" i="4"/>
  <c r="AH245" i="4"/>
  <c r="AL244" i="4"/>
  <c r="AN244" i="4" s="1"/>
  <c r="AI244" i="4"/>
  <c r="AH244" i="4"/>
  <c r="AL243" i="4"/>
  <c r="AN243" i="4" s="1"/>
  <c r="AI243" i="4"/>
  <c r="AH243" i="4"/>
  <c r="AL242" i="4"/>
  <c r="AN242" i="4" s="1"/>
  <c r="AH242" i="4"/>
  <c r="AL241" i="4"/>
  <c r="AN241" i="4" s="1"/>
  <c r="AI241" i="4"/>
  <c r="AH241" i="4"/>
  <c r="AL240" i="4"/>
  <c r="AN240" i="4" s="1"/>
  <c r="AI240" i="4"/>
  <c r="AH240" i="4"/>
  <c r="AL239" i="4"/>
  <c r="AN239" i="4" s="1"/>
  <c r="AI239" i="4"/>
  <c r="AH239" i="4"/>
  <c r="AL238" i="4"/>
  <c r="AN238" i="4" s="1"/>
  <c r="AI238" i="4"/>
  <c r="AH238" i="4"/>
  <c r="AL237" i="4"/>
  <c r="AN237" i="4" s="1"/>
  <c r="AI237" i="4"/>
  <c r="AH237" i="4"/>
  <c r="AL236" i="4"/>
  <c r="AN236" i="4" s="1"/>
  <c r="AI236" i="4"/>
  <c r="AH236" i="4"/>
  <c r="AL235" i="4"/>
  <c r="AN235" i="4" s="1"/>
  <c r="AI235" i="4"/>
  <c r="AH235" i="4"/>
  <c r="AL234" i="4"/>
  <c r="AN234" i="4" s="1"/>
  <c r="AI234" i="4"/>
  <c r="AH234" i="4"/>
  <c r="AL233" i="4"/>
  <c r="AN233" i="4" s="1"/>
  <c r="AI233" i="4"/>
  <c r="AH233" i="4"/>
  <c r="AL232" i="4"/>
  <c r="AN232" i="4" s="1"/>
  <c r="AI232" i="4"/>
  <c r="AH232" i="4"/>
  <c r="AL231" i="4"/>
  <c r="AN231" i="4" s="1"/>
  <c r="AI231" i="4"/>
  <c r="AH231" i="4"/>
  <c r="AL230" i="4"/>
  <c r="AN230" i="4" s="1"/>
  <c r="AI230" i="4"/>
  <c r="AH230" i="4"/>
  <c r="AK230" i="4" s="1"/>
  <c r="AL229" i="4"/>
  <c r="AI229" i="4"/>
  <c r="AH229" i="4"/>
  <c r="AK229" i="4" s="1"/>
  <c r="AL228" i="4"/>
  <c r="AN228" i="4" s="1"/>
  <c r="AI228" i="4"/>
  <c r="AH228" i="4"/>
  <c r="AK228" i="4" s="1"/>
  <c r="AL227" i="4"/>
  <c r="AI227" i="4"/>
  <c r="AH227" i="4"/>
  <c r="AK227" i="4" s="1"/>
  <c r="AL226" i="4"/>
  <c r="AN226" i="4" s="1"/>
  <c r="AI226" i="4"/>
  <c r="AH226" i="4"/>
  <c r="AK226" i="4" s="1"/>
  <c r="AL225" i="4"/>
  <c r="AI225" i="4"/>
  <c r="AH225" i="4"/>
  <c r="AK225" i="4" s="1"/>
  <c r="AL224" i="4"/>
  <c r="AN224" i="4" s="1"/>
  <c r="AI224" i="4"/>
  <c r="AH224" i="4"/>
  <c r="AK224" i="4" s="1"/>
  <c r="AL223" i="4"/>
  <c r="AI223" i="4"/>
  <c r="AH223" i="4"/>
  <c r="AK223" i="4" s="1"/>
  <c r="AL222" i="4"/>
  <c r="AI222" i="4"/>
  <c r="AH222" i="4"/>
  <c r="AK222" i="4" s="1"/>
  <c r="AL221" i="4"/>
  <c r="AN221" i="4" s="1"/>
  <c r="AI221" i="4"/>
  <c r="AH221" i="4"/>
  <c r="AK221" i="4" s="1"/>
  <c r="AL220" i="4"/>
  <c r="AN220" i="4" s="1"/>
  <c r="AI220" i="4"/>
  <c r="AH220" i="4"/>
  <c r="AK220" i="4" s="1"/>
  <c r="AL219" i="4"/>
  <c r="AN219" i="4" s="1"/>
  <c r="AI219" i="4"/>
  <c r="AH219" i="4"/>
  <c r="AK219" i="4" s="1"/>
  <c r="AL218" i="4"/>
  <c r="AN218" i="4" s="1"/>
  <c r="AI218" i="4"/>
  <c r="AH218" i="4"/>
  <c r="AK218" i="4" s="1"/>
  <c r="AL217" i="4"/>
  <c r="AN217" i="4" s="1"/>
  <c r="AI217" i="4"/>
  <c r="AH217" i="4"/>
  <c r="AL216" i="4"/>
  <c r="AN216" i="4" s="1"/>
  <c r="AI216" i="4"/>
  <c r="AH216" i="4"/>
  <c r="AL215" i="4"/>
  <c r="AN215" i="4" s="1"/>
  <c r="AI215" i="4"/>
  <c r="AH215" i="4"/>
  <c r="AL214" i="4"/>
  <c r="AN214" i="4" s="1"/>
  <c r="AI214" i="4"/>
  <c r="AH214" i="4"/>
  <c r="AL213" i="4"/>
  <c r="AN213" i="4" s="1"/>
  <c r="AI213" i="4"/>
  <c r="AH213" i="4"/>
  <c r="AL212" i="4"/>
  <c r="AN212" i="4" s="1"/>
  <c r="AI212" i="4"/>
  <c r="AH212" i="4"/>
  <c r="AL211" i="4"/>
  <c r="AN211" i="4" s="1"/>
  <c r="AI211" i="4"/>
  <c r="AH211" i="4"/>
  <c r="AL210" i="4"/>
  <c r="AN210" i="4" s="1"/>
  <c r="AI210" i="4"/>
  <c r="AH210" i="4"/>
  <c r="AL209" i="4"/>
  <c r="AN209" i="4" s="1"/>
  <c r="AI209" i="4"/>
  <c r="AH209" i="4"/>
  <c r="AL208" i="4"/>
  <c r="AN208" i="4" s="1"/>
  <c r="AI208" i="4"/>
  <c r="AH208" i="4"/>
  <c r="AL207" i="4"/>
  <c r="AN207" i="4" s="1"/>
  <c r="AI207" i="4"/>
  <c r="AH207" i="4"/>
  <c r="AB207" i="4"/>
  <c r="AL206" i="4"/>
  <c r="AN206" i="4" s="1"/>
  <c r="AI206" i="4"/>
  <c r="AH206" i="4"/>
  <c r="AK206" i="4" s="1"/>
  <c r="AP205" i="4"/>
  <c r="AN205" i="4"/>
  <c r="AI205" i="4"/>
  <c r="AH205" i="4"/>
  <c r="AK205" i="4" s="1"/>
  <c r="AL204" i="4"/>
  <c r="AI204" i="4"/>
  <c r="AH204" i="4"/>
  <c r="AK204" i="4" s="1"/>
  <c r="AL203" i="4"/>
  <c r="AI203" i="4"/>
  <c r="AH203" i="4"/>
  <c r="AK203" i="4" s="1"/>
  <c r="AH200" i="4"/>
  <c r="V200" i="4"/>
  <c r="W200" i="4" s="1"/>
  <c r="K200" i="4"/>
  <c r="AH199" i="4"/>
  <c r="V199" i="4"/>
  <c r="W199" i="4" s="1"/>
  <c r="AH198" i="4"/>
  <c r="W198" i="4"/>
  <c r="V198" i="4"/>
  <c r="AH197" i="4"/>
  <c r="W197" i="4"/>
  <c r="V197" i="4"/>
  <c r="AH196" i="4"/>
  <c r="W196" i="4"/>
  <c r="V196" i="4"/>
  <c r="AH195" i="4"/>
  <c r="W195" i="4"/>
  <c r="V195" i="4"/>
  <c r="AH194" i="4"/>
  <c r="W194" i="4"/>
  <c r="V194" i="4"/>
  <c r="AH193" i="4"/>
  <c r="W193" i="4"/>
  <c r="V193" i="4"/>
  <c r="AH192" i="4"/>
  <c r="W192" i="4"/>
  <c r="V192" i="4"/>
  <c r="AH191" i="4"/>
  <c r="W191" i="4"/>
  <c r="V191" i="4"/>
  <c r="AH190" i="4"/>
  <c r="W190" i="4"/>
  <c r="V190" i="4"/>
  <c r="AH189" i="4"/>
  <c r="W189" i="4"/>
  <c r="V189" i="4"/>
  <c r="AH188" i="4"/>
  <c r="W188" i="4"/>
  <c r="V188" i="4"/>
  <c r="AH187" i="4"/>
  <c r="W187" i="4"/>
  <c r="V187" i="4"/>
  <c r="AH186" i="4"/>
  <c r="W186" i="4"/>
  <c r="V186" i="4"/>
  <c r="AH185" i="4"/>
  <c r="W185" i="4"/>
  <c r="V185" i="4"/>
  <c r="AH184" i="4"/>
  <c r="W184" i="4"/>
  <c r="V184" i="4"/>
  <c r="AH183" i="4"/>
  <c r="W183" i="4"/>
  <c r="V183" i="4"/>
  <c r="AH182" i="4"/>
  <c r="W182" i="4"/>
  <c r="V182" i="4"/>
  <c r="AH181" i="4"/>
  <c r="W181" i="4"/>
  <c r="V181" i="4"/>
  <c r="AH180" i="4"/>
  <c r="W180" i="4"/>
  <c r="V180" i="4"/>
  <c r="AH179" i="4"/>
  <c r="W179" i="4"/>
  <c r="V179" i="4"/>
  <c r="AH178" i="4"/>
  <c r="W178" i="4"/>
  <c r="V178" i="4"/>
  <c r="AH177" i="4"/>
  <c r="W177" i="4"/>
  <c r="V177" i="4"/>
  <c r="AH176" i="4"/>
  <c r="W176" i="4"/>
  <c r="V176" i="4"/>
  <c r="AH175" i="4"/>
  <c r="W175" i="4"/>
  <c r="V175" i="4"/>
  <c r="AH174" i="4"/>
  <c r="W174" i="4"/>
  <c r="V174" i="4"/>
  <c r="AH173" i="4"/>
  <c r="W173" i="4"/>
  <c r="V173" i="4"/>
  <c r="AH172" i="4"/>
  <c r="W172" i="4"/>
  <c r="V172" i="4"/>
  <c r="AH171" i="4"/>
  <c r="W171" i="4"/>
  <c r="V171" i="4"/>
  <c r="AH170" i="4"/>
  <c r="W170" i="4"/>
  <c r="V170" i="4"/>
  <c r="AH169" i="4"/>
  <c r="W169" i="4"/>
  <c r="V169" i="4"/>
  <c r="AH168" i="4"/>
  <c r="W168" i="4"/>
  <c r="V168" i="4"/>
  <c r="AH167" i="4"/>
  <c r="W167" i="4"/>
  <c r="V167" i="4"/>
  <c r="AH166" i="4"/>
  <c r="W166" i="4"/>
  <c r="V166" i="4"/>
  <c r="AH165" i="4"/>
  <c r="W165" i="4"/>
  <c r="V165" i="4"/>
  <c r="AH164" i="4"/>
  <c r="W164" i="4"/>
  <c r="V164" i="4"/>
  <c r="AH163" i="4"/>
  <c r="W163" i="4"/>
  <c r="V163" i="4"/>
  <c r="AH162" i="4"/>
  <c r="W162" i="4"/>
  <c r="V162" i="4"/>
  <c r="AH161" i="4"/>
  <c r="W161" i="4"/>
  <c r="V161" i="4"/>
  <c r="AH160" i="4"/>
  <c r="W160" i="4"/>
  <c r="V160" i="4"/>
  <c r="AH159" i="4"/>
  <c r="W159" i="4"/>
  <c r="V159" i="4"/>
  <c r="AH158" i="4"/>
  <c r="W158" i="4"/>
  <c r="V158" i="4"/>
  <c r="AH157" i="4"/>
  <c r="W157" i="4"/>
  <c r="V157" i="4"/>
  <c r="AH156" i="4"/>
  <c r="W156" i="4"/>
  <c r="V156" i="4"/>
  <c r="AH155" i="4"/>
  <c r="W155" i="4"/>
  <c r="V155" i="4"/>
  <c r="AH154" i="4"/>
  <c r="W154" i="4"/>
  <c r="V154" i="4"/>
  <c r="AH153" i="4"/>
  <c r="W153" i="4"/>
  <c r="V153" i="4"/>
  <c r="AH152" i="4"/>
  <c r="W152" i="4"/>
  <c r="V152" i="4"/>
  <c r="AH151" i="4"/>
  <c r="W151" i="4"/>
  <c r="V151" i="4"/>
  <c r="AH150" i="4"/>
  <c r="W150" i="4"/>
  <c r="V150" i="4"/>
  <c r="AH149" i="4"/>
  <c r="W149" i="4"/>
  <c r="V149" i="4"/>
  <c r="AH148" i="4"/>
  <c r="W148" i="4"/>
  <c r="V148" i="4"/>
  <c r="AH147" i="4"/>
  <c r="W147" i="4"/>
  <c r="V147" i="4"/>
  <c r="AH146" i="4"/>
  <c r="W146" i="4"/>
  <c r="V146" i="4"/>
  <c r="AH145" i="4"/>
  <c r="W145" i="4"/>
  <c r="V145" i="4"/>
  <c r="AH144" i="4"/>
  <c r="W144" i="4"/>
  <c r="V144" i="4"/>
  <c r="AH143" i="4"/>
  <c r="W143" i="4"/>
  <c r="V143" i="4"/>
  <c r="AH142" i="4"/>
  <c r="W142" i="4"/>
  <c r="V142" i="4"/>
  <c r="AH141" i="4"/>
  <c r="W141" i="4"/>
  <c r="V141" i="4"/>
  <c r="AH140" i="4"/>
  <c r="W140" i="4"/>
  <c r="V140" i="4"/>
  <c r="AH139" i="4"/>
  <c r="W139" i="4"/>
  <c r="V139" i="4"/>
  <c r="AH138" i="4"/>
  <c r="W138" i="4"/>
  <c r="V138" i="4"/>
  <c r="AH137" i="4"/>
  <c r="W137" i="4"/>
  <c r="V137" i="4"/>
  <c r="AH136" i="4"/>
  <c r="W136" i="4"/>
  <c r="V136" i="4"/>
  <c r="AH135" i="4"/>
  <c r="W135" i="4"/>
  <c r="V135" i="4"/>
  <c r="AH134" i="4"/>
  <c r="W134" i="4"/>
  <c r="V134" i="4"/>
  <c r="AH133" i="4"/>
  <c r="W133" i="4"/>
  <c r="V133" i="4"/>
  <c r="AH132" i="4"/>
  <c r="W132" i="4"/>
  <c r="V132" i="4"/>
  <c r="AH131" i="4"/>
  <c r="W131" i="4"/>
  <c r="V131" i="4"/>
  <c r="AH130" i="4"/>
  <c r="W130" i="4"/>
  <c r="V130" i="4"/>
  <c r="AH129" i="4"/>
  <c r="W129" i="4"/>
  <c r="V129" i="4"/>
  <c r="AH128" i="4"/>
  <c r="W128" i="4"/>
  <c r="V128" i="4"/>
  <c r="AH127" i="4"/>
  <c r="W127" i="4"/>
  <c r="V127" i="4"/>
  <c r="AH126" i="4"/>
  <c r="W126" i="4"/>
  <c r="V126" i="4"/>
  <c r="AH125" i="4"/>
  <c r="W125" i="4"/>
  <c r="V125" i="4"/>
  <c r="AH124" i="4"/>
  <c r="W124" i="4"/>
  <c r="V124" i="4"/>
  <c r="AH123" i="4"/>
  <c r="W123" i="4"/>
  <c r="V123" i="4"/>
  <c r="AH122" i="4"/>
  <c r="W122" i="4"/>
  <c r="V122" i="4"/>
  <c r="AH121" i="4"/>
  <c r="W121" i="4"/>
  <c r="V121" i="4"/>
  <c r="AH120" i="4"/>
  <c r="W120" i="4"/>
  <c r="V120" i="4"/>
  <c r="AH119" i="4"/>
  <c r="W119" i="4"/>
  <c r="V119" i="4"/>
  <c r="AH118" i="4"/>
  <c r="W118" i="4"/>
  <c r="V118" i="4"/>
  <c r="AH117" i="4"/>
  <c r="W117" i="4"/>
  <c r="V117" i="4"/>
  <c r="AH116" i="4"/>
  <c r="W116" i="4"/>
  <c r="V116" i="4"/>
  <c r="AH115" i="4"/>
  <c r="W115" i="4"/>
  <c r="V115" i="4"/>
  <c r="AH114" i="4"/>
  <c r="W114" i="4"/>
  <c r="V114" i="4"/>
  <c r="AH113" i="4"/>
  <c r="W113" i="4"/>
  <c r="V113" i="4"/>
  <c r="AH112" i="4"/>
  <c r="W112" i="4"/>
  <c r="V112" i="4"/>
  <c r="AH111" i="4"/>
  <c r="W111" i="4"/>
  <c r="V111" i="4"/>
  <c r="AH110" i="4"/>
  <c r="W110" i="4"/>
  <c r="V110" i="4"/>
  <c r="AH109" i="4"/>
  <c r="W109" i="4"/>
  <c r="V109" i="4"/>
  <c r="AH108" i="4"/>
  <c r="W108" i="4"/>
  <c r="V108" i="4"/>
  <c r="AH107" i="4"/>
  <c r="W107" i="4"/>
  <c r="V107" i="4"/>
  <c r="AH106" i="4"/>
  <c r="W106" i="4"/>
  <c r="V106" i="4"/>
  <c r="AH105" i="4"/>
  <c r="W105" i="4"/>
  <c r="V105" i="4"/>
  <c r="AH104" i="4"/>
  <c r="W104" i="4"/>
  <c r="V104" i="4"/>
  <c r="AH103" i="4"/>
  <c r="W103" i="4"/>
  <c r="V103" i="4"/>
  <c r="AH102" i="4"/>
  <c r="W102" i="4"/>
  <c r="V102" i="4"/>
  <c r="AH101" i="4"/>
  <c r="W101" i="4"/>
  <c r="V101" i="4"/>
  <c r="AH100" i="4"/>
  <c r="W100" i="4"/>
  <c r="V100" i="4"/>
  <c r="AH99" i="4"/>
  <c r="W99" i="4"/>
  <c r="V99" i="4"/>
  <c r="AH98" i="4"/>
  <c r="W98" i="4"/>
  <c r="V98" i="4"/>
  <c r="AH97" i="4"/>
  <c r="W97" i="4"/>
  <c r="V97" i="4"/>
  <c r="AH96" i="4"/>
  <c r="W96" i="4"/>
  <c r="V96" i="4"/>
  <c r="AH95" i="4"/>
  <c r="W95" i="4"/>
  <c r="V95" i="4"/>
  <c r="AH94" i="4"/>
  <c r="W94" i="4"/>
  <c r="V94" i="4"/>
  <c r="AH93" i="4"/>
  <c r="W93" i="4"/>
  <c r="V93" i="4"/>
  <c r="AH92" i="4"/>
  <c r="W92" i="4"/>
  <c r="V92" i="4"/>
  <c r="AH91" i="4"/>
  <c r="W91" i="4"/>
  <c r="V91" i="4"/>
  <c r="AH90" i="4"/>
  <c r="W90" i="4"/>
  <c r="V90" i="4"/>
  <c r="AH89" i="4"/>
  <c r="W89" i="4"/>
  <c r="V89" i="4"/>
  <c r="AH88" i="4"/>
  <c r="W88" i="4"/>
  <c r="V88" i="4"/>
  <c r="AH87" i="4"/>
  <c r="AG87" i="4"/>
  <c r="V87" i="4"/>
  <c r="W87" i="4" s="1"/>
  <c r="K87" i="4"/>
  <c r="AH86" i="4"/>
  <c r="AG86" i="4"/>
  <c r="V86" i="4"/>
  <c r="W86" i="4" s="1"/>
  <c r="K86" i="4"/>
  <c r="AH85" i="4"/>
  <c r="AG85" i="4"/>
  <c r="V85" i="4"/>
  <c r="W85" i="4" s="1"/>
  <c r="K85" i="4"/>
  <c r="AH84" i="4"/>
  <c r="V84" i="4"/>
  <c r="W84" i="4" s="1"/>
  <c r="K84" i="4"/>
  <c r="AH83" i="4"/>
  <c r="AG83" i="4"/>
  <c r="V83" i="4"/>
  <c r="W83" i="4" s="1"/>
  <c r="K83" i="4"/>
  <c r="AH82" i="4"/>
  <c r="AG82" i="4"/>
  <c r="V82" i="4"/>
  <c r="W82" i="4" s="1"/>
  <c r="K82" i="4"/>
  <c r="AH81" i="4"/>
  <c r="AG81" i="4"/>
  <c r="V81" i="4"/>
  <c r="W81" i="4" s="1"/>
  <c r="K81" i="4"/>
  <c r="AH80" i="4"/>
  <c r="V80" i="4"/>
  <c r="W80" i="4" s="1"/>
  <c r="K80" i="4"/>
  <c r="AH79" i="4"/>
  <c r="AG79" i="4"/>
  <c r="V79" i="4"/>
  <c r="W79" i="4" s="1"/>
  <c r="K79" i="4"/>
  <c r="AH78" i="4"/>
  <c r="AG78" i="4"/>
  <c r="V78" i="4"/>
  <c r="W78" i="4" s="1"/>
  <c r="K78" i="4"/>
  <c r="AH77" i="4"/>
  <c r="AG77" i="4"/>
  <c r="V77" i="4"/>
  <c r="W77" i="4" s="1"/>
  <c r="K77" i="4"/>
  <c r="AH76" i="4"/>
  <c r="V76" i="4"/>
  <c r="W76" i="4" s="1"/>
  <c r="K76" i="4"/>
  <c r="AH75" i="4"/>
  <c r="AG75" i="4"/>
  <c r="V75" i="4"/>
  <c r="W75" i="4" s="1"/>
  <c r="K75" i="4"/>
  <c r="AH74" i="4"/>
  <c r="AG74" i="4"/>
  <c r="V74" i="4"/>
  <c r="W74" i="4" s="1"/>
  <c r="K74" i="4"/>
  <c r="AH73" i="4"/>
  <c r="AG73" i="4"/>
  <c r="V73" i="4"/>
  <c r="W73" i="4" s="1"/>
  <c r="K73" i="4"/>
  <c r="AH72" i="4"/>
  <c r="V72" i="4"/>
  <c r="W72" i="4" s="1"/>
  <c r="K72" i="4"/>
  <c r="AH71" i="4"/>
  <c r="AG71" i="4"/>
  <c r="V71" i="4"/>
  <c r="W71" i="4" s="1"/>
  <c r="K71" i="4"/>
  <c r="AH70" i="4"/>
  <c r="AG70" i="4"/>
  <c r="V70" i="4"/>
  <c r="W70" i="4" s="1"/>
  <c r="K70" i="4"/>
  <c r="AH69" i="4"/>
  <c r="AG69" i="4"/>
  <c r="V69" i="4"/>
  <c r="W69" i="4" s="1"/>
  <c r="K69" i="4"/>
  <c r="AH68" i="4"/>
  <c r="V68" i="4"/>
  <c r="W68" i="4" s="1"/>
  <c r="K68" i="4"/>
  <c r="AH67" i="4"/>
  <c r="AG67" i="4"/>
  <c r="V67" i="4"/>
  <c r="W67" i="4" s="1"/>
  <c r="K67" i="4"/>
  <c r="AH66" i="4"/>
  <c r="AG66" i="4"/>
  <c r="V66" i="4"/>
  <c r="W66" i="4" s="1"/>
  <c r="K66" i="4"/>
  <c r="AH65" i="4"/>
  <c r="AG65" i="4"/>
  <c r="V65" i="4"/>
  <c r="W65" i="4" s="1"/>
  <c r="K65" i="4"/>
  <c r="AH64" i="4"/>
  <c r="V64" i="4"/>
  <c r="W64" i="4" s="1"/>
  <c r="K64" i="4"/>
  <c r="AH63" i="4"/>
  <c r="AG63" i="4"/>
  <c r="V63" i="4"/>
  <c r="W63" i="4" s="1"/>
  <c r="K63" i="4"/>
  <c r="AH62" i="4"/>
  <c r="AG62" i="4"/>
  <c r="V62" i="4"/>
  <c r="W62" i="4" s="1"/>
  <c r="K62" i="4"/>
  <c r="AH61" i="4"/>
  <c r="AG61" i="4"/>
  <c r="V61" i="4"/>
  <c r="W61" i="4" s="1"/>
  <c r="K61" i="4"/>
  <c r="AH60" i="4"/>
  <c r="V60" i="4"/>
  <c r="W60" i="4" s="1"/>
  <c r="K60" i="4"/>
  <c r="AH59" i="4"/>
  <c r="AG59" i="4"/>
  <c r="V59" i="4"/>
  <c r="W59" i="4" s="1"/>
  <c r="K59" i="4"/>
  <c r="AH58" i="4"/>
  <c r="AG58" i="4"/>
  <c r="V58" i="4"/>
  <c r="W58" i="4" s="1"/>
  <c r="K58" i="4"/>
  <c r="AH57" i="4"/>
  <c r="AG57" i="4"/>
  <c r="V57" i="4"/>
  <c r="W57" i="4" s="1"/>
  <c r="K57" i="4"/>
  <c r="AH56" i="4"/>
  <c r="V56" i="4"/>
  <c r="W56" i="4" s="1"/>
  <c r="K56" i="4"/>
  <c r="AH55" i="4"/>
  <c r="AG55" i="4"/>
  <c r="V55" i="4"/>
  <c r="W55" i="4" s="1"/>
  <c r="K55" i="4"/>
  <c r="AH54" i="4"/>
  <c r="AG54" i="4"/>
  <c r="V54" i="4"/>
  <c r="W54" i="4" s="1"/>
  <c r="K54" i="4"/>
  <c r="AH53" i="4"/>
  <c r="AG53" i="4"/>
  <c r="V53" i="4"/>
  <c r="W53" i="4" s="1"/>
  <c r="K53" i="4"/>
  <c r="AH52" i="4"/>
  <c r="V52" i="4"/>
  <c r="W52" i="4" s="1"/>
  <c r="K52" i="4"/>
  <c r="AH51" i="4"/>
  <c r="AG51" i="4"/>
  <c r="V51" i="4"/>
  <c r="W51" i="4" s="1"/>
  <c r="K51" i="4"/>
  <c r="AH50" i="4"/>
  <c r="AG50" i="4"/>
  <c r="V50" i="4"/>
  <c r="W50" i="4" s="1"/>
  <c r="K50" i="4"/>
  <c r="AH49" i="4"/>
  <c r="AG49" i="4"/>
  <c r="V49" i="4"/>
  <c r="W49" i="4" s="1"/>
  <c r="K49" i="4"/>
  <c r="AH48" i="4"/>
  <c r="V48" i="4"/>
  <c r="W48" i="4" s="1"/>
  <c r="K48" i="4"/>
  <c r="AH47" i="4"/>
  <c r="AG47" i="4"/>
  <c r="V47" i="4"/>
  <c r="W47" i="4" s="1"/>
  <c r="K47" i="4"/>
  <c r="AH46" i="4"/>
  <c r="AG46" i="4"/>
  <c r="V46" i="4"/>
  <c r="W46" i="4" s="1"/>
  <c r="K46" i="4"/>
  <c r="AH45" i="4"/>
  <c r="AG45" i="4"/>
  <c r="V45" i="4"/>
  <c r="W45" i="4" s="1"/>
  <c r="K45" i="4"/>
  <c r="AH44" i="4"/>
  <c r="V44" i="4"/>
  <c r="W44" i="4" s="1"/>
  <c r="K44" i="4"/>
  <c r="AH43" i="4"/>
  <c r="AG43" i="4"/>
  <c r="V43" i="4"/>
  <c r="W43" i="4" s="1"/>
  <c r="K43" i="4"/>
  <c r="AH42" i="4"/>
  <c r="AG42" i="4"/>
  <c r="V42" i="4"/>
  <c r="W42" i="4" s="1"/>
  <c r="K42" i="4"/>
  <c r="AH41" i="4"/>
  <c r="AG41" i="4"/>
  <c r="V41" i="4"/>
  <c r="W41" i="4" s="1"/>
  <c r="K41" i="4"/>
  <c r="AH40" i="4"/>
  <c r="V40" i="4"/>
  <c r="W40" i="4" s="1"/>
  <c r="K40" i="4"/>
  <c r="AH39" i="4"/>
  <c r="AG39" i="4"/>
  <c r="V39" i="4"/>
  <c r="W39" i="4" s="1"/>
  <c r="K39" i="4"/>
  <c r="AH38" i="4"/>
  <c r="AG38" i="4"/>
  <c r="V38" i="4"/>
  <c r="W38" i="4" s="1"/>
  <c r="K38" i="4"/>
  <c r="AH37" i="4"/>
  <c r="AG37" i="4"/>
  <c r="V37" i="4"/>
  <c r="W37" i="4" s="1"/>
  <c r="K37" i="4"/>
  <c r="AH36" i="4"/>
  <c r="V36" i="4"/>
  <c r="W36" i="4" s="1"/>
  <c r="K36" i="4"/>
  <c r="AH35" i="4"/>
  <c r="AG35" i="4"/>
  <c r="V35" i="4"/>
  <c r="W35" i="4" s="1"/>
  <c r="K35" i="4"/>
  <c r="AH34" i="4"/>
  <c r="AG34" i="4"/>
  <c r="V34" i="4"/>
  <c r="W34" i="4" s="1"/>
  <c r="K34" i="4"/>
  <c r="AH33" i="4"/>
  <c r="AG33" i="4"/>
  <c r="V33" i="4"/>
  <c r="W33" i="4" s="1"/>
  <c r="K33" i="4"/>
  <c r="AH32" i="4"/>
  <c r="V32" i="4"/>
  <c r="W32" i="4" s="1"/>
  <c r="K32" i="4"/>
  <c r="AH31" i="4"/>
  <c r="V31" i="4"/>
  <c r="W31" i="4" s="1"/>
  <c r="K31" i="4"/>
  <c r="AH30" i="4"/>
  <c r="V30" i="4"/>
  <c r="W30" i="4" s="1"/>
  <c r="K30" i="4"/>
  <c r="AH29" i="4"/>
  <c r="V29" i="4"/>
  <c r="W29" i="4" s="1"/>
  <c r="K29" i="4"/>
  <c r="AH28" i="4"/>
  <c r="V28" i="4"/>
  <c r="AG28" i="4" s="1"/>
  <c r="K28" i="4"/>
  <c r="AH27" i="4"/>
  <c r="V27" i="4"/>
  <c r="W27" i="4" s="1"/>
  <c r="K27" i="4"/>
  <c r="AH26" i="4"/>
  <c r="V26" i="4"/>
  <c r="AG26" i="4" s="1"/>
  <c r="K26" i="4"/>
  <c r="AH25" i="4"/>
  <c r="V25" i="4"/>
  <c r="AG25" i="4" s="1"/>
  <c r="K25" i="4"/>
  <c r="AH24" i="4"/>
  <c r="V24" i="4"/>
  <c r="AG24" i="4" s="1"/>
  <c r="K24" i="4"/>
  <c r="AH23" i="4"/>
  <c r="V23" i="4"/>
  <c r="W23" i="4" s="1"/>
  <c r="K23" i="4"/>
  <c r="AH22" i="4"/>
  <c r="V22" i="4"/>
  <c r="AG22" i="4" s="1"/>
  <c r="K22" i="4"/>
  <c r="AH21" i="4"/>
  <c r="V21" i="4"/>
  <c r="W21" i="4" s="1"/>
  <c r="K21" i="4"/>
  <c r="AH20" i="4"/>
  <c r="V20" i="4"/>
  <c r="AG20" i="4" s="1"/>
  <c r="K20" i="4"/>
  <c r="AH19" i="4"/>
  <c r="V19" i="4"/>
  <c r="W19" i="4" s="1"/>
  <c r="K19" i="4"/>
  <c r="AH18" i="4"/>
  <c r="V18" i="4"/>
  <c r="AG18" i="4" s="1"/>
  <c r="K18" i="4"/>
  <c r="AH17" i="4"/>
  <c r="V17" i="4"/>
  <c r="W17" i="4" s="1"/>
  <c r="K17" i="4"/>
  <c r="AH16" i="4"/>
  <c r="V16" i="4"/>
  <c r="AG16" i="4" s="1"/>
  <c r="K16" i="4"/>
  <c r="AH15" i="4"/>
  <c r="AG15" i="4"/>
  <c r="K15" i="4"/>
  <c r="AH14" i="4"/>
  <c r="V14" i="4"/>
  <c r="AG14" i="4" s="1"/>
  <c r="K14" i="4"/>
  <c r="AH13" i="4"/>
  <c r="V13" i="4"/>
  <c r="W13" i="4" s="1"/>
  <c r="K13" i="4"/>
  <c r="AH12" i="4"/>
  <c r="V12" i="4"/>
  <c r="AG12" i="4" s="1"/>
  <c r="K12" i="4"/>
  <c r="AH11" i="4"/>
  <c r="V11" i="4"/>
  <c r="W11" i="4" s="1"/>
  <c r="K11" i="4"/>
  <c r="AH10" i="4"/>
  <c r="V10" i="4"/>
  <c r="AG10" i="4" s="1"/>
  <c r="K10" i="4"/>
  <c r="AH9" i="4"/>
  <c r="V9" i="4"/>
  <c r="AG9" i="4" s="1"/>
  <c r="K9" i="4"/>
  <c r="AH8" i="4"/>
  <c r="V8" i="4"/>
  <c r="AG8" i="4" s="1"/>
  <c r="K8" i="4"/>
  <c r="AH7" i="4"/>
  <c r="V7" i="4"/>
  <c r="W7" i="4" s="1"/>
  <c r="K7" i="4"/>
  <c r="AH6" i="4"/>
  <c r="V6" i="4"/>
  <c r="AG6" i="4" s="1"/>
  <c r="K6" i="4"/>
  <c r="AH5" i="4"/>
  <c r="V5" i="4"/>
  <c r="W5" i="4" s="1"/>
  <c r="K5" i="4"/>
  <c r="AH4" i="4"/>
  <c r="V4" i="4"/>
  <c r="AG4" i="4" s="1"/>
  <c r="K4" i="4"/>
  <c r="AH3" i="4"/>
  <c r="V3" i="4"/>
  <c r="AG3" i="4" s="1"/>
  <c r="K3" i="4"/>
  <c r="AH2" i="4"/>
  <c r="V2" i="4"/>
  <c r="AG2" i="4" s="1"/>
  <c r="K2" i="4"/>
  <c r="AL267" i="3"/>
  <c r="AN267" i="3" s="1"/>
  <c r="AI267" i="3"/>
  <c r="AH267" i="3"/>
  <c r="AK267" i="3" s="1"/>
  <c r="AL266" i="3"/>
  <c r="AI266" i="3"/>
  <c r="AH266" i="3"/>
  <c r="AK266" i="3" s="1"/>
  <c r="AL265" i="3"/>
  <c r="AM265" i="3" s="1"/>
  <c r="AP265" i="3" s="1"/>
  <c r="AI265" i="3"/>
  <c r="AH265" i="3"/>
  <c r="AK265" i="3" s="1"/>
  <c r="AL264" i="3"/>
  <c r="AN264" i="3" s="1"/>
  <c r="AI264" i="3"/>
  <c r="AH264" i="3"/>
  <c r="AK264" i="3" s="1"/>
  <c r="AL263" i="3"/>
  <c r="AN263" i="3" s="1"/>
  <c r="AI263" i="3"/>
  <c r="AH263" i="3"/>
  <c r="AK263" i="3" s="1"/>
  <c r="AL262" i="3"/>
  <c r="AN262" i="3" s="1"/>
  <c r="AI262" i="3"/>
  <c r="AH262" i="3"/>
  <c r="AK262" i="3" s="1"/>
  <c r="AL261" i="3"/>
  <c r="AN261" i="3" s="1"/>
  <c r="AI261" i="3"/>
  <c r="AH261" i="3"/>
  <c r="AK261" i="3" s="1"/>
  <c r="AL260" i="3"/>
  <c r="AN260" i="3" s="1"/>
  <c r="AI260" i="3"/>
  <c r="AH260" i="3"/>
  <c r="AK260" i="3" s="1"/>
  <c r="AL259" i="3"/>
  <c r="AN259" i="3" s="1"/>
  <c r="AI259" i="3"/>
  <c r="AH259" i="3"/>
  <c r="AK259" i="3" s="1"/>
  <c r="AL258" i="3"/>
  <c r="AN258" i="3" s="1"/>
  <c r="AI258" i="3"/>
  <c r="AH258" i="3"/>
  <c r="AK258" i="3" s="1"/>
  <c r="AL257" i="3"/>
  <c r="AN257" i="3" s="1"/>
  <c r="AI257" i="3"/>
  <c r="AH257" i="3"/>
  <c r="AK257" i="3" s="1"/>
  <c r="AL256" i="3"/>
  <c r="AN256" i="3" s="1"/>
  <c r="AI256" i="3"/>
  <c r="AH256" i="3"/>
  <c r="AL255" i="3"/>
  <c r="AN255" i="3" s="1"/>
  <c r="AI255" i="3"/>
  <c r="AH255" i="3"/>
  <c r="AK255" i="3" s="1"/>
  <c r="AL254" i="3"/>
  <c r="AN254" i="3" s="1"/>
  <c r="AH254" i="3"/>
  <c r="AK254" i="3" s="1"/>
  <c r="AL253" i="3"/>
  <c r="AN253" i="3" s="1"/>
  <c r="AH253" i="3"/>
  <c r="AK253" i="3" s="1"/>
  <c r="AL252" i="3"/>
  <c r="AN252" i="3" s="1"/>
  <c r="AI252" i="3"/>
  <c r="AH252" i="3"/>
  <c r="AK252" i="3" s="1"/>
  <c r="AL251" i="3"/>
  <c r="AN251" i="3" s="1"/>
  <c r="AH251" i="3"/>
  <c r="AK251" i="3" s="1"/>
  <c r="AL250" i="3"/>
  <c r="AN250" i="3" s="1"/>
  <c r="AI250" i="3"/>
  <c r="AH250" i="3"/>
  <c r="AK250" i="3" s="1"/>
  <c r="AL249" i="3"/>
  <c r="AN249" i="3" s="1"/>
  <c r="AI249" i="3"/>
  <c r="AH249" i="3"/>
  <c r="AK249" i="3" s="1"/>
  <c r="AL248" i="3"/>
  <c r="AN248" i="3" s="1"/>
  <c r="AI248" i="3"/>
  <c r="AH248" i="3"/>
  <c r="AK248" i="3" s="1"/>
  <c r="AL247" i="3"/>
  <c r="AN247" i="3" s="1"/>
  <c r="AI247" i="3"/>
  <c r="AH247" i="3"/>
  <c r="AK247" i="3" s="1"/>
  <c r="AL246" i="3"/>
  <c r="AN246" i="3" s="1"/>
  <c r="AI246" i="3"/>
  <c r="AH246" i="3"/>
  <c r="AK246" i="3" s="1"/>
  <c r="AL245" i="3"/>
  <c r="AN245" i="3" s="1"/>
  <c r="AI245" i="3"/>
  <c r="AH245" i="3"/>
  <c r="AK245" i="3" s="1"/>
  <c r="AL244" i="3"/>
  <c r="AN244" i="3" s="1"/>
  <c r="AI244" i="3"/>
  <c r="AH244" i="3"/>
  <c r="AK244" i="3" s="1"/>
  <c r="AL243" i="3"/>
  <c r="AN243" i="3" s="1"/>
  <c r="AI243" i="3"/>
  <c r="AH243" i="3"/>
  <c r="AK243" i="3" s="1"/>
  <c r="AL242" i="3"/>
  <c r="AN242" i="3" s="1"/>
  <c r="AH242" i="3"/>
  <c r="AK242" i="3" s="1"/>
  <c r="AL241" i="3"/>
  <c r="AN241" i="3" s="1"/>
  <c r="AH241" i="3"/>
  <c r="AK241" i="3" s="1"/>
  <c r="AL240" i="3"/>
  <c r="AN240" i="3" s="1"/>
  <c r="AH240" i="3"/>
  <c r="AK240" i="3" s="1"/>
  <c r="AL239" i="3"/>
  <c r="AN239" i="3" s="1"/>
  <c r="AI239" i="3"/>
  <c r="AH239" i="3"/>
  <c r="AK239" i="3" s="1"/>
  <c r="AL238" i="3"/>
  <c r="AN238" i="3" s="1"/>
  <c r="AI238" i="3"/>
  <c r="AH238" i="3"/>
  <c r="AK238" i="3" s="1"/>
  <c r="AL237" i="3"/>
  <c r="AN237" i="3" s="1"/>
  <c r="AI237" i="3"/>
  <c r="AH237" i="3"/>
  <c r="AK237" i="3" s="1"/>
  <c r="AL236" i="3"/>
  <c r="AN236" i="3" s="1"/>
  <c r="AI236" i="3"/>
  <c r="AH236" i="3"/>
  <c r="AK236" i="3" s="1"/>
  <c r="AL235" i="3"/>
  <c r="AN235" i="3" s="1"/>
  <c r="AI235" i="3"/>
  <c r="AH235" i="3"/>
  <c r="AK235" i="3" s="1"/>
  <c r="AL234" i="3"/>
  <c r="AN234" i="3" s="1"/>
  <c r="AI234" i="3"/>
  <c r="AH234" i="3"/>
  <c r="AK234" i="3" s="1"/>
  <c r="AL233" i="3"/>
  <c r="AN233" i="3" s="1"/>
  <c r="AI233" i="3"/>
  <c r="AH233" i="3"/>
  <c r="AK233" i="3" s="1"/>
  <c r="AL232" i="3"/>
  <c r="AN232" i="3" s="1"/>
  <c r="AI232" i="3"/>
  <c r="AH232" i="3"/>
  <c r="AK232" i="3" s="1"/>
  <c r="AL231" i="3"/>
  <c r="AN231" i="3" s="1"/>
  <c r="AI231" i="3"/>
  <c r="AH231" i="3"/>
  <c r="AK231" i="3" s="1"/>
  <c r="AL230" i="3"/>
  <c r="AN230" i="3" s="1"/>
  <c r="AI230" i="3"/>
  <c r="AH230" i="3"/>
  <c r="AK230" i="3" s="1"/>
  <c r="AL229" i="3"/>
  <c r="AN229" i="3" s="1"/>
  <c r="AI229" i="3"/>
  <c r="AH229" i="3"/>
  <c r="AK229" i="3" s="1"/>
  <c r="AL228" i="3"/>
  <c r="AN228" i="3" s="1"/>
  <c r="AI228" i="3"/>
  <c r="AH228" i="3"/>
  <c r="AK228" i="3" s="1"/>
  <c r="AL227" i="3"/>
  <c r="AN227" i="3" s="1"/>
  <c r="AI227" i="3"/>
  <c r="AH227" i="3"/>
  <c r="AK227" i="3" s="1"/>
  <c r="AL226" i="3"/>
  <c r="AN226" i="3" s="1"/>
  <c r="AI226" i="3"/>
  <c r="AH226" i="3"/>
  <c r="AK226" i="3" s="1"/>
  <c r="AL225" i="3"/>
  <c r="AN225" i="3" s="1"/>
  <c r="AI225" i="3"/>
  <c r="AH225" i="3"/>
  <c r="AK225" i="3" s="1"/>
  <c r="AL224" i="3"/>
  <c r="AN224" i="3" s="1"/>
  <c r="AI224" i="3"/>
  <c r="AH224" i="3"/>
  <c r="AK224" i="3" s="1"/>
  <c r="AL223" i="3"/>
  <c r="AN223" i="3" s="1"/>
  <c r="AI223" i="3"/>
  <c r="AH223" i="3"/>
  <c r="AK223" i="3" s="1"/>
  <c r="AL222" i="3"/>
  <c r="AN222" i="3" s="1"/>
  <c r="AI222" i="3"/>
  <c r="AH222" i="3"/>
  <c r="AK222" i="3" s="1"/>
  <c r="AL221" i="3"/>
  <c r="AN221" i="3" s="1"/>
  <c r="AI221" i="3"/>
  <c r="AH221" i="3"/>
  <c r="AK221" i="3" s="1"/>
  <c r="AL220" i="3"/>
  <c r="AN220" i="3" s="1"/>
  <c r="AI220" i="3"/>
  <c r="AH220" i="3"/>
  <c r="AK220" i="3" s="1"/>
  <c r="AL219" i="3"/>
  <c r="AN219" i="3" s="1"/>
  <c r="AI219" i="3"/>
  <c r="AH219" i="3"/>
  <c r="AK219" i="3" s="1"/>
  <c r="AL218" i="3"/>
  <c r="AN218" i="3" s="1"/>
  <c r="AI218" i="3"/>
  <c r="AH218" i="3"/>
  <c r="AK218" i="3" s="1"/>
  <c r="AL217" i="3"/>
  <c r="AN217" i="3" s="1"/>
  <c r="AI217" i="3"/>
  <c r="AH217" i="3"/>
  <c r="AK217" i="3" s="1"/>
  <c r="AL216" i="3"/>
  <c r="AN216" i="3" s="1"/>
  <c r="AI216" i="3"/>
  <c r="AH216" i="3"/>
  <c r="AK216" i="3" s="1"/>
  <c r="AL215" i="3"/>
  <c r="AN215" i="3" s="1"/>
  <c r="AI215" i="3"/>
  <c r="AH215" i="3"/>
  <c r="AK215" i="3" s="1"/>
  <c r="AL214" i="3"/>
  <c r="AN214" i="3" s="1"/>
  <c r="AI214" i="3"/>
  <c r="AH214" i="3"/>
  <c r="AK214" i="3" s="1"/>
  <c r="AL213" i="3"/>
  <c r="AN213" i="3" s="1"/>
  <c r="AI213" i="3"/>
  <c r="AH213" i="3"/>
  <c r="AK213" i="3" s="1"/>
  <c r="AL212" i="3"/>
  <c r="AN212" i="3" s="1"/>
  <c r="AI212" i="3"/>
  <c r="AH212" i="3"/>
  <c r="AK212" i="3" s="1"/>
  <c r="AL211" i="3"/>
  <c r="AN211" i="3" s="1"/>
  <c r="AI211" i="3"/>
  <c r="AH211" i="3"/>
  <c r="AK211" i="3" s="1"/>
  <c r="AL210" i="3"/>
  <c r="AN210" i="3" s="1"/>
  <c r="AI210" i="3"/>
  <c r="AH210" i="3"/>
  <c r="AK210" i="3" s="1"/>
  <c r="AL209" i="3"/>
  <c r="AN209" i="3" s="1"/>
  <c r="AI209" i="3"/>
  <c r="AH209" i="3"/>
  <c r="AK209" i="3" s="1"/>
  <c r="AL208" i="3"/>
  <c r="AN208" i="3" s="1"/>
  <c r="AI208" i="3"/>
  <c r="AH208" i="3"/>
  <c r="AK208" i="3" s="1"/>
  <c r="AL207" i="3"/>
  <c r="AN207" i="3" s="1"/>
  <c r="AI207" i="3"/>
  <c r="AH207" i="3"/>
  <c r="AK207" i="3" s="1"/>
  <c r="AB207" i="3"/>
  <c r="AL206" i="3"/>
  <c r="AN206" i="3" s="1"/>
  <c r="AI206" i="3"/>
  <c r="AH206" i="3"/>
  <c r="AK206" i="3" s="1"/>
  <c r="AP205" i="3"/>
  <c r="AN205" i="3"/>
  <c r="AI205" i="3"/>
  <c r="AH205" i="3"/>
  <c r="AK205" i="3" s="1"/>
  <c r="AL204" i="3"/>
  <c r="AN204" i="3" s="1"/>
  <c r="AI204" i="3"/>
  <c r="AH204" i="3"/>
  <c r="AK204" i="3" s="1"/>
  <c r="AL203" i="3"/>
  <c r="AN203" i="3" s="1"/>
  <c r="AI203" i="3"/>
  <c r="AH203" i="3"/>
  <c r="AK203" i="3" s="1"/>
  <c r="AH200" i="3"/>
  <c r="W200" i="3"/>
  <c r="V200" i="3"/>
  <c r="AG200" i="3" s="1"/>
  <c r="K200" i="3"/>
  <c r="AH199" i="3"/>
  <c r="V199" i="3"/>
  <c r="W199" i="3" s="1"/>
  <c r="AH198" i="3"/>
  <c r="W198" i="3"/>
  <c r="V198" i="3"/>
  <c r="AH197" i="3"/>
  <c r="W197" i="3"/>
  <c r="V197" i="3"/>
  <c r="AH196" i="3"/>
  <c r="W196" i="3"/>
  <c r="V196" i="3"/>
  <c r="AH195" i="3"/>
  <c r="W195" i="3"/>
  <c r="V195" i="3"/>
  <c r="AH194" i="3"/>
  <c r="W194" i="3"/>
  <c r="V194" i="3"/>
  <c r="AH193" i="3"/>
  <c r="W193" i="3"/>
  <c r="V193" i="3"/>
  <c r="AH192" i="3"/>
  <c r="W192" i="3"/>
  <c r="V192" i="3"/>
  <c r="AH191" i="3"/>
  <c r="W191" i="3"/>
  <c r="V191" i="3"/>
  <c r="AH190" i="3"/>
  <c r="W190" i="3"/>
  <c r="V190" i="3"/>
  <c r="AH189" i="3"/>
  <c r="W189" i="3"/>
  <c r="V189" i="3"/>
  <c r="AH188" i="3"/>
  <c r="W188" i="3"/>
  <c r="V188" i="3"/>
  <c r="AH187" i="3"/>
  <c r="W187" i="3"/>
  <c r="V187" i="3"/>
  <c r="AH186" i="3"/>
  <c r="W186" i="3"/>
  <c r="V186" i="3"/>
  <c r="AH185" i="3"/>
  <c r="W185" i="3"/>
  <c r="V185" i="3"/>
  <c r="AH184" i="3"/>
  <c r="W184" i="3"/>
  <c r="V184" i="3"/>
  <c r="AH183" i="3"/>
  <c r="W183" i="3"/>
  <c r="V183" i="3"/>
  <c r="AH182" i="3"/>
  <c r="W182" i="3"/>
  <c r="V182" i="3"/>
  <c r="AH181" i="3"/>
  <c r="W181" i="3"/>
  <c r="V181" i="3"/>
  <c r="AH180" i="3"/>
  <c r="W180" i="3"/>
  <c r="V180" i="3"/>
  <c r="AH179" i="3"/>
  <c r="W179" i="3"/>
  <c r="V179" i="3"/>
  <c r="AH178" i="3"/>
  <c r="W178" i="3"/>
  <c r="V178" i="3"/>
  <c r="AH177" i="3"/>
  <c r="W177" i="3"/>
  <c r="V177" i="3"/>
  <c r="AH176" i="3"/>
  <c r="W176" i="3"/>
  <c r="V176" i="3"/>
  <c r="AH175" i="3"/>
  <c r="W175" i="3"/>
  <c r="V175" i="3"/>
  <c r="AH174" i="3"/>
  <c r="W174" i="3"/>
  <c r="V174" i="3"/>
  <c r="AH173" i="3"/>
  <c r="W173" i="3"/>
  <c r="V173" i="3"/>
  <c r="AH172" i="3"/>
  <c r="W172" i="3"/>
  <c r="V172" i="3"/>
  <c r="AH171" i="3"/>
  <c r="W171" i="3"/>
  <c r="V171" i="3"/>
  <c r="AH170" i="3"/>
  <c r="W170" i="3"/>
  <c r="V170" i="3"/>
  <c r="AH169" i="3"/>
  <c r="W169" i="3"/>
  <c r="V169" i="3"/>
  <c r="AH168" i="3"/>
  <c r="W168" i="3"/>
  <c r="V168" i="3"/>
  <c r="AH167" i="3"/>
  <c r="W167" i="3"/>
  <c r="V167" i="3"/>
  <c r="AH166" i="3"/>
  <c r="W166" i="3"/>
  <c r="V166" i="3"/>
  <c r="AH165" i="3"/>
  <c r="W165" i="3"/>
  <c r="V165" i="3"/>
  <c r="AH164" i="3"/>
  <c r="W164" i="3"/>
  <c r="V164" i="3"/>
  <c r="AH163" i="3"/>
  <c r="W163" i="3"/>
  <c r="V163" i="3"/>
  <c r="AH162" i="3"/>
  <c r="W162" i="3"/>
  <c r="V162" i="3"/>
  <c r="AH161" i="3"/>
  <c r="W161" i="3"/>
  <c r="V161" i="3"/>
  <c r="AH160" i="3"/>
  <c r="W160" i="3"/>
  <c r="V160" i="3"/>
  <c r="AH159" i="3"/>
  <c r="W159" i="3"/>
  <c r="V159" i="3"/>
  <c r="AH158" i="3"/>
  <c r="W158" i="3"/>
  <c r="V158" i="3"/>
  <c r="AH157" i="3"/>
  <c r="W157" i="3"/>
  <c r="V157" i="3"/>
  <c r="AH156" i="3"/>
  <c r="W156" i="3"/>
  <c r="V156" i="3"/>
  <c r="AH155" i="3"/>
  <c r="W155" i="3"/>
  <c r="V155" i="3"/>
  <c r="AH154" i="3"/>
  <c r="W154" i="3"/>
  <c r="V154" i="3"/>
  <c r="AH153" i="3"/>
  <c r="W153" i="3"/>
  <c r="V153" i="3"/>
  <c r="AH152" i="3"/>
  <c r="W152" i="3"/>
  <c r="V152" i="3"/>
  <c r="AH151" i="3"/>
  <c r="W151" i="3"/>
  <c r="V151" i="3"/>
  <c r="AH150" i="3"/>
  <c r="W150" i="3"/>
  <c r="V150" i="3"/>
  <c r="AH149" i="3"/>
  <c r="W149" i="3"/>
  <c r="V149" i="3"/>
  <c r="AH148" i="3"/>
  <c r="W148" i="3"/>
  <c r="V148" i="3"/>
  <c r="AH147" i="3"/>
  <c r="W147" i="3"/>
  <c r="V147" i="3"/>
  <c r="AH146" i="3"/>
  <c r="W146" i="3"/>
  <c r="V146" i="3"/>
  <c r="AH145" i="3"/>
  <c r="W145" i="3"/>
  <c r="V145" i="3"/>
  <c r="AH144" i="3"/>
  <c r="W144" i="3"/>
  <c r="V144" i="3"/>
  <c r="AH143" i="3"/>
  <c r="W143" i="3"/>
  <c r="V143" i="3"/>
  <c r="AH142" i="3"/>
  <c r="W142" i="3"/>
  <c r="V142" i="3"/>
  <c r="AH141" i="3"/>
  <c r="W141" i="3"/>
  <c r="V141" i="3"/>
  <c r="AH140" i="3"/>
  <c r="W140" i="3"/>
  <c r="V140" i="3"/>
  <c r="AH139" i="3"/>
  <c r="W139" i="3"/>
  <c r="V139" i="3"/>
  <c r="AH138" i="3"/>
  <c r="W138" i="3"/>
  <c r="V138" i="3"/>
  <c r="AH137" i="3"/>
  <c r="W137" i="3"/>
  <c r="V137" i="3"/>
  <c r="AH136" i="3"/>
  <c r="W136" i="3"/>
  <c r="V136" i="3"/>
  <c r="AH135" i="3"/>
  <c r="W135" i="3"/>
  <c r="V135" i="3"/>
  <c r="AH134" i="3"/>
  <c r="W134" i="3"/>
  <c r="V134" i="3"/>
  <c r="AH133" i="3"/>
  <c r="W133" i="3"/>
  <c r="V133" i="3"/>
  <c r="AH132" i="3"/>
  <c r="W132" i="3"/>
  <c r="V132" i="3"/>
  <c r="AH131" i="3"/>
  <c r="W131" i="3"/>
  <c r="V131" i="3"/>
  <c r="AH130" i="3"/>
  <c r="W130" i="3"/>
  <c r="V130" i="3"/>
  <c r="AH129" i="3"/>
  <c r="W129" i="3"/>
  <c r="V129" i="3"/>
  <c r="AH128" i="3"/>
  <c r="W128" i="3"/>
  <c r="V128" i="3"/>
  <c r="AH127" i="3"/>
  <c r="W127" i="3"/>
  <c r="V127" i="3"/>
  <c r="AH126" i="3"/>
  <c r="W126" i="3"/>
  <c r="V126" i="3"/>
  <c r="AH125" i="3"/>
  <c r="W125" i="3"/>
  <c r="V125" i="3"/>
  <c r="AH124" i="3"/>
  <c r="W124" i="3"/>
  <c r="V124" i="3"/>
  <c r="AH123" i="3"/>
  <c r="W123" i="3"/>
  <c r="V123" i="3"/>
  <c r="AH122" i="3"/>
  <c r="W122" i="3"/>
  <c r="V122" i="3"/>
  <c r="AH121" i="3"/>
  <c r="W121" i="3"/>
  <c r="V121" i="3"/>
  <c r="AH120" i="3"/>
  <c r="W120" i="3"/>
  <c r="V120" i="3"/>
  <c r="AH119" i="3"/>
  <c r="W119" i="3"/>
  <c r="V119" i="3"/>
  <c r="AH118" i="3"/>
  <c r="W118" i="3"/>
  <c r="V118" i="3"/>
  <c r="AH117" i="3"/>
  <c r="W117" i="3"/>
  <c r="V117" i="3"/>
  <c r="AH116" i="3"/>
  <c r="W116" i="3"/>
  <c r="V116" i="3"/>
  <c r="AH115" i="3"/>
  <c r="W115" i="3"/>
  <c r="V115" i="3"/>
  <c r="AH114" i="3"/>
  <c r="W114" i="3"/>
  <c r="V114" i="3"/>
  <c r="AH113" i="3"/>
  <c r="W113" i="3"/>
  <c r="V113" i="3"/>
  <c r="AH112" i="3"/>
  <c r="W112" i="3"/>
  <c r="V112" i="3"/>
  <c r="AH111" i="3"/>
  <c r="W111" i="3"/>
  <c r="V111" i="3"/>
  <c r="AH110" i="3"/>
  <c r="W110" i="3"/>
  <c r="V110" i="3"/>
  <c r="AH109" i="3"/>
  <c r="W109" i="3"/>
  <c r="V109" i="3"/>
  <c r="AH108" i="3"/>
  <c r="W108" i="3"/>
  <c r="V108" i="3"/>
  <c r="AH107" i="3"/>
  <c r="W107" i="3"/>
  <c r="V107" i="3"/>
  <c r="AH106" i="3"/>
  <c r="W106" i="3"/>
  <c r="V106" i="3"/>
  <c r="AH105" i="3"/>
  <c r="W105" i="3"/>
  <c r="V105" i="3"/>
  <c r="AH104" i="3"/>
  <c r="W104" i="3"/>
  <c r="V104" i="3"/>
  <c r="AH103" i="3"/>
  <c r="W103" i="3"/>
  <c r="V103" i="3"/>
  <c r="AH102" i="3"/>
  <c r="W102" i="3"/>
  <c r="V102" i="3"/>
  <c r="AH101" i="3"/>
  <c r="W101" i="3"/>
  <c r="V101" i="3"/>
  <c r="AH100" i="3"/>
  <c r="W100" i="3"/>
  <c r="V100" i="3"/>
  <c r="AH99" i="3"/>
  <c r="W99" i="3"/>
  <c r="V99" i="3"/>
  <c r="AH98" i="3"/>
  <c r="W98" i="3"/>
  <c r="V98" i="3"/>
  <c r="AH97" i="3"/>
  <c r="W97" i="3"/>
  <c r="V97" i="3"/>
  <c r="AH96" i="3"/>
  <c r="W96" i="3"/>
  <c r="V96" i="3"/>
  <c r="AH95" i="3"/>
  <c r="W95" i="3"/>
  <c r="V95" i="3"/>
  <c r="AH94" i="3"/>
  <c r="W94" i="3"/>
  <c r="V94" i="3"/>
  <c r="AH93" i="3"/>
  <c r="W93" i="3"/>
  <c r="V93" i="3"/>
  <c r="AH92" i="3"/>
  <c r="W92" i="3"/>
  <c r="V92" i="3"/>
  <c r="AH91" i="3"/>
  <c r="W91" i="3"/>
  <c r="V91" i="3"/>
  <c r="AH90" i="3"/>
  <c r="W90" i="3"/>
  <c r="V90" i="3"/>
  <c r="AH89" i="3"/>
  <c r="W89" i="3"/>
  <c r="V89" i="3"/>
  <c r="AH88" i="3"/>
  <c r="W88" i="3"/>
  <c r="V88" i="3"/>
  <c r="AH87" i="3"/>
  <c r="AG87" i="3"/>
  <c r="V87" i="3"/>
  <c r="W87" i="3" s="1"/>
  <c r="K87" i="3"/>
  <c r="AH86" i="3"/>
  <c r="W86" i="3"/>
  <c r="V86" i="3"/>
  <c r="AG86" i="3" s="1"/>
  <c r="K86" i="3"/>
  <c r="AH85" i="3"/>
  <c r="AG85" i="3"/>
  <c r="V85" i="3"/>
  <c r="W85" i="3" s="1"/>
  <c r="K85" i="3"/>
  <c r="AH84" i="3"/>
  <c r="W84" i="3"/>
  <c r="V84" i="3"/>
  <c r="AG84" i="3" s="1"/>
  <c r="K84" i="3"/>
  <c r="AH83" i="3"/>
  <c r="AG83" i="3"/>
  <c r="V83" i="3"/>
  <c r="W83" i="3" s="1"/>
  <c r="K83" i="3"/>
  <c r="AH82" i="3"/>
  <c r="W82" i="3"/>
  <c r="V82" i="3"/>
  <c r="AG82" i="3" s="1"/>
  <c r="K82" i="3"/>
  <c r="AH81" i="3"/>
  <c r="AG81" i="3"/>
  <c r="V81" i="3"/>
  <c r="W81" i="3" s="1"/>
  <c r="K81" i="3"/>
  <c r="AH80" i="3"/>
  <c r="W80" i="3"/>
  <c r="V80" i="3"/>
  <c r="AG80" i="3" s="1"/>
  <c r="K80" i="3"/>
  <c r="AH79" i="3"/>
  <c r="AG79" i="3"/>
  <c r="V79" i="3"/>
  <c r="W79" i="3" s="1"/>
  <c r="K79" i="3"/>
  <c r="AH78" i="3"/>
  <c r="W78" i="3"/>
  <c r="V78" i="3"/>
  <c r="AG78" i="3" s="1"/>
  <c r="K78" i="3"/>
  <c r="AH77" i="3"/>
  <c r="AG77" i="3"/>
  <c r="V77" i="3"/>
  <c r="W77" i="3" s="1"/>
  <c r="K77" i="3"/>
  <c r="AH76" i="3"/>
  <c r="W76" i="3"/>
  <c r="V76" i="3"/>
  <c r="AG76" i="3" s="1"/>
  <c r="K76" i="3"/>
  <c r="AH75" i="3"/>
  <c r="AG75" i="3"/>
  <c r="V75" i="3"/>
  <c r="W75" i="3" s="1"/>
  <c r="K75" i="3"/>
  <c r="AH74" i="3"/>
  <c r="W74" i="3"/>
  <c r="V74" i="3"/>
  <c r="AG74" i="3" s="1"/>
  <c r="K74" i="3"/>
  <c r="AH73" i="3"/>
  <c r="AG73" i="3"/>
  <c r="V73" i="3"/>
  <c r="W73" i="3" s="1"/>
  <c r="K73" i="3"/>
  <c r="AH72" i="3"/>
  <c r="W72" i="3"/>
  <c r="V72" i="3"/>
  <c r="AG72" i="3" s="1"/>
  <c r="K72" i="3"/>
  <c r="AH71" i="3"/>
  <c r="AG71" i="3"/>
  <c r="V71" i="3"/>
  <c r="W71" i="3" s="1"/>
  <c r="K71" i="3"/>
  <c r="AH70" i="3"/>
  <c r="W70" i="3"/>
  <c r="V70" i="3"/>
  <c r="AG70" i="3" s="1"/>
  <c r="K70" i="3"/>
  <c r="AH69" i="3"/>
  <c r="W69" i="3"/>
  <c r="V69" i="3"/>
  <c r="AG69" i="3" s="1"/>
  <c r="K69" i="3"/>
  <c r="AH68" i="3"/>
  <c r="W68" i="3"/>
  <c r="V68" i="3"/>
  <c r="AG68" i="3" s="1"/>
  <c r="K68" i="3"/>
  <c r="AH67" i="3"/>
  <c r="AG67" i="3"/>
  <c r="V67" i="3"/>
  <c r="W67" i="3" s="1"/>
  <c r="K67" i="3"/>
  <c r="AH66" i="3"/>
  <c r="W66" i="3"/>
  <c r="V66" i="3"/>
  <c r="AG66" i="3" s="1"/>
  <c r="K66" i="3"/>
  <c r="AH65" i="3"/>
  <c r="W65" i="3"/>
  <c r="V65" i="3"/>
  <c r="AG65" i="3" s="1"/>
  <c r="K65" i="3"/>
  <c r="AH64" i="3"/>
  <c r="V64" i="3"/>
  <c r="AG64" i="3" s="1"/>
  <c r="K64" i="3"/>
  <c r="AH63" i="3"/>
  <c r="W63" i="3"/>
  <c r="V63" i="3"/>
  <c r="AG63" i="3" s="1"/>
  <c r="K63" i="3"/>
  <c r="AH62" i="3"/>
  <c r="V62" i="3"/>
  <c r="AG62" i="3" s="1"/>
  <c r="K62" i="3"/>
  <c r="AH61" i="3"/>
  <c r="W61" i="3"/>
  <c r="V61" i="3"/>
  <c r="AG61" i="3" s="1"/>
  <c r="K61" i="3"/>
  <c r="AH60" i="3"/>
  <c r="V60" i="3"/>
  <c r="AG60" i="3" s="1"/>
  <c r="K60" i="3"/>
  <c r="AH59" i="3"/>
  <c r="W59" i="3"/>
  <c r="V59" i="3"/>
  <c r="AG59" i="3" s="1"/>
  <c r="K59" i="3"/>
  <c r="AH58" i="3"/>
  <c r="V58" i="3"/>
  <c r="AG58" i="3" s="1"/>
  <c r="K58" i="3"/>
  <c r="AH57" i="3"/>
  <c r="W57" i="3"/>
  <c r="V57" i="3"/>
  <c r="AG57" i="3" s="1"/>
  <c r="K57" i="3"/>
  <c r="AH56" i="3"/>
  <c r="V56" i="3"/>
  <c r="AG56" i="3" s="1"/>
  <c r="K56" i="3"/>
  <c r="AH55" i="3"/>
  <c r="W55" i="3"/>
  <c r="V55" i="3"/>
  <c r="AG55" i="3" s="1"/>
  <c r="K55" i="3"/>
  <c r="AH54" i="3"/>
  <c r="V54" i="3"/>
  <c r="AG54" i="3" s="1"/>
  <c r="K54" i="3"/>
  <c r="AH53" i="3"/>
  <c r="V53" i="3"/>
  <c r="AG53" i="3" s="1"/>
  <c r="K53" i="3"/>
  <c r="AH52" i="3"/>
  <c r="V52" i="3"/>
  <c r="K52" i="3"/>
  <c r="AH51" i="3"/>
  <c r="W51" i="3"/>
  <c r="V51" i="3"/>
  <c r="K51" i="3"/>
  <c r="AH50" i="3"/>
  <c r="V50" i="3"/>
  <c r="K50" i="3"/>
  <c r="AH49" i="3"/>
  <c r="W49" i="3"/>
  <c r="V49" i="3"/>
  <c r="K49" i="3"/>
  <c r="AH48" i="3"/>
  <c r="V48" i="3"/>
  <c r="K48" i="3"/>
  <c r="AH47" i="3"/>
  <c r="V47" i="3"/>
  <c r="K47" i="3"/>
  <c r="AH46" i="3"/>
  <c r="V46" i="3"/>
  <c r="K46" i="3"/>
  <c r="AH45" i="3"/>
  <c r="W45" i="3"/>
  <c r="V45" i="3"/>
  <c r="AG45" i="3" s="1"/>
  <c r="K45" i="3"/>
  <c r="AH44" i="3"/>
  <c r="V44" i="3"/>
  <c r="AG44" i="3" s="1"/>
  <c r="K44" i="3"/>
  <c r="AH43" i="3"/>
  <c r="W43" i="3"/>
  <c r="V43" i="3"/>
  <c r="AG43" i="3" s="1"/>
  <c r="K43" i="3"/>
  <c r="AH42" i="3"/>
  <c r="V42" i="3"/>
  <c r="AG42" i="3" s="1"/>
  <c r="K42" i="3"/>
  <c r="AH41" i="3"/>
  <c r="W41" i="3"/>
  <c r="V41" i="3"/>
  <c r="AG41" i="3" s="1"/>
  <c r="K41" i="3"/>
  <c r="AH40" i="3"/>
  <c r="V40" i="3"/>
  <c r="AG40" i="3" s="1"/>
  <c r="K40" i="3"/>
  <c r="AH39" i="3"/>
  <c r="V39" i="3"/>
  <c r="AG39" i="3" s="1"/>
  <c r="K39" i="3"/>
  <c r="AH38" i="3"/>
  <c r="V38" i="3"/>
  <c r="AG38" i="3" s="1"/>
  <c r="K38" i="3"/>
  <c r="AH37" i="3"/>
  <c r="V37" i="3"/>
  <c r="AG37" i="3" s="1"/>
  <c r="K37" i="3"/>
  <c r="AH36" i="3"/>
  <c r="V36" i="3"/>
  <c r="AG36" i="3" s="1"/>
  <c r="K36" i="3"/>
  <c r="AH35" i="3"/>
  <c r="V35" i="3"/>
  <c r="AG35" i="3" s="1"/>
  <c r="K35" i="3"/>
  <c r="AH34" i="3"/>
  <c r="V34" i="3"/>
  <c r="AG34" i="3" s="1"/>
  <c r="K34" i="3"/>
  <c r="AH33" i="3"/>
  <c r="V33" i="3"/>
  <c r="AG33" i="3" s="1"/>
  <c r="K33" i="3"/>
  <c r="AH32" i="3"/>
  <c r="V32" i="3"/>
  <c r="AG32" i="3" s="1"/>
  <c r="K32" i="3"/>
  <c r="AH31" i="3"/>
  <c r="V31" i="3"/>
  <c r="AG31" i="3" s="1"/>
  <c r="K31" i="3"/>
  <c r="AH30" i="3"/>
  <c r="V30" i="3"/>
  <c r="AG30" i="3" s="1"/>
  <c r="K30" i="3"/>
  <c r="AH29" i="3"/>
  <c r="V29" i="3"/>
  <c r="AG29" i="3" s="1"/>
  <c r="K29" i="3"/>
  <c r="AH28" i="3"/>
  <c r="AG28" i="3"/>
  <c r="K28" i="3"/>
  <c r="AH27" i="3"/>
  <c r="V27" i="3"/>
  <c r="AG27" i="3" s="1"/>
  <c r="K27" i="3"/>
  <c r="AH26" i="3"/>
  <c r="V26" i="3"/>
  <c r="AG26" i="3" s="1"/>
  <c r="K26" i="3"/>
  <c r="AH25" i="3"/>
  <c r="V25" i="3"/>
  <c r="AG25" i="3" s="1"/>
  <c r="K25" i="3"/>
  <c r="AH24" i="3"/>
  <c r="V24" i="3"/>
  <c r="AG24" i="3" s="1"/>
  <c r="K24" i="3"/>
  <c r="AH23" i="3"/>
  <c r="V23" i="3"/>
  <c r="AG23" i="3" s="1"/>
  <c r="K23" i="3"/>
  <c r="AH22" i="3"/>
  <c r="V22" i="3"/>
  <c r="AG22" i="3" s="1"/>
  <c r="K22" i="3"/>
  <c r="AH21" i="3"/>
  <c r="V21" i="3"/>
  <c r="AG21" i="3" s="1"/>
  <c r="K21" i="3"/>
  <c r="AH20" i="3"/>
  <c r="V20" i="3"/>
  <c r="AG20" i="3" s="1"/>
  <c r="K20" i="3"/>
  <c r="AH19" i="3"/>
  <c r="W19" i="3"/>
  <c r="V19" i="3"/>
  <c r="AG19" i="3" s="1"/>
  <c r="K19" i="3"/>
  <c r="AH18" i="3"/>
  <c r="V18" i="3"/>
  <c r="AG18" i="3" s="1"/>
  <c r="K18" i="3"/>
  <c r="AH17" i="3"/>
  <c r="V17" i="3"/>
  <c r="AG17" i="3" s="1"/>
  <c r="K17" i="3"/>
  <c r="AH16" i="3"/>
  <c r="V16" i="3"/>
  <c r="AG16" i="3" s="1"/>
  <c r="K16" i="3"/>
  <c r="AH15" i="3"/>
  <c r="V15" i="3"/>
  <c r="AG15" i="3" s="1"/>
  <c r="K15" i="3"/>
  <c r="AH14" i="3"/>
  <c r="V14" i="3"/>
  <c r="AG14" i="3" s="1"/>
  <c r="K14" i="3"/>
  <c r="AH13" i="3"/>
  <c r="W13" i="3"/>
  <c r="V13" i="3"/>
  <c r="AG13" i="3" s="1"/>
  <c r="K13" i="3"/>
  <c r="AH12" i="3"/>
  <c r="V12" i="3"/>
  <c r="AG12" i="3" s="1"/>
  <c r="K12" i="3"/>
  <c r="AH11" i="3"/>
  <c r="W11" i="3"/>
  <c r="V11" i="3"/>
  <c r="AG11" i="3" s="1"/>
  <c r="K11" i="3"/>
  <c r="AH10" i="3"/>
  <c r="V10" i="3"/>
  <c r="AG10" i="3" s="1"/>
  <c r="K10" i="3"/>
  <c r="AH9" i="3"/>
  <c r="V9" i="3"/>
  <c r="AG9" i="3" s="1"/>
  <c r="K9" i="3"/>
  <c r="AH8" i="3"/>
  <c r="V8" i="3"/>
  <c r="AG8" i="3" s="1"/>
  <c r="K8" i="3"/>
  <c r="AH7" i="3"/>
  <c r="W7" i="3"/>
  <c r="V7" i="3"/>
  <c r="AG7" i="3" s="1"/>
  <c r="K7" i="3"/>
  <c r="AH6" i="3"/>
  <c r="V6" i="3"/>
  <c r="AG6" i="3" s="1"/>
  <c r="K6" i="3"/>
  <c r="AH5" i="3"/>
  <c r="W5" i="3"/>
  <c r="V5" i="3"/>
  <c r="AG5" i="3" s="1"/>
  <c r="K5" i="3"/>
  <c r="AH4" i="3"/>
  <c r="V4" i="3"/>
  <c r="AG4" i="3" s="1"/>
  <c r="K4" i="3"/>
  <c r="AH3" i="3"/>
  <c r="AG3" i="3"/>
  <c r="AH2" i="3"/>
  <c r="AL267" i="2"/>
  <c r="AI267" i="2"/>
  <c r="AH267" i="2"/>
  <c r="AK267" i="2" s="1"/>
  <c r="AL266" i="2"/>
  <c r="AN266" i="2" s="1"/>
  <c r="AI266" i="2"/>
  <c r="AH266" i="2"/>
  <c r="AK266" i="2" s="1"/>
  <c r="AL265" i="2"/>
  <c r="AM265" i="2" s="1"/>
  <c r="AP265" i="2" s="1"/>
  <c r="AI265" i="2"/>
  <c r="AH265" i="2"/>
  <c r="AK265" i="2" s="1"/>
  <c r="AL264" i="2"/>
  <c r="AN264" i="2" s="1"/>
  <c r="AI264" i="2"/>
  <c r="AH264" i="2"/>
  <c r="AK264" i="2" s="1"/>
  <c r="AL263" i="2"/>
  <c r="AN263" i="2" s="1"/>
  <c r="AI263" i="2"/>
  <c r="AH263" i="2"/>
  <c r="AK263" i="2" s="1"/>
  <c r="AL262" i="2"/>
  <c r="AN262" i="2" s="1"/>
  <c r="AI262" i="2"/>
  <c r="AH262" i="2"/>
  <c r="AK262" i="2" s="1"/>
  <c r="AL261" i="2"/>
  <c r="AN261" i="2" s="1"/>
  <c r="AI261" i="2"/>
  <c r="AH261" i="2"/>
  <c r="AK261" i="2" s="1"/>
  <c r="AL260" i="2"/>
  <c r="AN260" i="2" s="1"/>
  <c r="AI260" i="2"/>
  <c r="AH260" i="2"/>
  <c r="AL259" i="2"/>
  <c r="AN259" i="2" s="1"/>
  <c r="AI259" i="2"/>
  <c r="AH259" i="2"/>
  <c r="AL258" i="2"/>
  <c r="AN258" i="2" s="1"/>
  <c r="AI258" i="2"/>
  <c r="AH258" i="2"/>
  <c r="AL257" i="2"/>
  <c r="AN257" i="2" s="1"/>
  <c r="AI257" i="2"/>
  <c r="AH257" i="2"/>
  <c r="AL256" i="2"/>
  <c r="AN256" i="2" s="1"/>
  <c r="AI256" i="2"/>
  <c r="AH256" i="2"/>
  <c r="AL255" i="2"/>
  <c r="AN255" i="2" s="1"/>
  <c r="AI255" i="2"/>
  <c r="AH255" i="2"/>
  <c r="AL254" i="2"/>
  <c r="AN254" i="2" s="1"/>
  <c r="AH254" i="2"/>
  <c r="AL253" i="2"/>
  <c r="AN253" i="2" s="1"/>
  <c r="AH253" i="2"/>
  <c r="AL252" i="2"/>
  <c r="AN252" i="2" s="1"/>
  <c r="AH252" i="2"/>
  <c r="AL251" i="2"/>
  <c r="AN251" i="2" s="1"/>
  <c r="AH251" i="2"/>
  <c r="AL250" i="2"/>
  <c r="AN250" i="2" s="1"/>
  <c r="AI250" i="2"/>
  <c r="AH250" i="2"/>
  <c r="AL249" i="2"/>
  <c r="AN249" i="2" s="1"/>
  <c r="AI249" i="2"/>
  <c r="AH249" i="2"/>
  <c r="AL248" i="2"/>
  <c r="AN248" i="2" s="1"/>
  <c r="AI248" i="2"/>
  <c r="AH248" i="2"/>
  <c r="AL247" i="2"/>
  <c r="AN247" i="2" s="1"/>
  <c r="AI247" i="2"/>
  <c r="AH247" i="2"/>
  <c r="AL246" i="2"/>
  <c r="AN246" i="2" s="1"/>
  <c r="AI246" i="2"/>
  <c r="AH246" i="2"/>
  <c r="AL245" i="2"/>
  <c r="AN245" i="2" s="1"/>
  <c r="AI245" i="2"/>
  <c r="AH245" i="2"/>
  <c r="AL244" i="2"/>
  <c r="AN244" i="2" s="1"/>
  <c r="AI244" i="2"/>
  <c r="AH244" i="2"/>
  <c r="AL243" i="2"/>
  <c r="AN243" i="2" s="1"/>
  <c r="AI243" i="2"/>
  <c r="AH243" i="2"/>
  <c r="AL242" i="2"/>
  <c r="AN242" i="2" s="1"/>
  <c r="AH242" i="2"/>
  <c r="AL241" i="2"/>
  <c r="AN241" i="2" s="1"/>
  <c r="AH241" i="2"/>
  <c r="AL240" i="2"/>
  <c r="AN240" i="2" s="1"/>
  <c r="AH240" i="2"/>
  <c r="AL239" i="2"/>
  <c r="AN239" i="2" s="1"/>
  <c r="AI239" i="2"/>
  <c r="AH239" i="2"/>
  <c r="AL238" i="2"/>
  <c r="AN238" i="2" s="1"/>
  <c r="AI238" i="2"/>
  <c r="AH238" i="2"/>
  <c r="AL237" i="2"/>
  <c r="AN237" i="2" s="1"/>
  <c r="AI237" i="2"/>
  <c r="AH237" i="2"/>
  <c r="AL236" i="2"/>
  <c r="AN236" i="2" s="1"/>
  <c r="AI236" i="2"/>
  <c r="AH236" i="2"/>
  <c r="AL235" i="2"/>
  <c r="AN235" i="2" s="1"/>
  <c r="AI235" i="2"/>
  <c r="AH235" i="2"/>
  <c r="AL234" i="2"/>
  <c r="AN234" i="2" s="1"/>
  <c r="AI234" i="2"/>
  <c r="AH234" i="2"/>
  <c r="AL233" i="2"/>
  <c r="AN233" i="2" s="1"/>
  <c r="AI233" i="2"/>
  <c r="AH233" i="2"/>
  <c r="AL232" i="2"/>
  <c r="AN232" i="2" s="1"/>
  <c r="AI232" i="2"/>
  <c r="AH232" i="2"/>
  <c r="AL231" i="2"/>
  <c r="AN231" i="2" s="1"/>
  <c r="AI231" i="2"/>
  <c r="AH231" i="2"/>
  <c r="AL230" i="2"/>
  <c r="AN230" i="2" s="1"/>
  <c r="AI230" i="2"/>
  <c r="AH230" i="2"/>
  <c r="AL229" i="2"/>
  <c r="AN229" i="2" s="1"/>
  <c r="AI229" i="2"/>
  <c r="AH229" i="2"/>
  <c r="AL228" i="2"/>
  <c r="AN228" i="2" s="1"/>
  <c r="AI228" i="2"/>
  <c r="AH228" i="2"/>
  <c r="AL227" i="2"/>
  <c r="AN227" i="2" s="1"/>
  <c r="AI227" i="2"/>
  <c r="AH227" i="2"/>
  <c r="AL226" i="2"/>
  <c r="AN226" i="2" s="1"/>
  <c r="AI226" i="2"/>
  <c r="AH226" i="2"/>
  <c r="AL225" i="2"/>
  <c r="AN225" i="2" s="1"/>
  <c r="AI225" i="2"/>
  <c r="AH225" i="2"/>
  <c r="AL224" i="2"/>
  <c r="AN224" i="2" s="1"/>
  <c r="AI224" i="2"/>
  <c r="AH224" i="2"/>
  <c r="AL223" i="2"/>
  <c r="AN223" i="2" s="1"/>
  <c r="AI223" i="2"/>
  <c r="AH223" i="2"/>
  <c r="AK223" i="2" s="1"/>
  <c r="AL222" i="2"/>
  <c r="AN222" i="2" s="1"/>
  <c r="AI222" i="2"/>
  <c r="AH222" i="2"/>
  <c r="AL221" i="2"/>
  <c r="AN221" i="2" s="1"/>
  <c r="AI221" i="2"/>
  <c r="AH221" i="2"/>
  <c r="AK221" i="2" s="1"/>
  <c r="AL220" i="2"/>
  <c r="AN220" i="2" s="1"/>
  <c r="AI220" i="2"/>
  <c r="AH220" i="2"/>
  <c r="AL219" i="2"/>
  <c r="AN219" i="2" s="1"/>
  <c r="AI219" i="2"/>
  <c r="AH219" i="2"/>
  <c r="AL218" i="2"/>
  <c r="AN218" i="2" s="1"/>
  <c r="AI218" i="2"/>
  <c r="AH218" i="2"/>
  <c r="AL217" i="2"/>
  <c r="AN217" i="2" s="1"/>
  <c r="AI217" i="2"/>
  <c r="AH217" i="2"/>
  <c r="AK217" i="2" s="1"/>
  <c r="AL216" i="2"/>
  <c r="AN216" i="2" s="1"/>
  <c r="AI216" i="2"/>
  <c r="AH216" i="2"/>
  <c r="AK216" i="2" s="1"/>
  <c r="AL215" i="2"/>
  <c r="AN215" i="2" s="1"/>
  <c r="AI215" i="2"/>
  <c r="AH215" i="2"/>
  <c r="AL214" i="2"/>
  <c r="AN214" i="2" s="1"/>
  <c r="AI214" i="2"/>
  <c r="AH214" i="2"/>
  <c r="AK214" i="2" s="1"/>
  <c r="AL213" i="2"/>
  <c r="AN213" i="2" s="1"/>
  <c r="AI213" i="2"/>
  <c r="AH213" i="2"/>
  <c r="AK213" i="2" s="1"/>
  <c r="AL212" i="2"/>
  <c r="AN212" i="2" s="1"/>
  <c r="AI212" i="2"/>
  <c r="AH212" i="2"/>
  <c r="AK212" i="2" s="1"/>
  <c r="AL211" i="2"/>
  <c r="AN211" i="2" s="1"/>
  <c r="AI211" i="2"/>
  <c r="AH211" i="2"/>
  <c r="AK211" i="2" s="1"/>
  <c r="AL210" i="2"/>
  <c r="AN210" i="2" s="1"/>
  <c r="AI210" i="2"/>
  <c r="AH210" i="2"/>
  <c r="AK210" i="2" s="1"/>
  <c r="AL209" i="2"/>
  <c r="AN209" i="2" s="1"/>
  <c r="AI209" i="2"/>
  <c r="AH209" i="2"/>
  <c r="AK209" i="2" s="1"/>
  <c r="AL208" i="2"/>
  <c r="AN208" i="2" s="1"/>
  <c r="AI208" i="2"/>
  <c r="AH208" i="2"/>
  <c r="AK208" i="2" s="1"/>
  <c r="AL207" i="2"/>
  <c r="AN207" i="2" s="1"/>
  <c r="AI207" i="2"/>
  <c r="AH207" i="2"/>
  <c r="AK207" i="2" s="1"/>
  <c r="AB207" i="2"/>
  <c r="AL206" i="2"/>
  <c r="AN206" i="2" s="1"/>
  <c r="AI206" i="2"/>
  <c r="AH206" i="2"/>
  <c r="AK206" i="2" s="1"/>
  <c r="AP205" i="2"/>
  <c r="AN205" i="2"/>
  <c r="AI205" i="2"/>
  <c r="AH205" i="2"/>
  <c r="AK205" i="2" s="1"/>
  <c r="AL204" i="2"/>
  <c r="AN204" i="2" s="1"/>
  <c r="AI204" i="2"/>
  <c r="AH204" i="2"/>
  <c r="AK204" i="2" s="1"/>
  <c r="AL203" i="2"/>
  <c r="AN203" i="2" s="1"/>
  <c r="AI203" i="2"/>
  <c r="AH203" i="2"/>
  <c r="AK203" i="2" s="1"/>
  <c r="AH200" i="2"/>
  <c r="V200" i="2"/>
  <c r="W200" i="2" s="1"/>
  <c r="K200" i="2"/>
  <c r="AH199" i="2"/>
  <c r="V199" i="2"/>
  <c r="W199" i="2" s="1"/>
  <c r="AH198" i="2"/>
  <c r="W198" i="2"/>
  <c r="V198" i="2"/>
  <c r="AH197" i="2"/>
  <c r="W197" i="2"/>
  <c r="V197" i="2"/>
  <c r="AH196" i="2"/>
  <c r="W196" i="2"/>
  <c r="V196" i="2"/>
  <c r="AH195" i="2"/>
  <c r="W195" i="2"/>
  <c r="V195" i="2"/>
  <c r="AH194" i="2"/>
  <c r="W194" i="2"/>
  <c r="V194" i="2"/>
  <c r="AH193" i="2"/>
  <c r="W193" i="2"/>
  <c r="V193" i="2"/>
  <c r="AH192" i="2"/>
  <c r="W192" i="2"/>
  <c r="V192" i="2"/>
  <c r="AH191" i="2"/>
  <c r="W191" i="2"/>
  <c r="V191" i="2"/>
  <c r="AH190" i="2"/>
  <c r="W190" i="2"/>
  <c r="V190" i="2"/>
  <c r="AH189" i="2"/>
  <c r="W189" i="2"/>
  <c r="V189" i="2"/>
  <c r="AH188" i="2"/>
  <c r="W188" i="2"/>
  <c r="V188" i="2"/>
  <c r="AH187" i="2"/>
  <c r="W187" i="2"/>
  <c r="V187" i="2"/>
  <c r="AH186" i="2"/>
  <c r="W186" i="2"/>
  <c r="V186" i="2"/>
  <c r="AH185" i="2"/>
  <c r="W185" i="2"/>
  <c r="V185" i="2"/>
  <c r="AH184" i="2"/>
  <c r="W184" i="2"/>
  <c r="V184" i="2"/>
  <c r="AH183" i="2"/>
  <c r="W183" i="2"/>
  <c r="V183" i="2"/>
  <c r="AH182" i="2"/>
  <c r="W182" i="2"/>
  <c r="V182" i="2"/>
  <c r="AH181" i="2"/>
  <c r="W181" i="2"/>
  <c r="V181" i="2"/>
  <c r="AH180" i="2"/>
  <c r="W180" i="2"/>
  <c r="V180" i="2"/>
  <c r="AH179" i="2"/>
  <c r="W179" i="2"/>
  <c r="V179" i="2"/>
  <c r="AH178" i="2"/>
  <c r="W178" i="2"/>
  <c r="V178" i="2"/>
  <c r="AH177" i="2"/>
  <c r="W177" i="2"/>
  <c r="V177" i="2"/>
  <c r="AH176" i="2"/>
  <c r="W176" i="2"/>
  <c r="V176" i="2"/>
  <c r="AH175" i="2"/>
  <c r="W175" i="2"/>
  <c r="V175" i="2"/>
  <c r="AH174" i="2"/>
  <c r="W174" i="2"/>
  <c r="V174" i="2"/>
  <c r="AH173" i="2"/>
  <c r="W173" i="2"/>
  <c r="V173" i="2"/>
  <c r="AH172" i="2"/>
  <c r="W172" i="2"/>
  <c r="V172" i="2"/>
  <c r="AH171" i="2"/>
  <c r="W171" i="2"/>
  <c r="V171" i="2"/>
  <c r="AH170" i="2"/>
  <c r="W170" i="2"/>
  <c r="V170" i="2"/>
  <c r="AH169" i="2"/>
  <c r="W169" i="2"/>
  <c r="V169" i="2"/>
  <c r="AH168" i="2"/>
  <c r="W168" i="2"/>
  <c r="V168" i="2"/>
  <c r="AH167" i="2"/>
  <c r="W167" i="2"/>
  <c r="V167" i="2"/>
  <c r="AH166" i="2"/>
  <c r="W166" i="2"/>
  <c r="V166" i="2"/>
  <c r="AH165" i="2"/>
  <c r="W165" i="2"/>
  <c r="V165" i="2"/>
  <c r="AH164" i="2"/>
  <c r="W164" i="2"/>
  <c r="V164" i="2"/>
  <c r="AH163" i="2"/>
  <c r="W163" i="2"/>
  <c r="V163" i="2"/>
  <c r="AH162" i="2"/>
  <c r="W162" i="2"/>
  <c r="V162" i="2"/>
  <c r="AH161" i="2"/>
  <c r="W161" i="2"/>
  <c r="V161" i="2"/>
  <c r="AH160" i="2"/>
  <c r="W160" i="2"/>
  <c r="V160" i="2"/>
  <c r="AH159" i="2"/>
  <c r="W159" i="2"/>
  <c r="V159" i="2"/>
  <c r="AH158" i="2"/>
  <c r="W158" i="2"/>
  <c r="V158" i="2"/>
  <c r="AH157" i="2"/>
  <c r="W157" i="2"/>
  <c r="V157" i="2"/>
  <c r="AH156" i="2"/>
  <c r="W156" i="2"/>
  <c r="V156" i="2"/>
  <c r="AH155" i="2"/>
  <c r="W155" i="2"/>
  <c r="V155" i="2"/>
  <c r="AH154" i="2"/>
  <c r="W154" i="2"/>
  <c r="V154" i="2"/>
  <c r="AH153" i="2"/>
  <c r="W153" i="2"/>
  <c r="V153" i="2"/>
  <c r="AH152" i="2"/>
  <c r="W152" i="2"/>
  <c r="V152" i="2"/>
  <c r="AH151" i="2"/>
  <c r="W151" i="2"/>
  <c r="V151" i="2"/>
  <c r="AH150" i="2"/>
  <c r="W150" i="2"/>
  <c r="V150" i="2"/>
  <c r="AH149" i="2"/>
  <c r="W149" i="2"/>
  <c r="V149" i="2"/>
  <c r="AH148" i="2"/>
  <c r="W148" i="2"/>
  <c r="V148" i="2"/>
  <c r="AH147" i="2"/>
  <c r="W147" i="2"/>
  <c r="V147" i="2"/>
  <c r="AH146" i="2"/>
  <c r="W146" i="2"/>
  <c r="V146" i="2"/>
  <c r="AH145" i="2"/>
  <c r="W145" i="2"/>
  <c r="V145" i="2"/>
  <c r="AH144" i="2"/>
  <c r="W144" i="2"/>
  <c r="V144" i="2"/>
  <c r="AH143" i="2"/>
  <c r="W143" i="2"/>
  <c r="V143" i="2"/>
  <c r="AH142" i="2"/>
  <c r="W142" i="2"/>
  <c r="V142" i="2"/>
  <c r="AH141" i="2"/>
  <c r="W141" i="2"/>
  <c r="V141" i="2"/>
  <c r="AH140" i="2"/>
  <c r="W140" i="2"/>
  <c r="V140" i="2"/>
  <c r="AH139" i="2"/>
  <c r="W139" i="2"/>
  <c r="V139" i="2"/>
  <c r="AH138" i="2"/>
  <c r="W138" i="2"/>
  <c r="V138" i="2"/>
  <c r="AH137" i="2"/>
  <c r="W137" i="2"/>
  <c r="V137" i="2"/>
  <c r="AH136" i="2"/>
  <c r="W136" i="2"/>
  <c r="V136" i="2"/>
  <c r="AH135" i="2"/>
  <c r="W135" i="2"/>
  <c r="V135" i="2"/>
  <c r="AH134" i="2"/>
  <c r="W134" i="2"/>
  <c r="V134" i="2"/>
  <c r="AH133" i="2"/>
  <c r="W133" i="2"/>
  <c r="V133" i="2"/>
  <c r="AH132" i="2"/>
  <c r="W132" i="2"/>
  <c r="V132" i="2"/>
  <c r="AH131" i="2"/>
  <c r="W131" i="2"/>
  <c r="V131" i="2"/>
  <c r="AH130" i="2"/>
  <c r="W130" i="2"/>
  <c r="V130" i="2"/>
  <c r="AH129" i="2"/>
  <c r="W129" i="2"/>
  <c r="V129" i="2"/>
  <c r="AH128" i="2"/>
  <c r="W128" i="2"/>
  <c r="V128" i="2"/>
  <c r="AH127" i="2"/>
  <c r="W127" i="2"/>
  <c r="V127" i="2"/>
  <c r="AH126" i="2"/>
  <c r="W126" i="2"/>
  <c r="V126" i="2"/>
  <c r="AH125" i="2"/>
  <c r="W125" i="2"/>
  <c r="V125" i="2"/>
  <c r="AH124" i="2"/>
  <c r="W124" i="2"/>
  <c r="V124" i="2"/>
  <c r="AH123" i="2"/>
  <c r="W123" i="2"/>
  <c r="V123" i="2"/>
  <c r="AH122" i="2"/>
  <c r="W122" i="2"/>
  <c r="V122" i="2"/>
  <c r="AH121" i="2"/>
  <c r="W121" i="2"/>
  <c r="V121" i="2"/>
  <c r="AH120" i="2"/>
  <c r="W120" i="2"/>
  <c r="V120" i="2"/>
  <c r="AH119" i="2"/>
  <c r="W119" i="2"/>
  <c r="V119" i="2"/>
  <c r="AH118" i="2"/>
  <c r="W118" i="2"/>
  <c r="V118" i="2"/>
  <c r="AH117" i="2"/>
  <c r="W117" i="2"/>
  <c r="V117" i="2"/>
  <c r="AH116" i="2"/>
  <c r="W116" i="2"/>
  <c r="V116" i="2"/>
  <c r="AH115" i="2"/>
  <c r="W115" i="2"/>
  <c r="V115" i="2"/>
  <c r="AH114" i="2"/>
  <c r="W114" i="2"/>
  <c r="V114" i="2"/>
  <c r="AH113" i="2"/>
  <c r="W113" i="2"/>
  <c r="V113" i="2"/>
  <c r="AH112" i="2"/>
  <c r="W112" i="2"/>
  <c r="V112" i="2"/>
  <c r="AH111" i="2"/>
  <c r="W111" i="2"/>
  <c r="V111" i="2"/>
  <c r="AH110" i="2"/>
  <c r="W110" i="2"/>
  <c r="V110" i="2"/>
  <c r="AH109" i="2"/>
  <c r="W109" i="2"/>
  <c r="V109" i="2"/>
  <c r="AH108" i="2"/>
  <c r="W108" i="2"/>
  <c r="V108" i="2"/>
  <c r="AH107" i="2"/>
  <c r="W107" i="2"/>
  <c r="V107" i="2"/>
  <c r="AH106" i="2"/>
  <c r="W106" i="2"/>
  <c r="V106" i="2"/>
  <c r="AH105" i="2"/>
  <c r="W105" i="2"/>
  <c r="V105" i="2"/>
  <c r="AH104" i="2"/>
  <c r="W104" i="2"/>
  <c r="V104" i="2"/>
  <c r="AH103" i="2"/>
  <c r="W103" i="2"/>
  <c r="V103" i="2"/>
  <c r="AH102" i="2"/>
  <c r="W102" i="2"/>
  <c r="V102" i="2"/>
  <c r="AH101" i="2"/>
  <c r="W101" i="2"/>
  <c r="V101" i="2"/>
  <c r="AH100" i="2"/>
  <c r="W100" i="2"/>
  <c r="V100" i="2"/>
  <c r="AH99" i="2"/>
  <c r="W99" i="2"/>
  <c r="V99" i="2"/>
  <c r="AH98" i="2"/>
  <c r="W98" i="2"/>
  <c r="V98" i="2"/>
  <c r="AH97" i="2"/>
  <c r="W97" i="2"/>
  <c r="V97" i="2"/>
  <c r="AH96" i="2"/>
  <c r="W96" i="2"/>
  <c r="V96" i="2"/>
  <c r="AH95" i="2"/>
  <c r="W95" i="2"/>
  <c r="V95" i="2"/>
  <c r="AH94" i="2"/>
  <c r="W94" i="2"/>
  <c r="V94" i="2"/>
  <c r="AH93" i="2"/>
  <c r="W93" i="2"/>
  <c r="V93" i="2"/>
  <c r="AH92" i="2"/>
  <c r="W92" i="2"/>
  <c r="V92" i="2"/>
  <c r="AH91" i="2"/>
  <c r="W91" i="2"/>
  <c r="V91" i="2"/>
  <c r="AH90" i="2"/>
  <c r="W90" i="2"/>
  <c r="V90" i="2"/>
  <c r="AH89" i="2"/>
  <c r="W89" i="2"/>
  <c r="V89" i="2"/>
  <c r="AH88" i="2"/>
  <c r="W88" i="2"/>
  <c r="V88" i="2"/>
  <c r="AH87" i="2"/>
  <c r="AG87" i="2"/>
  <c r="V87" i="2"/>
  <c r="W87" i="2" s="1"/>
  <c r="K87" i="2"/>
  <c r="AH86" i="2"/>
  <c r="W86" i="2"/>
  <c r="V86" i="2"/>
  <c r="AG86" i="2" s="1"/>
  <c r="K86" i="2"/>
  <c r="AH85" i="2"/>
  <c r="AG85" i="2"/>
  <c r="V85" i="2"/>
  <c r="W85" i="2" s="1"/>
  <c r="K85" i="2"/>
  <c r="AH84" i="2"/>
  <c r="W84" i="2"/>
  <c r="V84" i="2"/>
  <c r="AG84" i="2" s="1"/>
  <c r="K84" i="2"/>
  <c r="AH83" i="2"/>
  <c r="AG83" i="2"/>
  <c r="V83" i="2"/>
  <c r="W83" i="2" s="1"/>
  <c r="K83" i="2"/>
  <c r="AH82" i="2"/>
  <c r="W82" i="2"/>
  <c r="V82" i="2"/>
  <c r="AG82" i="2" s="1"/>
  <c r="K82" i="2"/>
  <c r="AH81" i="2"/>
  <c r="AG81" i="2"/>
  <c r="V81" i="2"/>
  <c r="W81" i="2" s="1"/>
  <c r="K81" i="2"/>
  <c r="AH80" i="2"/>
  <c r="W80" i="2"/>
  <c r="V80" i="2"/>
  <c r="AG80" i="2" s="1"/>
  <c r="K80" i="2"/>
  <c r="AH79" i="2"/>
  <c r="V79" i="2"/>
  <c r="W79" i="2" s="1"/>
  <c r="K79" i="2"/>
  <c r="AH78" i="2"/>
  <c r="V78" i="2"/>
  <c r="AG78" i="2" s="1"/>
  <c r="K78" i="2"/>
  <c r="AH77" i="2"/>
  <c r="V77" i="2"/>
  <c r="W77" i="2" s="1"/>
  <c r="K77" i="2"/>
  <c r="AH76" i="2"/>
  <c r="W76" i="2"/>
  <c r="V76" i="2"/>
  <c r="AG76" i="2" s="1"/>
  <c r="K76" i="2"/>
  <c r="AH75" i="2"/>
  <c r="AG75" i="2"/>
  <c r="V75" i="2"/>
  <c r="W75" i="2" s="1"/>
  <c r="K75" i="2"/>
  <c r="AH74" i="2"/>
  <c r="W74" i="2"/>
  <c r="V74" i="2"/>
  <c r="AG74" i="2" s="1"/>
  <c r="K74" i="2"/>
  <c r="AH73" i="2"/>
  <c r="AG73" i="2"/>
  <c r="V73" i="2"/>
  <c r="W73" i="2" s="1"/>
  <c r="K73" i="2"/>
  <c r="AH72" i="2"/>
  <c r="W72" i="2"/>
  <c r="V72" i="2"/>
  <c r="AG72" i="2" s="1"/>
  <c r="K72" i="2"/>
  <c r="AH71" i="2"/>
  <c r="AG71" i="2"/>
  <c r="V71" i="2"/>
  <c r="W71" i="2" s="1"/>
  <c r="K71" i="2"/>
  <c r="AH70" i="2"/>
  <c r="W70" i="2"/>
  <c r="V70" i="2"/>
  <c r="AG70" i="2" s="1"/>
  <c r="K70" i="2"/>
  <c r="AH69" i="2"/>
  <c r="AG69" i="2"/>
  <c r="V69" i="2"/>
  <c r="W69" i="2" s="1"/>
  <c r="K69" i="2"/>
  <c r="AH68" i="2"/>
  <c r="V68" i="2"/>
  <c r="AG68" i="2" s="1"/>
  <c r="K68" i="2"/>
  <c r="AH67" i="2"/>
  <c r="V67" i="2"/>
  <c r="W67" i="2" s="1"/>
  <c r="K67" i="2"/>
  <c r="AH66" i="2"/>
  <c r="V66" i="2"/>
  <c r="AG66" i="2" s="1"/>
  <c r="K66" i="2"/>
  <c r="AH65" i="2"/>
  <c r="AG65" i="2"/>
  <c r="W65" i="2"/>
  <c r="V65" i="2"/>
  <c r="K65" i="2"/>
  <c r="AH64" i="2"/>
  <c r="V64" i="2"/>
  <c r="AG64" i="2" s="1"/>
  <c r="K64" i="2"/>
  <c r="AH63" i="2"/>
  <c r="V63" i="2"/>
  <c r="W63" i="2" s="1"/>
  <c r="K63" i="2"/>
  <c r="AH62" i="2"/>
  <c r="V62" i="2"/>
  <c r="AG62" i="2" s="1"/>
  <c r="K62" i="2"/>
  <c r="AH61" i="2"/>
  <c r="W61" i="2"/>
  <c r="V61" i="2"/>
  <c r="AG61" i="2" s="1"/>
  <c r="K61" i="2"/>
  <c r="AH60" i="2"/>
  <c r="W60" i="2"/>
  <c r="V60" i="2"/>
  <c r="AG60" i="2" s="1"/>
  <c r="K60" i="2"/>
  <c r="AH59" i="2"/>
  <c r="V59" i="2"/>
  <c r="W59" i="2" s="1"/>
  <c r="K59" i="2"/>
  <c r="AH58" i="2"/>
  <c r="V58" i="2"/>
  <c r="AG58" i="2" s="1"/>
  <c r="K58" i="2"/>
  <c r="AH57" i="2"/>
  <c r="AG57" i="2"/>
  <c r="W57" i="2"/>
  <c r="V57" i="2"/>
  <c r="K57" i="2"/>
  <c r="AH56" i="2"/>
  <c r="W56" i="2"/>
  <c r="V56" i="2"/>
  <c r="AG56" i="2" s="1"/>
  <c r="K56" i="2"/>
  <c r="AH55" i="2"/>
  <c r="V55" i="2"/>
  <c r="W55" i="2" s="1"/>
  <c r="K55" i="2"/>
  <c r="AH54" i="2"/>
  <c r="W54" i="2"/>
  <c r="V54" i="2"/>
  <c r="AG54" i="2" s="1"/>
  <c r="K54" i="2"/>
  <c r="AH53" i="2"/>
  <c r="AG53" i="2"/>
  <c r="V53" i="2"/>
  <c r="W53" i="2" s="1"/>
  <c r="K53" i="2"/>
  <c r="AH52" i="2"/>
  <c r="V52" i="2"/>
  <c r="AG52" i="2" s="1"/>
  <c r="K52" i="2"/>
  <c r="AH51" i="2"/>
  <c r="V51" i="2"/>
  <c r="W51" i="2" s="1"/>
  <c r="K51" i="2"/>
  <c r="AH50" i="2"/>
  <c r="W50" i="2"/>
  <c r="V50" i="2"/>
  <c r="AG50" i="2" s="1"/>
  <c r="K50" i="2"/>
  <c r="AH49" i="2"/>
  <c r="AG49" i="2"/>
  <c r="V49" i="2"/>
  <c r="W49" i="2" s="1"/>
  <c r="K49" i="2"/>
  <c r="AH48" i="2"/>
  <c r="V48" i="2"/>
  <c r="AG48" i="2" s="1"/>
  <c r="K48" i="2"/>
  <c r="AH47" i="2"/>
  <c r="V47" i="2"/>
  <c r="W47" i="2" s="1"/>
  <c r="K47" i="2"/>
  <c r="AH46" i="2"/>
  <c r="V46" i="2"/>
  <c r="AG46" i="2" s="1"/>
  <c r="K46" i="2"/>
  <c r="AH45" i="2"/>
  <c r="V45" i="2"/>
  <c r="AG45" i="2" s="1"/>
  <c r="K45" i="2"/>
  <c r="AH44" i="2"/>
  <c r="W44" i="2"/>
  <c r="V44" i="2"/>
  <c r="AG44" i="2" s="1"/>
  <c r="K44" i="2"/>
  <c r="AH43" i="2"/>
  <c r="V43" i="2"/>
  <c r="W43" i="2" s="1"/>
  <c r="K43" i="2"/>
  <c r="AH42" i="2"/>
  <c r="V42" i="2"/>
  <c r="AG42" i="2" s="1"/>
  <c r="K42" i="2"/>
  <c r="AH41" i="2"/>
  <c r="AG41" i="2"/>
  <c r="W41" i="2"/>
  <c r="V41" i="2"/>
  <c r="K41" i="2"/>
  <c r="AH40" i="2"/>
  <c r="W40" i="2"/>
  <c r="V40" i="2"/>
  <c r="AG40" i="2" s="1"/>
  <c r="K40" i="2"/>
  <c r="AH39" i="2"/>
  <c r="AG39" i="2"/>
  <c r="V39" i="2"/>
  <c r="W39" i="2" s="1"/>
  <c r="K39" i="2"/>
  <c r="AH38" i="2"/>
  <c r="W38" i="2"/>
  <c r="V38" i="2"/>
  <c r="AG38" i="2" s="1"/>
  <c r="K38" i="2"/>
  <c r="AH37" i="2"/>
  <c r="AG37" i="2"/>
  <c r="V37" i="2"/>
  <c r="W37" i="2" s="1"/>
  <c r="K37" i="2"/>
  <c r="AH36" i="2"/>
  <c r="V36" i="2"/>
  <c r="AG36" i="2" s="1"/>
  <c r="K36" i="2"/>
  <c r="AH35" i="2"/>
  <c r="V35" i="2"/>
  <c r="W35" i="2" s="1"/>
  <c r="K35" i="2"/>
  <c r="AH34" i="2"/>
  <c r="V34" i="2"/>
  <c r="AG34" i="2" s="1"/>
  <c r="K34" i="2"/>
  <c r="AH33" i="2"/>
  <c r="AG33" i="2"/>
  <c r="W33" i="2"/>
  <c r="V33" i="2"/>
  <c r="K33" i="2"/>
  <c r="AH32" i="2"/>
  <c r="W32" i="2"/>
  <c r="V32" i="2"/>
  <c r="AG32" i="2" s="1"/>
  <c r="K32" i="2"/>
  <c r="AH31" i="2"/>
  <c r="AG31" i="2"/>
  <c r="V31" i="2"/>
  <c r="W31" i="2" s="1"/>
  <c r="K31" i="2"/>
  <c r="AH30" i="2"/>
  <c r="W30" i="2"/>
  <c r="V30" i="2"/>
  <c r="AG30" i="2" s="1"/>
  <c r="K30" i="2"/>
  <c r="AH29" i="2"/>
  <c r="AG29" i="2"/>
  <c r="W29" i="2"/>
  <c r="V29" i="2"/>
  <c r="K29" i="2"/>
  <c r="AH28" i="2"/>
  <c r="W28" i="2"/>
  <c r="V28" i="2"/>
  <c r="AG28" i="2" s="1"/>
  <c r="K28" i="2"/>
  <c r="AH27" i="2"/>
  <c r="V27" i="2"/>
  <c r="W27" i="2" s="1"/>
  <c r="K27" i="2"/>
  <c r="AH26" i="2"/>
  <c r="W26" i="2"/>
  <c r="V26" i="2"/>
  <c r="AG26" i="2" s="1"/>
  <c r="K26" i="2"/>
  <c r="AH25" i="2"/>
  <c r="AG25" i="2"/>
  <c r="W25" i="2"/>
  <c r="V25" i="2"/>
  <c r="K25" i="2"/>
  <c r="AH24" i="2"/>
  <c r="W24" i="2"/>
  <c r="V24" i="2"/>
  <c r="AG24" i="2" s="1"/>
  <c r="K24" i="2"/>
  <c r="AH23" i="2"/>
  <c r="AG23" i="2"/>
  <c r="V23" i="2"/>
  <c r="W23" i="2" s="1"/>
  <c r="K23" i="2"/>
  <c r="AH22" i="2"/>
  <c r="V22" i="2"/>
  <c r="AG22" i="2" s="1"/>
  <c r="K22" i="2"/>
  <c r="AH21" i="2"/>
  <c r="V21" i="2"/>
  <c r="W21" i="2" s="1"/>
  <c r="K21" i="2"/>
  <c r="AH20" i="2"/>
  <c r="V20" i="2"/>
  <c r="AG20" i="2" s="1"/>
  <c r="K20" i="2"/>
  <c r="AH19" i="2"/>
  <c r="V19" i="2"/>
  <c r="W19" i="2" s="1"/>
  <c r="K19" i="2"/>
  <c r="AH18" i="2"/>
  <c r="AG18" i="2"/>
  <c r="W18" i="2"/>
  <c r="V18" i="2"/>
  <c r="K18" i="2"/>
  <c r="AH17" i="2"/>
  <c r="V17" i="2"/>
  <c r="W17" i="2" s="1"/>
  <c r="K17" i="2"/>
  <c r="AH16" i="2"/>
  <c r="V16" i="2"/>
  <c r="W16" i="2" s="1"/>
  <c r="K16" i="2"/>
  <c r="AH15" i="2"/>
  <c r="V15" i="2"/>
  <c r="W15" i="2" s="1"/>
  <c r="K15" i="2"/>
  <c r="AH14" i="2"/>
  <c r="AG14" i="2"/>
  <c r="V14" i="2"/>
  <c r="K14" i="2"/>
  <c r="AH13" i="2"/>
  <c r="V13" i="2"/>
  <c r="W13" i="2" s="1"/>
  <c r="K13" i="2"/>
  <c r="AH12" i="2"/>
  <c r="V12" i="2"/>
  <c r="AG12" i="2" s="1"/>
  <c r="K12" i="2"/>
  <c r="AH11" i="2"/>
  <c r="V11" i="2"/>
  <c r="AG11" i="2" s="1"/>
  <c r="K11" i="2"/>
  <c r="AH10" i="2"/>
  <c r="V10" i="2"/>
  <c r="W10" i="2" s="1"/>
  <c r="K10" i="2"/>
  <c r="AH9" i="2"/>
  <c r="W9" i="2"/>
  <c r="V9" i="2"/>
  <c r="AG9" i="2" s="1"/>
  <c r="K9" i="2"/>
  <c r="AH8" i="2"/>
  <c r="W8" i="2"/>
  <c r="V8" i="2"/>
  <c r="AG8" i="2" s="1"/>
  <c r="K8" i="2"/>
  <c r="AH7" i="2"/>
  <c r="W7" i="2"/>
  <c r="V7" i="2"/>
  <c r="AG7" i="2" s="1"/>
  <c r="K7" i="2"/>
  <c r="AH6" i="2"/>
  <c r="V6" i="2"/>
  <c r="AG6" i="2" s="1"/>
  <c r="K6" i="2"/>
  <c r="AH5" i="2"/>
  <c r="V5" i="2"/>
  <c r="AG5" i="2" s="1"/>
  <c r="K5" i="2"/>
  <c r="AH4" i="2"/>
  <c r="V4" i="2"/>
  <c r="AG4" i="2" s="1"/>
  <c r="K4" i="2"/>
  <c r="AH3" i="2"/>
  <c r="V3" i="2"/>
  <c r="AG3" i="2" s="1"/>
  <c r="K3" i="2"/>
  <c r="AH2" i="2"/>
  <c r="V2" i="2"/>
  <c r="AG2" i="2" s="1"/>
  <c r="K2" i="2"/>
  <c r="AL267" i="1"/>
  <c r="AN267" i="1" s="1"/>
  <c r="AI267" i="1"/>
  <c r="AH267" i="1"/>
  <c r="AK267" i="1" s="1"/>
  <c r="AL266" i="1"/>
  <c r="AI266" i="1"/>
  <c r="AH266" i="1"/>
  <c r="AK266" i="1" s="1"/>
  <c r="AL265" i="1"/>
  <c r="AM265" i="1" s="1"/>
  <c r="AP265" i="1" s="1"/>
  <c r="AI265" i="1"/>
  <c r="AH265" i="1"/>
  <c r="AK265" i="1" s="1"/>
  <c r="AL264" i="1"/>
  <c r="AN264" i="1" s="1"/>
  <c r="AI264" i="1"/>
  <c r="AH264" i="1"/>
  <c r="AK264" i="1" s="1"/>
  <c r="AL263" i="1"/>
  <c r="AN263" i="1" s="1"/>
  <c r="AI263" i="1"/>
  <c r="AH263" i="1"/>
  <c r="AK263" i="1" s="1"/>
  <c r="AL262" i="1"/>
  <c r="AN262" i="1" s="1"/>
  <c r="AI262" i="1"/>
  <c r="AH262" i="1"/>
  <c r="AK262" i="1" s="1"/>
  <c r="AL261" i="1"/>
  <c r="AN261" i="1" s="1"/>
  <c r="AI261" i="1"/>
  <c r="AH261" i="1"/>
  <c r="AK261" i="1" s="1"/>
  <c r="AL260" i="1"/>
  <c r="AN260" i="1" s="1"/>
  <c r="AI260" i="1"/>
  <c r="AH260" i="1"/>
  <c r="AK260" i="1" s="1"/>
  <c r="AL259" i="1"/>
  <c r="AN259" i="1" s="1"/>
  <c r="AI259" i="1"/>
  <c r="AH259" i="1"/>
  <c r="AK259" i="1" s="1"/>
  <c r="AL258" i="1"/>
  <c r="AN258" i="1" s="1"/>
  <c r="AI258" i="1"/>
  <c r="AH258" i="1"/>
  <c r="AK258" i="1" s="1"/>
  <c r="AL257" i="1"/>
  <c r="AN257" i="1" s="1"/>
  <c r="AI257" i="1"/>
  <c r="AH257" i="1"/>
  <c r="AK257" i="1" s="1"/>
  <c r="AL256" i="1"/>
  <c r="AN256" i="1" s="1"/>
  <c r="AI256" i="1"/>
  <c r="AH256" i="1"/>
  <c r="AK256" i="1" s="1"/>
  <c r="AL255" i="1"/>
  <c r="AN255" i="1" s="1"/>
  <c r="AI255" i="1"/>
  <c r="AH255" i="1"/>
  <c r="AK255" i="1" s="1"/>
  <c r="AL254" i="1"/>
  <c r="AN254" i="1" s="1"/>
  <c r="AI254" i="1"/>
  <c r="AH254" i="1"/>
  <c r="AK254" i="1" s="1"/>
  <c r="AL253" i="1"/>
  <c r="AN253" i="1" s="1"/>
  <c r="AI253" i="1"/>
  <c r="AH253" i="1"/>
  <c r="AK253" i="1" s="1"/>
  <c r="AL252" i="1"/>
  <c r="AN252" i="1" s="1"/>
  <c r="AI252" i="1"/>
  <c r="AH252" i="1"/>
  <c r="AK252" i="1" s="1"/>
  <c r="AL251" i="1"/>
  <c r="AN251" i="1" s="1"/>
  <c r="AH251" i="1"/>
  <c r="AK251" i="1" s="1"/>
  <c r="AL250" i="1"/>
  <c r="AN250" i="1" s="1"/>
  <c r="AI250" i="1"/>
  <c r="AH250" i="1"/>
  <c r="AK250" i="1" s="1"/>
  <c r="AL249" i="1"/>
  <c r="AN249" i="1" s="1"/>
  <c r="AI249" i="1"/>
  <c r="AH249" i="1"/>
  <c r="AK249" i="1" s="1"/>
  <c r="AL248" i="1"/>
  <c r="AN248" i="1" s="1"/>
  <c r="AI248" i="1"/>
  <c r="AH248" i="1"/>
  <c r="AK248" i="1" s="1"/>
  <c r="AL247" i="1"/>
  <c r="AN247" i="1" s="1"/>
  <c r="AI247" i="1"/>
  <c r="AH247" i="1"/>
  <c r="AK247" i="1" s="1"/>
  <c r="AL246" i="1"/>
  <c r="AN246" i="1" s="1"/>
  <c r="AI246" i="1"/>
  <c r="AH246" i="1"/>
  <c r="AK246" i="1" s="1"/>
  <c r="AL245" i="1"/>
  <c r="AN245" i="1" s="1"/>
  <c r="AI245" i="1"/>
  <c r="AH245" i="1"/>
  <c r="AK245" i="1" s="1"/>
  <c r="AL244" i="1"/>
  <c r="AN244" i="1" s="1"/>
  <c r="AI244" i="1"/>
  <c r="AH244" i="1"/>
  <c r="AK244" i="1" s="1"/>
  <c r="AL243" i="1"/>
  <c r="AN243" i="1" s="1"/>
  <c r="AI243" i="1"/>
  <c r="AH243" i="1"/>
  <c r="AK243" i="1" s="1"/>
  <c r="AL242" i="1"/>
  <c r="AN242" i="1" s="1"/>
  <c r="AH242" i="1"/>
  <c r="AK242" i="1" s="1"/>
  <c r="AL241" i="1"/>
  <c r="AN241" i="1" s="1"/>
  <c r="AI241" i="1"/>
  <c r="AH241" i="1"/>
  <c r="AK241" i="1" s="1"/>
  <c r="AL240" i="1"/>
  <c r="AN240" i="1" s="1"/>
  <c r="AH240" i="1"/>
  <c r="AK240" i="1" s="1"/>
  <c r="AL239" i="1"/>
  <c r="AN239" i="1" s="1"/>
  <c r="AI239" i="1"/>
  <c r="AH239" i="1"/>
  <c r="AK239" i="1" s="1"/>
  <c r="AL238" i="1"/>
  <c r="AN238" i="1" s="1"/>
  <c r="AI238" i="1"/>
  <c r="AH238" i="1"/>
  <c r="AK238" i="1" s="1"/>
  <c r="AL237" i="1"/>
  <c r="AN237" i="1" s="1"/>
  <c r="AI237" i="1"/>
  <c r="AH237" i="1"/>
  <c r="AK237" i="1" s="1"/>
  <c r="AL236" i="1"/>
  <c r="AN236" i="1" s="1"/>
  <c r="AI236" i="1"/>
  <c r="AH236" i="1"/>
  <c r="AK236" i="1" s="1"/>
  <c r="AL235" i="1"/>
  <c r="AN235" i="1" s="1"/>
  <c r="AI235" i="1"/>
  <c r="AH235" i="1"/>
  <c r="AK235" i="1" s="1"/>
  <c r="AL234" i="1"/>
  <c r="AN234" i="1" s="1"/>
  <c r="AI234" i="1"/>
  <c r="AH234" i="1"/>
  <c r="AK234" i="1" s="1"/>
  <c r="AL233" i="1"/>
  <c r="AN233" i="1" s="1"/>
  <c r="AI233" i="1"/>
  <c r="AH233" i="1"/>
  <c r="AK233" i="1" s="1"/>
  <c r="AL232" i="1"/>
  <c r="AN232" i="1" s="1"/>
  <c r="AI232" i="1"/>
  <c r="AH232" i="1"/>
  <c r="AK232" i="1" s="1"/>
  <c r="AL231" i="1"/>
  <c r="AN231" i="1" s="1"/>
  <c r="AI231" i="1"/>
  <c r="AH231" i="1"/>
  <c r="AK231" i="1" s="1"/>
  <c r="AL230" i="1"/>
  <c r="AN230" i="1" s="1"/>
  <c r="AI230" i="1"/>
  <c r="AH230" i="1"/>
  <c r="AK230" i="1" s="1"/>
  <c r="AL229" i="1"/>
  <c r="AN229" i="1" s="1"/>
  <c r="AI229" i="1"/>
  <c r="AH229" i="1"/>
  <c r="AK229" i="1" s="1"/>
  <c r="AL228" i="1"/>
  <c r="AN228" i="1" s="1"/>
  <c r="AI228" i="1"/>
  <c r="AH228" i="1"/>
  <c r="AK228" i="1" s="1"/>
  <c r="AL227" i="1"/>
  <c r="AN227" i="1" s="1"/>
  <c r="AI227" i="1"/>
  <c r="AH227" i="1"/>
  <c r="AK227" i="1" s="1"/>
  <c r="AL226" i="1"/>
  <c r="AN226" i="1" s="1"/>
  <c r="AI226" i="1"/>
  <c r="AH226" i="1"/>
  <c r="AK226" i="1" s="1"/>
  <c r="AL225" i="1"/>
  <c r="AN225" i="1" s="1"/>
  <c r="AI225" i="1"/>
  <c r="AH225" i="1"/>
  <c r="AK225" i="1" s="1"/>
  <c r="AL224" i="1"/>
  <c r="AN224" i="1" s="1"/>
  <c r="AI224" i="1"/>
  <c r="AH224" i="1"/>
  <c r="AK224" i="1" s="1"/>
  <c r="AL223" i="1"/>
  <c r="AN223" i="1" s="1"/>
  <c r="AI223" i="1"/>
  <c r="AH223" i="1"/>
  <c r="AK223" i="1" s="1"/>
  <c r="AL222" i="1"/>
  <c r="AN222" i="1" s="1"/>
  <c r="AI222" i="1"/>
  <c r="AH222" i="1"/>
  <c r="AK222" i="1" s="1"/>
  <c r="AL221" i="1"/>
  <c r="AN221" i="1" s="1"/>
  <c r="AI221" i="1"/>
  <c r="AH221" i="1"/>
  <c r="AK221" i="1" s="1"/>
  <c r="AL220" i="1"/>
  <c r="AN220" i="1" s="1"/>
  <c r="AI220" i="1"/>
  <c r="AH220" i="1"/>
  <c r="AK220" i="1" s="1"/>
  <c r="AL219" i="1"/>
  <c r="AN219" i="1" s="1"/>
  <c r="AI219" i="1"/>
  <c r="AH219" i="1"/>
  <c r="AK219" i="1" s="1"/>
  <c r="AL218" i="1"/>
  <c r="AN218" i="1" s="1"/>
  <c r="AI218" i="1"/>
  <c r="AH218" i="1"/>
  <c r="AK218" i="1" s="1"/>
  <c r="AL217" i="1"/>
  <c r="AN217" i="1" s="1"/>
  <c r="AI217" i="1"/>
  <c r="AH217" i="1"/>
  <c r="AK217" i="1" s="1"/>
  <c r="AL216" i="1"/>
  <c r="AN216" i="1" s="1"/>
  <c r="AI216" i="1"/>
  <c r="AH216" i="1"/>
  <c r="AK216" i="1" s="1"/>
  <c r="AL215" i="1"/>
  <c r="AN215" i="1" s="1"/>
  <c r="AI215" i="1"/>
  <c r="AH215" i="1"/>
  <c r="AK215" i="1" s="1"/>
  <c r="AL214" i="1"/>
  <c r="AN214" i="1" s="1"/>
  <c r="AI214" i="1"/>
  <c r="AH214" i="1"/>
  <c r="AK214" i="1" s="1"/>
  <c r="AL213" i="1"/>
  <c r="AN213" i="1" s="1"/>
  <c r="AI213" i="1"/>
  <c r="AH213" i="1"/>
  <c r="AK213" i="1" s="1"/>
  <c r="AL212" i="1"/>
  <c r="AN212" i="1" s="1"/>
  <c r="AI212" i="1"/>
  <c r="AH212" i="1"/>
  <c r="AK212" i="1" s="1"/>
  <c r="AL211" i="1"/>
  <c r="AN211" i="1" s="1"/>
  <c r="AI211" i="1"/>
  <c r="AH211" i="1"/>
  <c r="AK211" i="1" s="1"/>
  <c r="AL210" i="1"/>
  <c r="AN210" i="1" s="1"/>
  <c r="AI210" i="1"/>
  <c r="AH210" i="1"/>
  <c r="AK210" i="1" s="1"/>
  <c r="AL209" i="1"/>
  <c r="AN209" i="1" s="1"/>
  <c r="AI209" i="1"/>
  <c r="AH209" i="1"/>
  <c r="AK209" i="1" s="1"/>
  <c r="AL208" i="1"/>
  <c r="AN208" i="1" s="1"/>
  <c r="AI208" i="1"/>
  <c r="AH208" i="1"/>
  <c r="AK208" i="1" s="1"/>
  <c r="AL207" i="1"/>
  <c r="AN207" i="1" s="1"/>
  <c r="AI207" i="1"/>
  <c r="AH207" i="1"/>
  <c r="AK207" i="1" s="1"/>
  <c r="AB207" i="1"/>
  <c r="AL206" i="1"/>
  <c r="AN206" i="1" s="1"/>
  <c r="AI206" i="1"/>
  <c r="AH206" i="1"/>
  <c r="AK206" i="1" s="1"/>
  <c r="AP205" i="1"/>
  <c r="AN205" i="1"/>
  <c r="AI205" i="1"/>
  <c r="AH205" i="1"/>
  <c r="AK205" i="1" s="1"/>
  <c r="AL204" i="1"/>
  <c r="AN204" i="1" s="1"/>
  <c r="AI204" i="1"/>
  <c r="AH204" i="1"/>
  <c r="AK204" i="1" s="1"/>
  <c r="AL203" i="1"/>
  <c r="AN203" i="1" s="1"/>
  <c r="AI203" i="1"/>
  <c r="AH203" i="1"/>
  <c r="AK203" i="1" s="1"/>
  <c r="AH200" i="1"/>
  <c r="W200" i="1"/>
  <c r="V200" i="1"/>
  <c r="AG200" i="1" s="1"/>
  <c r="K200" i="1"/>
  <c r="AH199" i="1"/>
  <c r="V199" i="1"/>
  <c r="W199" i="1" s="1"/>
  <c r="AH198" i="1"/>
  <c r="V198" i="1"/>
  <c r="W198" i="1" s="1"/>
  <c r="AH197" i="1"/>
  <c r="W197" i="1"/>
  <c r="V197" i="1"/>
  <c r="AH196" i="1"/>
  <c r="W196" i="1"/>
  <c r="V196" i="1"/>
  <c r="AH195" i="1"/>
  <c r="W195" i="1"/>
  <c r="V195" i="1"/>
  <c r="AH194" i="1"/>
  <c r="W194" i="1"/>
  <c r="V194" i="1"/>
  <c r="AH193" i="1"/>
  <c r="W193" i="1"/>
  <c r="V193" i="1"/>
  <c r="AH192" i="1"/>
  <c r="W192" i="1"/>
  <c r="V192" i="1"/>
  <c r="AH191" i="1"/>
  <c r="W191" i="1"/>
  <c r="V191" i="1"/>
  <c r="AH190" i="1"/>
  <c r="W190" i="1"/>
  <c r="V190" i="1"/>
  <c r="AH189" i="1"/>
  <c r="W189" i="1"/>
  <c r="V189" i="1"/>
  <c r="AH188" i="1"/>
  <c r="W188" i="1"/>
  <c r="V188" i="1"/>
  <c r="AH187" i="1"/>
  <c r="W187" i="1"/>
  <c r="V187" i="1"/>
  <c r="AH186" i="1"/>
  <c r="W186" i="1"/>
  <c r="V186" i="1"/>
  <c r="AH185" i="1"/>
  <c r="W185" i="1"/>
  <c r="V185" i="1"/>
  <c r="AH184" i="1"/>
  <c r="W184" i="1"/>
  <c r="V184" i="1"/>
  <c r="AH183" i="1"/>
  <c r="W183" i="1"/>
  <c r="V183" i="1"/>
  <c r="AH182" i="1"/>
  <c r="W182" i="1"/>
  <c r="V182" i="1"/>
  <c r="AH181" i="1"/>
  <c r="W181" i="1"/>
  <c r="V181" i="1"/>
  <c r="AH180" i="1"/>
  <c r="W180" i="1"/>
  <c r="V180" i="1"/>
  <c r="AH179" i="1"/>
  <c r="W179" i="1"/>
  <c r="V179" i="1"/>
  <c r="AH178" i="1"/>
  <c r="W178" i="1"/>
  <c r="V178" i="1"/>
  <c r="AH177" i="1"/>
  <c r="W177" i="1"/>
  <c r="V177" i="1"/>
  <c r="AH176" i="1"/>
  <c r="W176" i="1"/>
  <c r="V176" i="1"/>
  <c r="AH175" i="1"/>
  <c r="W175" i="1"/>
  <c r="V175" i="1"/>
  <c r="AH174" i="1"/>
  <c r="W174" i="1"/>
  <c r="V174" i="1"/>
  <c r="AH173" i="1"/>
  <c r="W173" i="1"/>
  <c r="V173" i="1"/>
  <c r="AH172" i="1"/>
  <c r="W172" i="1"/>
  <c r="V172" i="1"/>
  <c r="AH171" i="1"/>
  <c r="W171" i="1"/>
  <c r="V171" i="1"/>
  <c r="AH170" i="1"/>
  <c r="W170" i="1"/>
  <c r="V170" i="1"/>
  <c r="AH169" i="1"/>
  <c r="W169" i="1"/>
  <c r="V169" i="1"/>
  <c r="AH168" i="1"/>
  <c r="W168" i="1"/>
  <c r="V168" i="1"/>
  <c r="AH167" i="1"/>
  <c r="W167" i="1"/>
  <c r="V167" i="1"/>
  <c r="AH166" i="1"/>
  <c r="W166" i="1"/>
  <c r="V166" i="1"/>
  <c r="AH165" i="1"/>
  <c r="W165" i="1"/>
  <c r="V165" i="1"/>
  <c r="AH164" i="1"/>
  <c r="W164" i="1"/>
  <c r="V164" i="1"/>
  <c r="AH163" i="1"/>
  <c r="W163" i="1"/>
  <c r="V163" i="1"/>
  <c r="AH162" i="1"/>
  <c r="W162" i="1"/>
  <c r="V162" i="1"/>
  <c r="AH161" i="1"/>
  <c r="W161" i="1"/>
  <c r="V161" i="1"/>
  <c r="AH160" i="1"/>
  <c r="W160" i="1"/>
  <c r="V160" i="1"/>
  <c r="AH159" i="1"/>
  <c r="W159" i="1"/>
  <c r="V159" i="1"/>
  <c r="AH158" i="1"/>
  <c r="W158" i="1"/>
  <c r="V158" i="1"/>
  <c r="AH157" i="1"/>
  <c r="W157" i="1"/>
  <c r="V157" i="1"/>
  <c r="AH156" i="1"/>
  <c r="W156" i="1"/>
  <c r="V156" i="1"/>
  <c r="AH155" i="1"/>
  <c r="W155" i="1"/>
  <c r="V155" i="1"/>
  <c r="AH154" i="1"/>
  <c r="W154" i="1"/>
  <c r="V154" i="1"/>
  <c r="AH153" i="1"/>
  <c r="W153" i="1"/>
  <c r="V153" i="1"/>
  <c r="AH152" i="1"/>
  <c r="W152" i="1"/>
  <c r="V152" i="1"/>
  <c r="AH151" i="1"/>
  <c r="W151" i="1"/>
  <c r="V151" i="1"/>
  <c r="AH150" i="1"/>
  <c r="W150" i="1"/>
  <c r="V150" i="1"/>
  <c r="AH149" i="1"/>
  <c r="W149" i="1"/>
  <c r="V149" i="1"/>
  <c r="AH148" i="1"/>
  <c r="W148" i="1"/>
  <c r="V148" i="1"/>
  <c r="AH147" i="1"/>
  <c r="W147" i="1"/>
  <c r="V147" i="1"/>
  <c r="AH146" i="1"/>
  <c r="W146" i="1"/>
  <c r="V146" i="1"/>
  <c r="AH145" i="1"/>
  <c r="W145" i="1"/>
  <c r="V145" i="1"/>
  <c r="AH144" i="1"/>
  <c r="W144" i="1"/>
  <c r="V144" i="1"/>
  <c r="AH143" i="1"/>
  <c r="W143" i="1"/>
  <c r="V143" i="1"/>
  <c r="AH142" i="1"/>
  <c r="W142" i="1"/>
  <c r="V142" i="1"/>
  <c r="AH141" i="1"/>
  <c r="W141" i="1"/>
  <c r="V141" i="1"/>
  <c r="AH140" i="1"/>
  <c r="W140" i="1"/>
  <c r="V140" i="1"/>
  <c r="AH139" i="1"/>
  <c r="W139" i="1"/>
  <c r="V139" i="1"/>
  <c r="AH138" i="1"/>
  <c r="W138" i="1"/>
  <c r="V138" i="1"/>
  <c r="AH137" i="1"/>
  <c r="W137" i="1"/>
  <c r="V137" i="1"/>
  <c r="AH136" i="1"/>
  <c r="W136" i="1"/>
  <c r="V136" i="1"/>
  <c r="AH135" i="1"/>
  <c r="W135" i="1"/>
  <c r="V135" i="1"/>
  <c r="AH134" i="1"/>
  <c r="W134" i="1"/>
  <c r="V134" i="1"/>
  <c r="AH133" i="1"/>
  <c r="W133" i="1"/>
  <c r="V133" i="1"/>
  <c r="AH132" i="1"/>
  <c r="W132" i="1"/>
  <c r="V132" i="1"/>
  <c r="AH131" i="1"/>
  <c r="W131" i="1"/>
  <c r="V131" i="1"/>
  <c r="AH130" i="1"/>
  <c r="W130" i="1"/>
  <c r="V130" i="1"/>
  <c r="AH129" i="1"/>
  <c r="W129" i="1"/>
  <c r="V129" i="1"/>
  <c r="AH128" i="1"/>
  <c r="W128" i="1"/>
  <c r="V128" i="1"/>
  <c r="AH127" i="1"/>
  <c r="W127" i="1"/>
  <c r="V127" i="1"/>
  <c r="AH126" i="1"/>
  <c r="W126" i="1"/>
  <c r="V126" i="1"/>
  <c r="AH125" i="1"/>
  <c r="W125" i="1"/>
  <c r="V125" i="1"/>
  <c r="AH124" i="1"/>
  <c r="W124" i="1"/>
  <c r="V124" i="1"/>
  <c r="AH123" i="1"/>
  <c r="W123" i="1"/>
  <c r="V123" i="1"/>
  <c r="AH122" i="1"/>
  <c r="W122" i="1"/>
  <c r="V122" i="1"/>
  <c r="AH121" i="1"/>
  <c r="W121" i="1"/>
  <c r="V121" i="1"/>
  <c r="AH120" i="1"/>
  <c r="W120" i="1"/>
  <c r="V120" i="1"/>
  <c r="AH119" i="1"/>
  <c r="W119" i="1"/>
  <c r="V119" i="1"/>
  <c r="AH118" i="1"/>
  <c r="W118" i="1"/>
  <c r="V118" i="1"/>
  <c r="AH117" i="1"/>
  <c r="W117" i="1"/>
  <c r="V117" i="1"/>
  <c r="AH116" i="1"/>
  <c r="W116" i="1"/>
  <c r="V116" i="1"/>
  <c r="AH115" i="1"/>
  <c r="W115" i="1"/>
  <c r="V115" i="1"/>
  <c r="AH114" i="1"/>
  <c r="W114" i="1"/>
  <c r="V114" i="1"/>
  <c r="AH113" i="1"/>
  <c r="W113" i="1"/>
  <c r="V113" i="1"/>
  <c r="AH112" i="1"/>
  <c r="W112" i="1"/>
  <c r="V112" i="1"/>
  <c r="AH111" i="1"/>
  <c r="W111" i="1"/>
  <c r="V111" i="1"/>
  <c r="AH110" i="1"/>
  <c r="W110" i="1"/>
  <c r="V110" i="1"/>
  <c r="AH109" i="1"/>
  <c r="W109" i="1"/>
  <c r="V109" i="1"/>
  <c r="AH108" i="1"/>
  <c r="W108" i="1"/>
  <c r="V108" i="1"/>
  <c r="AH107" i="1"/>
  <c r="W107" i="1"/>
  <c r="V107" i="1"/>
  <c r="AH106" i="1"/>
  <c r="W106" i="1"/>
  <c r="V106" i="1"/>
  <c r="AH105" i="1"/>
  <c r="W105" i="1"/>
  <c r="V105" i="1"/>
  <c r="AH104" i="1"/>
  <c r="W104" i="1"/>
  <c r="V104" i="1"/>
  <c r="AH103" i="1"/>
  <c r="W103" i="1"/>
  <c r="V103" i="1"/>
  <c r="AH102" i="1"/>
  <c r="W102" i="1"/>
  <c r="V102" i="1"/>
  <c r="AH101" i="1"/>
  <c r="W101" i="1"/>
  <c r="V101" i="1"/>
  <c r="AH100" i="1"/>
  <c r="W100" i="1"/>
  <c r="V100" i="1"/>
  <c r="AH99" i="1"/>
  <c r="W99" i="1"/>
  <c r="V99" i="1"/>
  <c r="AH98" i="1"/>
  <c r="W98" i="1"/>
  <c r="V98" i="1"/>
  <c r="AH97" i="1"/>
  <c r="W97" i="1"/>
  <c r="V97" i="1"/>
  <c r="AH96" i="1"/>
  <c r="W96" i="1"/>
  <c r="V96" i="1"/>
  <c r="AH95" i="1"/>
  <c r="W95" i="1"/>
  <c r="V95" i="1"/>
  <c r="AH94" i="1"/>
  <c r="W94" i="1"/>
  <c r="V94" i="1"/>
  <c r="AH93" i="1"/>
  <c r="W93" i="1"/>
  <c r="V93" i="1"/>
  <c r="AH92" i="1"/>
  <c r="W92" i="1"/>
  <c r="V92" i="1"/>
  <c r="AH91" i="1"/>
  <c r="W91" i="1"/>
  <c r="V91" i="1"/>
  <c r="AH90" i="1"/>
  <c r="W90" i="1"/>
  <c r="V90" i="1"/>
  <c r="AH89" i="1"/>
  <c r="W89" i="1"/>
  <c r="V89" i="1"/>
  <c r="AH88" i="1"/>
  <c r="W88" i="1"/>
  <c r="V88" i="1"/>
  <c r="AH87" i="1"/>
  <c r="AG87" i="1"/>
  <c r="V87" i="1"/>
  <c r="W87" i="1" s="1"/>
  <c r="K87" i="1"/>
  <c r="AH86" i="1"/>
  <c r="AG86" i="1"/>
  <c r="V86" i="1"/>
  <c r="W86" i="1" s="1"/>
  <c r="K86" i="1"/>
  <c r="AH85" i="1"/>
  <c r="AG85" i="1"/>
  <c r="V85" i="1"/>
  <c r="W85" i="1" s="1"/>
  <c r="K85" i="1"/>
  <c r="AH84" i="1"/>
  <c r="V84" i="1"/>
  <c r="W84" i="1" s="1"/>
  <c r="K84" i="1"/>
  <c r="AH83" i="1"/>
  <c r="V83" i="1"/>
  <c r="W83" i="1" s="1"/>
  <c r="K83" i="1"/>
  <c r="AH82" i="1"/>
  <c r="AG82" i="1"/>
  <c r="V82" i="1"/>
  <c r="W82" i="1" s="1"/>
  <c r="K82" i="1"/>
  <c r="AH81" i="1"/>
  <c r="AG81" i="1"/>
  <c r="V81" i="1"/>
  <c r="W81" i="1" s="1"/>
  <c r="K81" i="1"/>
  <c r="AH80" i="1"/>
  <c r="V80" i="1"/>
  <c r="K80" i="1"/>
  <c r="AH79" i="1"/>
  <c r="AG79" i="1"/>
  <c r="V79" i="1"/>
  <c r="W79" i="1" s="1"/>
  <c r="K79" i="1"/>
  <c r="AH78" i="1"/>
  <c r="AG78" i="1"/>
  <c r="V78" i="1"/>
  <c r="W78" i="1" s="1"/>
  <c r="K78" i="1"/>
  <c r="AH77" i="1"/>
  <c r="AG77" i="1"/>
  <c r="V77" i="1"/>
  <c r="W77" i="1" s="1"/>
  <c r="K77" i="1"/>
  <c r="AH76" i="1"/>
  <c r="W76" i="1"/>
  <c r="V76" i="1"/>
  <c r="AG76" i="1" s="1"/>
  <c r="K76" i="1"/>
  <c r="AH75" i="1"/>
  <c r="AG75" i="1"/>
  <c r="V75" i="1"/>
  <c r="W75" i="1" s="1"/>
  <c r="K75" i="1"/>
  <c r="AH74" i="1"/>
  <c r="AG74" i="1"/>
  <c r="V74" i="1"/>
  <c r="W74" i="1" s="1"/>
  <c r="K74" i="1"/>
  <c r="AH73" i="1"/>
  <c r="AG73" i="1"/>
  <c r="V73" i="1"/>
  <c r="W73" i="1" s="1"/>
  <c r="K73" i="1"/>
  <c r="AH72" i="1"/>
  <c r="W72" i="1"/>
  <c r="V72" i="1"/>
  <c r="AG72" i="1" s="1"/>
  <c r="K72" i="1"/>
  <c r="AH71" i="1"/>
  <c r="V71" i="1"/>
  <c r="W71" i="1" s="1"/>
  <c r="K71" i="1"/>
  <c r="AH70" i="1"/>
  <c r="W70" i="1"/>
  <c r="V70" i="1"/>
  <c r="AG70" i="1" s="1"/>
  <c r="K70" i="1"/>
  <c r="AH69" i="1"/>
  <c r="AG69" i="1"/>
  <c r="V69" i="1"/>
  <c r="W69" i="1" s="1"/>
  <c r="K69" i="1"/>
  <c r="AH68" i="1"/>
  <c r="W68" i="1"/>
  <c r="V68" i="1"/>
  <c r="AG68" i="1" s="1"/>
  <c r="K68" i="1"/>
  <c r="AH67" i="1"/>
  <c r="AG67" i="1"/>
  <c r="V67" i="1"/>
  <c r="W67" i="1" s="1"/>
  <c r="K67" i="1"/>
  <c r="AH66" i="1"/>
  <c r="W66" i="1"/>
  <c r="V66" i="1"/>
  <c r="AG66" i="1" s="1"/>
  <c r="K66" i="1"/>
  <c r="AH65" i="1"/>
  <c r="AG65" i="1"/>
  <c r="V65" i="1"/>
  <c r="W65" i="1" s="1"/>
  <c r="K65" i="1"/>
  <c r="AH64" i="1"/>
  <c r="W64" i="1"/>
  <c r="V64" i="1"/>
  <c r="AG64" i="1" s="1"/>
  <c r="K64" i="1"/>
  <c r="AH63" i="1"/>
  <c r="AG63" i="1"/>
  <c r="V63" i="1"/>
  <c r="W63" i="1" s="1"/>
  <c r="K63" i="1"/>
  <c r="AH62" i="1"/>
  <c r="W62" i="1"/>
  <c r="V62" i="1"/>
  <c r="AG62" i="1" s="1"/>
  <c r="K62" i="1"/>
  <c r="AH61" i="1"/>
  <c r="AG61" i="1"/>
  <c r="V61" i="1"/>
  <c r="W61" i="1" s="1"/>
  <c r="K61" i="1"/>
  <c r="AH60" i="1"/>
  <c r="W60" i="1"/>
  <c r="V60" i="1"/>
  <c r="AG60" i="1" s="1"/>
  <c r="K60" i="1"/>
  <c r="AH59" i="1"/>
  <c r="AG59" i="1"/>
  <c r="V59" i="1"/>
  <c r="W59" i="1" s="1"/>
  <c r="K59" i="1"/>
  <c r="AH58" i="1"/>
  <c r="W58" i="1"/>
  <c r="V58" i="1"/>
  <c r="AG58" i="1" s="1"/>
  <c r="K58" i="1"/>
  <c r="AH57" i="1"/>
  <c r="AG57" i="1"/>
  <c r="V57" i="1"/>
  <c r="W57" i="1" s="1"/>
  <c r="K57" i="1"/>
  <c r="AH56" i="1"/>
  <c r="W56" i="1"/>
  <c r="V56" i="1"/>
  <c r="AG56" i="1" s="1"/>
  <c r="K56" i="1"/>
  <c r="AH55" i="1"/>
  <c r="AG55" i="1"/>
  <c r="V55" i="1"/>
  <c r="W55" i="1" s="1"/>
  <c r="K55" i="1"/>
  <c r="AH54" i="1"/>
  <c r="W54" i="1"/>
  <c r="V54" i="1"/>
  <c r="AG54" i="1" s="1"/>
  <c r="K54" i="1"/>
  <c r="AH53" i="1"/>
  <c r="AG53" i="1"/>
  <c r="V53" i="1"/>
  <c r="W53" i="1" s="1"/>
  <c r="K53" i="1"/>
  <c r="AH52" i="1"/>
  <c r="W52" i="1"/>
  <c r="V52" i="1"/>
  <c r="AG52" i="1" s="1"/>
  <c r="K52" i="1"/>
  <c r="AH51" i="1"/>
  <c r="AG51" i="1"/>
  <c r="V51" i="1"/>
  <c r="W51" i="1" s="1"/>
  <c r="K51" i="1"/>
  <c r="AH50" i="1"/>
  <c r="W50" i="1"/>
  <c r="V50" i="1"/>
  <c r="AG50" i="1" s="1"/>
  <c r="K50" i="1"/>
  <c r="AH49" i="1"/>
  <c r="AG49" i="1"/>
  <c r="V49" i="1"/>
  <c r="W49" i="1" s="1"/>
  <c r="K49" i="1"/>
  <c r="AH48" i="1"/>
  <c r="W48" i="1"/>
  <c r="V48" i="1"/>
  <c r="AG48" i="1" s="1"/>
  <c r="K48" i="1"/>
  <c r="AH47" i="1"/>
  <c r="AG47" i="1"/>
  <c r="V47" i="1"/>
  <c r="W47" i="1" s="1"/>
  <c r="K47" i="1"/>
  <c r="AH46" i="1"/>
  <c r="W46" i="1"/>
  <c r="V46" i="1"/>
  <c r="AG46" i="1" s="1"/>
  <c r="K46" i="1"/>
  <c r="AH45" i="1"/>
  <c r="AG45" i="1"/>
  <c r="V45" i="1"/>
  <c r="W45" i="1" s="1"/>
  <c r="K45" i="1"/>
  <c r="AH44" i="1"/>
  <c r="W44" i="1"/>
  <c r="V44" i="1"/>
  <c r="AG44" i="1" s="1"/>
  <c r="K44" i="1"/>
  <c r="AH43" i="1"/>
  <c r="AG43" i="1"/>
  <c r="V43" i="1"/>
  <c r="W43" i="1" s="1"/>
  <c r="K43" i="1"/>
  <c r="AH42" i="1"/>
  <c r="W42" i="1"/>
  <c r="V42" i="1"/>
  <c r="AG42" i="1" s="1"/>
  <c r="K42" i="1"/>
  <c r="AH41" i="1"/>
  <c r="AG41" i="1"/>
  <c r="V41" i="1"/>
  <c r="W41" i="1" s="1"/>
  <c r="K41" i="1"/>
  <c r="AH40" i="1"/>
  <c r="W40" i="1"/>
  <c r="V40" i="1"/>
  <c r="AG40" i="1" s="1"/>
  <c r="K40" i="1"/>
  <c r="AH39" i="1"/>
  <c r="AG39" i="1"/>
  <c r="V39" i="1"/>
  <c r="W39" i="1" s="1"/>
  <c r="K39" i="1"/>
  <c r="AH38" i="1"/>
  <c r="W38" i="1"/>
  <c r="V38" i="1"/>
  <c r="AG38" i="1" s="1"/>
  <c r="K38" i="1"/>
  <c r="AH37" i="1"/>
  <c r="AG37" i="1"/>
  <c r="V37" i="1"/>
  <c r="W37" i="1" s="1"/>
  <c r="K37" i="1"/>
  <c r="AH36" i="1"/>
  <c r="W36" i="1"/>
  <c r="V36" i="1"/>
  <c r="AG36" i="1" s="1"/>
  <c r="K36" i="1"/>
  <c r="AH35" i="1"/>
  <c r="AG35" i="1"/>
  <c r="V35" i="1"/>
  <c r="W35" i="1" s="1"/>
  <c r="K35" i="1"/>
  <c r="AH34" i="1"/>
  <c r="W34" i="1"/>
  <c r="V34" i="1"/>
  <c r="AG34" i="1" s="1"/>
  <c r="K34" i="1"/>
  <c r="AH33" i="1"/>
  <c r="AG33" i="1"/>
  <c r="V33" i="1"/>
  <c r="W33" i="1" s="1"/>
  <c r="K33" i="1"/>
  <c r="AH32" i="1"/>
  <c r="W32" i="1"/>
  <c r="V32" i="1"/>
  <c r="AG32" i="1" s="1"/>
  <c r="K32" i="1"/>
  <c r="AH31" i="1"/>
  <c r="AG31" i="1"/>
  <c r="V31" i="1"/>
  <c r="W31" i="1" s="1"/>
  <c r="K31" i="1"/>
  <c r="AH30" i="1"/>
  <c r="W30" i="1"/>
  <c r="V30" i="1"/>
  <c r="AG30" i="1" s="1"/>
  <c r="K30" i="1"/>
  <c r="AH29" i="1"/>
  <c r="AG29" i="1"/>
  <c r="V29" i="1"/>
  <c r="W29" i="1" s="1"/>
  <c r="K29" i="1"/>
  <c r="AH28" i="1"/>
  <c r="W28" i="1"/>
  <c r="V28" i="1"/>
  <c r="AG28" i="1" s="1"/>
  <c r="K28" i="1"/>
  <c r="AH27" i="1"/>
  <c r="AG27" i="1"/>
  <c r="V27" i="1"/>
  <c r="W27" i="1" s="1"/>
  <c r="K27" i="1"/>
  <c r="AH26" i="1"/>
  <c r="W26" i="1"/>
  <c r="V26" i="1"/>
  <c r="AG26" i="1" s="1"/>
  <c r="K26" i="1"/>
  <c r="AH25" i="1"/>
  <c r="V25" i="1"/>
  <c r="W25" i="1" s="1"/>
  <c r="K25" i="1"/>
  <c r="AH24" i="1"/>
  <c r="V24" i="1"/>
  <c r="AG24" i="1" s="1"/>
  <c r="AH23" i="1"/>
  <c r="V23" i="1"/>
  <c r="W23" i="1" s="1"/>
  <c r="K23" i="1"/>
  <c r="AH22" i="1"/>
  <c r="W22" i="1"/>
  <c r="V22" i="1"/>
  <c r="AG22" i="1" s="1"/>
  <c r="K22" i="1"/>
  <c r="AH21" i="1"/>
  <c r="V21" i="1"/>
  <c r="W21" i="1" s="1"/>
  <c r="K21" i="1"/>
  <c r="AH20" i="1"/>
  <c r="W20" i="1"/>
  <c r="V20" i="1"/>
  <c r="AG20" i="1" s="1"/>
  <c r="K20" i="1"/>
  <c r="AH19" i="1"/>
  <c r="V19" i="1"/>
  <c r="W19" i="1" s="1"/>
  <c r="K19" i="1"/>
  <c r="AH18" i="1"/>
  <c r="X18" i="1"/>
  <c r="Z18" i="1" s="1"/>
  <c r="V18" i="1"/>
  <c r="AG18" i="1" s="1"/>
  <c r="K18" i="1"/>
  <c r="AH17" i="1"/>
  <c r="V17" i="1"/>
  <c r="W17" i="1" s="1"/>
  <c r="K17" i="1"/>
  <c r="AH16" i="1"/>
  <c r="V16" i="1"/>
  <c r="AG16" i="1" s="1"/>
  <c r="K16" i="1"/>
  <c r="AH15" i="1"/>
  <c r="V15" i="1"/>
  <c r="W15" i="1" s="1"/>
  <c r="K15" i="1"/>
  <c r="AH14" i="1"/>
  <c r="W14" i="1"/>
  <c r="V14" i="1"/>
  <c r="AG14" i="1" s="1"/>
  <c r="K14" i="1"/>
  <c r="AH13" i="1"/>
  <c r="V13" i="1"/>
  <c r="W13" i="1" s="1"/>
  <c r="K13" i="1"/>
  <c r="AH12" i="1"/>
  <c r="V12" i="1"/>
  <c r="AG12" i="1" s="1"/>
  <c r="K12" i="1"/>
  <c r="AH11" i="1"/>
  <c r="W11" i="1"/>
  <c r="V11" i="1"/>
  <c r="AG11" i="1" s="1"/>
  <c r="K11" i="1"/>
  <c r="AH10" i="1"/>
  <c r="V10" i="1"/>
  <c r="AG10" i="1" s="1"/>
  <c r="K10" i="1"/>
  <c r="AH9" i="1"/>
  <c r="W9" i="1"/>
  <c r="V9" i="1"/>
  <c r="AG9" i="1" s="1"/>
  <c r="K9" i="1"/>
  <c r="AH8" i="1"/>
  <c r="V8" i="1"/>
  <c r="AG8" i="1" s="1"/>
  <c r="K8" i="1"/>
  <c r="AH7" i="1"/>
  <c r="V7" i="1"/>
  <c r="AG7" i="1" s="1"/>
  <c r="K7" i="1"/>
  <c r="AH6" i="1"/>
  <c r="V6" i="1"/>
  <c r="AG6" i="1" s="1"/>
  <c r="K6" i="1"/>
  <c r="AH5" i="1"/>
  <c r="AG5" i="1"/>
  <c r="V5" i="1"/>
  <c r="AI240" i="1" s="1"/>
  <c r="K5" i="1"/>
  <c r="AH4" i="1"/>
  <c r="W4" i="1"/>
  <c r="V4" i="1"/>
  <c r="AG4" i="1" s="1"/>
  <c r="K4" i="1"/>
  <c r="AH3" i="1"/>
  <c r="AG3" i="1"/>
  <c r="V3" i="1"/>
  <c r="W3" i="1" s="1"/>
  <c r="K3" i="1"/>
  <c r="AH2" i="1"/>
  <c r="V2" i="1"/>
  <c r="AG2" i="1" s="1"/>
  <c r="K2" i="1"/>
  <c r="AG31" i="4" l="1"/>
  <c r="AG30" i="4"/>
  <c r="AI253" i="4"/>
  <c r="AJ253" i="4" s="1"/>
  <c r="AM253" i="4" s="1"/>
  <c r="AP253" i="4" s="1"/>
  <c r="AI251" i="5"/>
  <c r="AJ251" i="5" s="1"/>
  <c r="AM251" i="5" s="1"/>
  <c r="AP251" i="5" s="1"/>
  <c r="W38" i="5"/>
  <c r="AG35" i="5"/>
  <c r="W28" i="5"/>
  <c r="AG27" i="5"/>
  <c r="W26" i="5"/>
  <c r="W24" i="5"/>
  <c r="AG23" i="5"/>
  <c r="W22" i="5"/>
  <c r="AI240" i="5"/>
  <c r="AJ240" i="5" s="1"/>
  <c r="AM240" i="5" s="1"/>
  <c r="AP240" i="5" s="1"/>
  <c r="W20" i="5"/>
  <c r="AG19" i="5"/>
  <c r="W18" i="5"/>
  <c r="W16" i="5"/>
  <c r="AG15" i="5"/>
  <c r="AI254" i="5"/>
  <c r="AJ254" i="5" s="1"/>
  <c r="AM254" i="5" s="1"/>
  <c r="AP254" i="5" s="1"/>
  <c r="AI242" i="5"/>
  <c r="AJ242" i="5" s="1"/>
  <c r="AM242" i="5" s="1"/>
  <c r="AP242" i="5" s="1"/>
  <c r="AI241" i="5"/>
  <c r="AJ241" i="5" s="1"/>
  <c r="AM241" i="5" s="1"/>
  <c r="AP241" i="5" s="1"/>
  <c r="AG11" i="5"/>
  <c r="AI252" i="5"/>
  <c r="AJ252" i="5" s="1"/>
  <c r="AM252" i="5" s="1"/>
  <c r="AP252" i="5" s="1"/>
  <c r="W10" i="5"/>
  <c r="AJ260" i="5"/>
  <c r="AM260" i="5" s="1"/>
  <c r="AP260" i="5" s="1"/>
  <c r="AJ205" i="5"/>
  <c r="AJ243" i="5"/>
  <c r="AM243" i="5" s="1"/>
  <c r="AP243" i="5" s="1"/>
  <c r="AJ247" i="5"/>
  <c r="AM247" i="5" s="1"/>
  <c r="AP247" i="5" s="1"/>
  <c r="AJ221" i="5"/>
  <c r="AM221" i="5" s="1"/>
  <c r="AP221" i="5" s="1"/>
  <c r="AJ225" i="5"/>
  <c r="AM225" i="5" s="1"/>
  <c r="AP225" i="5" s="1"/>
  <c r="AJ229" i="5"/>
  <c r="AM229" i="5" s="1"/>
  <c r="AP229" i="5" s="1"/>
  <c r="AJ233" i="5"/>
  <c r="AM233" i="5" s="1"/>
  <c r="AP233" i="5" s="1"/>
  <c r="AJ237" i="5"/>
  <c r="AM237" i="5" s="1"/>
  <c r="AP237" i="5" s="1"/>
  <c r="AJ245" i="5"/>
  <c r="AM245" i="5" s="1"/>
  <c r="AP245" i="5" s="1"/>
  <c r="AJ249" i="5"/>
  <c r="AM249" i="5" s="1"/>
  <c r="AP249" i="5" s="1"/>
  <c r="AJ264" i="5"/>
  <c r="W53" i="3"/>
  <c r="AI254" i="4"/>
  <c r="AJ254" i="4" s="1"/>
  <c r="AM254" i="4" s="1"/>
  <c r="AP254" i="4" s="1"/>
  <c r="AJ210" i="4"/>
  <c r="AM210" i="4" s="1"/>
  <c r="AP210" i="4" s="1"/>
  <c r="AJ214" i="4"/>
  <c r="AM214" i="4" s="1"/>
  <c r="AP214" i="4" s="1"/>
  <c r="AI242" i="4"/>
  <c r="AJ242" i="4" s="1"/>
  <c r="AM242" i="4" s="1"/>
  <c r="AP242" i="4" s="1"/>
  <c r="AJ221" i="4"/>
  <c r="AM221" i="4" s="1"/>
  <c r="AP221" i="4" s="1"/>
  <c r="AJ205" i="4"/>
  <c r="AJ222" i="4"/>
  <c r="AM222" i="4" s="1"/>
  <c r="AP222" i="4" s="1"/>
  <c r="AJ209" i="4"/>
  <c r="AM209" i="4" s="1"/>
  <c r="AP209" i="4" s="1"/>
  <c r="AJ213" i="4"/>
  <c r="AM213" i="4" s="1"/>
  <c r="AP213" i="4" s="1"/>
  <c r="AJ217" i="4"/>
  <c r="AM217" i="4" s="1"/>
  <c r="AP217" i="4" s="1"/>
  <c r="AJ208" i="4"/>
  <c r="AM208" i="4" s="1"/>
  <c r="AP208" i="4" s="1"/>
  <c r="AJ212" i="4"/>
  <c r="AM212" i="4" s="1"/>
  <c r="AP212" i="4" s="1"/>
  <c r="AJ216" i="4"/>
  <c r="AM216" i="4" s="1"/>
  <c r="AP216" i="4" s="1"/>
  <c r="AJ220" i="4"/>
  <c r="AM220" i="4" s="1"/>
  <c r="AP220" i="4" s="1"/>
  <c r="AJ203" i="4"/>
  <c r="AM203" i="4" s="1"/>
  <c r="AP203" i="4" s="1"/>
  <c r="AJ229" i="4"/>
  <c r="AM229" i="4" s="1"/>
  <c r="AP229" i="4" s="1"/>
  <c r="AJ204" i="4"/>
  <c r="AM204" i="4" s="1"/>
  <c r="AP204" i="4" s="1"/>
  <c r="AJ207" i="4"/>
  <c r="AM207" i="4" s="1"/>
  <c r="AP207" i="4" s="1"/>
  <c r="AJ211" i="4"/>
  <c r="AM211" i="4" s="1"/>
  <c r="AP211" i="4" s="1"/>
  <c r="AJ215" i="4"/>
  <c r="AM215" i="4" s="1"/>
  <c r="AP215" i="4" s="1"/>
  <c r="AJ227" i="4"/>
  <c r="AM227" i="4" s="1"/>
  <c r="AP227" i="4" s="1"/>
  <c r="AJ218" i="4"/>
  <c r="AM218" i="4" s="1"/>
  <c r="AP218" i="4" s="1"/>
  <c r="AK207" i="4"/>
  <c r="AK208" i="4"/>
  <c r="AK209" i="4"/>
  <c r="AK210" i="4"/>
  <c r="AK211" i="4"/>
  <c r="AK212" i="4"/>
  <c r="AK213" i="4"/>
  <c r="AK214" i="4"/>
  <c r="AK215" i="4"/>
  <c r="AK216" i="4"/>
  <c r="AK217" i="4"/>
  <c r="AJ219" i="4"/>
  <c r="AM219" i="4" s="1"/>
  <c r="AP219" i="4" s="1"/>
  <c r="AJ223" i="4"/>
  <c r="AM223" i="4" s="1"/>
  <c r="AP223" i="4" s="1"/>
  <c r="AJ225" i="4"/>
  <c r="AM225" i="4" s="1"/>
  <c r="AP225" i="4" s="1"/>
  <c r="AG79" i="2"/>
  <c r="W47" i="3"/>
  <c r="AI253" i="3"/>
  <c r="AJ253" i="3" s="1"/>
  <c r="AM253" i="3" s="1"/>
  <c r="AP253" i="3" s="1"/>
  <c r="W39" i="3"/>
  <c r="W37" i="3"/>
  <c r="W35" i="3"/>
  <c r="AI254" i="3"/>
  <c r="AJ254" i="3" s="1"/>
  <c r="AM254" i="3" s="1"/>
  <c r="AP254" i="3" s="1"/>
  <c r="W33" i="3"/>
  <c r="W31" i="3"/>
  <c r="W29" i="3"/>
  <c r="W27" i="3"/>
  <c r="W25" i="3"/>
  <c r="AI241" i="3"/>
  <c r="AJ241" i="3" s="1"/>
  <c r="AM241" i="3" s="1"/>
  <c r="AP241" i="3" s="1"/>
  <c r="W23" i="3"/>
  <c r="AI240" i="3"/>
  <c r="AJ240" i="3" s="1"/>
  <c r="AM240" i="3" s="1"/>
  <c r="AP240" i="3" s="1"/>
  <c r="W21" i="3"/>
  <c r="AI251" i="3"/>
  <c r="AJ251" i="3" s="1"/>
  <c r="AM251" i="3" s="1"/>
  <c r="AP251" i="3" s="1"/>
  <c r="W17" i="3"/>
  <c r="W15" i="3"/>
  <c r="W9" i="3"/>
  <c r="AI242" i="3"/>
  <c r="AJ242" i="3" s="1"/>
  <c r="AM242" i="3" s="1"/>
  <c r="AP242" i="3" s="1"/>
  <c r="W78" i="2"/>
  <c r="AG77" i="2"/>
  <c r="W68" i="2"/>
  <c r="W66" i="2"/>
  <c r="W64" i="2"/>
  <c r="AG63" i="2"/>
  <c r="W62" i="2"/>
  <c r="AJ261" i="5"/>
  <c r="AM261" i="5" s="1"/>
  <c r="AP261" i="5" s="1"/>
  <c r="AJ204" i="5"/>
  <c r="AM204" i="5" s="1"/>
  <c r="AP204" i="5" s="1"/>
  <c r="AJ219" i="5"/>
  <c r="AM219" i="5" s="1"/>
  <c r="AP219" i="5" s="1"/>
  <c r="AJ223" i="5"/>
  <c r="AM223" i="5" s="1"/>
  <c r="AP223" i="5" s="1"/>
  <c r="AJ227" i="5"/>
  <c r="AM227" i="5" s="1"/>
  <c r="AP227" i="5" s="1"/>
  <c r="AJ231" i="5"/>
  <c r="AM231" i="5" s="1"/>
  <c r="AP231" i="5" s="1"/>
  <c r="AJ235" i="5"/>
  <c r="AM235" i="5" s="1"/>
  <c r="AP235" i="5" s="1"/>
  <c r="AJ239" i="5"/>
  <c r="AM239" i="5" s="1"/>
  <c r="AP239" i="5" s="1"/>
  <c r="AJ258" i="5"/>
  <c r="AK260" i="5"/>
  <c r="AJ203" i="5"/>
  <c r="AM203" i="5" s="1"/>
  <c r="AP203" i="5" s="1"/>
  <c r="AJ255" i="5"/>
  <c r="AM255" i="5" s="1"/>
  <c r="AP255" i="5" s="1"/>
  <c r="AJ260" i="3"/>
  <c r="AM260" i="3" s="1"/>
  <c r="AP260" i="3" s="1"/>
  <c r="AI254" i="2"/>
  <c r="W58" i="2"/>
  <c r="AG55" i="2"/>
  <c r="W52" i="2"/>
  <c r="W48" i="2"/>
  <c r="AG47" i="2"/>
  <c r="W46" i="2"/>
  <c r="W45" i="2"/>
  <c r="W42" i="2"/>
  <c r="W36" i="2"/>
  <c r="AI242" i="2"/>
  <c r="AJ242" i="2" s="1"/>
  <c r="AM242" i="2" s="1"/>
  <c r="AP242" i="2" s="1"/>
  <c r="W34" i="2"/>
  <c r="W22" i="2"/>
  <c r="AI241" i="2"/>
  <c r="AJ241" i="2" s="1"/>
  <c r="AM241" i="2" s="1"/>
  <c r="AP241" i="2" s="1"/>
  <c r="AI251" i="2"/>
  <c r="AJ251" i="2" s="1"/>
  <c r="AM251" i="2" s="1"/>
  <c r="AP251" i="2" s="1"/>
  <c r="W14" i="2"/>
  <c r="W12" i="2"/>
  <c r="AI253" i="2"/>
  <c r="AJ253" i="2" s="1"/>
  <c r="AM253" i="2" s="1"/>
  <c r="AP253" i="2" s="1"/>
  <c r="W11" i="2"/>
  <c r="AJ222" i="2"/>
  <c r="AM222" i="2" s="1"/>
  <c r="AP222" i="2" s="1"/>
  <c r="AG10" i="2"/>
  <c r="AI240" i="2"/>
  <c r="AJ240" i="2" s="1"/>
  <c r="AM240" i="2" s="1"/>
  <c r="AP240" i="2" s="1"/>
  <c r="W6" i="2"/>
  <c r="W5" i="2"/>
  <c r="W4" i="2"/>
  <c r="AG25" i="1"/>
  <c r="W24" i="1"/>
  <c r="AM258" i="5"/>
  <c r="AP258" i="5" s="1"/>
  <c r="AG23" i="1"/>
  <c r="W3" i="2"/>
  <c r="AJ211" i="2"/>
  <c r="AM211" i="2" s="1"/>
  <c r="AP211" i="2" s="1"/>
  <c r="AJ220" i="2"/>
  <c r="AM220" i="2" s="1"/>
  <c r="AP220" i="2" s="1"/>
  <c r="AJ209" i="2"/>
  <c r="AM209" i="2" s="1"/>
  <c r="AP209" i="2" s="1"/>
  <c r="AJ207" i="2"/>
  <c r="AM207" i="2" s="1"/>
  <c r="AP207" i="2" s="1"/>
  <c r="AJ216" i="2"/>
  <c r="AM216" i="2" s="1"/>
  <c r="AP216" i="2" s="1"/>
  <c r="AJ218" i="2"/>
  <c r="AM218" i="2" s="1"/>
  <c r="AP218" i="2" s="1"/>
  <c r="AK220" i="2"/>
  <c r="AM264" i="5"/>
  <c r="AP264" i="5" s="1"/>
  <c r="AG21" i="1"/>
  <c r="AG19" i="1"/>
  <c r="AI251" i="1"/>
  <c r="AJ251" i="1" s="1"/>
  <c r="AM251" i="1" s="1"/>
  <c r="AP251" i="1" s="1"/>
  <c r="W18" i="1"/>
  <c r="AG17" i="1"/>
  <c r="W16" i="1"/>
  <c r="AG15" i="1"/>
  <c r="AG13" i="1"/>
  <c r="W12" i="1"/>
  <c r="W10" i="1"/>
  <c r="W8" i="1"/>
  <c r="W7" i="1"/>
  <c r="W6" i="1"/>
  <c r="W5" i="1"/>
  <c r="AN204" i="4"/>
  <c r="AM265" i="5"/>
  <c r="AP265" i="5" s="1"/>
  <c r="AN265" i="5"/>
  <c r="AN222" i="4"/>
  <c r="AN265" i="4"/>
  <c r="AN265" i="2"/>
  <c r="AN223" i="4"/>
  <c r="AN225" i="4"/>
  <c r="AN227" i="4"/>
  <c r="AN229" i="4"/>
  <c r="AN265" i="1"/>
  <c r="AN265" i="3"/>
  <c r="AN203" i="4"/>
  <c r="W2" i="2"/>
  <c r="AJ213" i="2"/>
  <c r="AM213" i="2" s="1"/>
  <c r="AP213" i="2" s="1"/>
  <c r="AJ215" i="2"/>
  <c r="AM215" i="2" s="1"/>
  <c r="AP215" i="2" s="1"/>
  <c r="AJ219" i="2"/>
  <c r="AM219" i="2" s="1"/>
  <c r="AP219" i="2" s="1"/>
  <c r="AJ203" i="2"/>
  <c r="AM203" i="2" s="1"/>
  <c r="AP203" i="2" s="1"/>
  <c r="AK218" i="2"/>
  <c r="AK222" i="2"/>
  <c r="AI252" i="2"/>
  <c r="AJ252" i="2" s="1"/>
  <c r="AM252" i="2" s="1"/>
  <c r="AP252" i="2" s="1"/>
  <c r="AK215" i="2"/>
  <c r="AJ217" i="2"/>
  <c r="AM217" i="2" s="1"/>
  <c r="AP217" i="2" s="1"/>
  <c r="AK219" i="2"/>
  <c r="AJ221" i="2"/>
  <c r="AM221" i="2" s="1"/>
  <c r="AP221" i="2" s="1"/>
  <c r="AJ204" i="2"/>
  <c r="AM204" i="2" s="1"/>
  <c r="AP204" i="2" s="1"/>
  <c r="AJ210" i="2"/>
  <c r="AM210" i="2" s="1"/>
  <c r="AP210" i="2" s="1"/>
  <c r="AJ214" i="2"/>
  <c r="AM214" i="2" s="1"/>
  <c r="AP214" i="2" s="1"/>
  <c r="AJ205" i="2"/>
  <c r="AJ208" i="2"/>
  <c r="AM208" i="2" s="1"/>
  <c r="AP208" i="2" s="1"/>
  <c r="AJ212" i="2"/>
  <c r="AM212" i="2" s="1"/>
  <c r="AP212" i="2" s="1"/>
  <c r="AJ218" i="3"/>
  <c r="AM218" i="3" s="1"/>
  <c r="AP218" i="3" s="1"/>
  <c r="AJ226" i="3"/>
  <c r="AM226" i="3" s="1"/>
  <c r="AP226" i="3" s="1"/>
  <c r="AJ234" i="3"/>
  <c r="AM234" i="3" s="1"/>
  <c r="AP234" i="3" s="1"/>
  <c r="AJ243" i="3"/>
  <c r="AM243" i="3" s="1"/>
  <c r="AP243" i="3" s="1"/>
  <c r="AJ244" i="3"/>
  <c r="AM244" i="3" s="1"/>
  <c r="AP244" i="3" s="1"/>
  <c r="AJ245" i="3"/>
  <c r="AM245" i="3" s="1"/>
  <c r="AP245" i="3" s="1"/>
  <c r="AJ248" i="3"/>
  <c r="AM248" i="3" s="1"/>
  <c r="AP248" i="3" s="1"/>
  <c r="AJ249" i="3"/>
  <c r="AM249" i="3" s="1"/>
  <c r="AP249" i="3" s="1"/>
  <c r="AJ256" i="3"/>
  <c r="AM256" i="3" s="1"/>
  <c r="AP256" i="3" s="1"/>
  <c r="AJ262" i="5"/>
  <c r="AM262" i="5" s="1"/>
  <c r="AP262" i="5" s="1"/>
  <c r="W2" i="5"/>
  <c r="AG3" i="5"/>
  <c r="AK203" i="5"/>
  <c r="AK204" i="5"/>
  <c r="AK205" i="5"/>
  <c r="AJ206" i="5"/>
  <c r="AM206" i="5" s="1"/>
  <c r="AP206" i="5" s="1"/>
  <c r="AJ256" i="5"/>
  <c r="AM256" i="5" s="1"/>
  <c r="AP256" i="5" s="1"/>
  <c r="AJ263" i="5"/>
  <c r="AM263" i="5" s="1"/>
  <c r="AP263" i="5" s="1"/>
  <c r="AJ250" i="5"/>
  <c r="AM250" i="5" s="1"/>
  <c r="AP250" i="5" s="1"/>
  <c r="AJ259" i="5"/>
  <c r="AM259" i="5" s="1"/>
  <c r="AP259" i="5" s="1"/>
  <c r="AJ253" i="5"/>
  <c r="AM253" i="5" s="1"/>
  <c r="AP253" i="5" s="1"/>
  <c r="AJ257" i="5"/>
  <c r="AM257" i="5" s="1"/>
  <c r="AP257" i="5" s="1"/>
  <c r="AJ252" i="3"/>
  <c r="AM252" i="3" s="1"/>
  <c r="AP252" i="3" s="1"/>
  <c r="AK256" i="3"/>
  <c r="AJ257" i="3"/>
  <c r="AM257" i="3" s="1"/>
  <c r="AP257" i="3" s="1"/>
  <c r="AJ263" i="3"/>
  <c r="AM263" i="3" s="1"/>
  <c r="AP263" i="3" s="1"/>
  <c r="AJ206" i="3"/>
  <c r="AM206" i="3" s="1"/>
  <c r="AP206" i="3" s="1"/>
  <c r="AJ232" i="3"/>
  <c r="AM232" i="3" s="1"/>
  <c r="AP232" i="3" s="1"/>
  <c r="AJ255" i="3"/>
  <c r="AM255" i="3" s="1"/>
  <c r="AP255" i="3" s="1"/>
  <c r="AG2" i="3"/>
  <c r="AJ222" i="3"/>
  <c r="AM222" i="3" s="1"/>
  <c r="AP222" i="3" s="1"/>
  <c r="AJ230" i="3"/>
  <c r="AM230" i="3" s="1"/>
  <c r="AP230" i="3" s="1"/>
  <c r="AJ238" i="3"/>
  <c r="AM238" i="3" s="1"/>
  <c r="AP238" i="3" s="1"/>
  <c r="AJ246" i="3"/>
  <c r="AM246" i="3" s="1"/>
  <c r="AP246" i="3" s="1"/>
  <c r="AJ250" i="3"/>
  <c r="AM250" i="3" s="1"/>
  <c r="AP250" i="3" s="1"/>
  <c r="AJ258" i="3"/>
  <c r="AM258" i="3" s="1"/>
  <c r="AP258" i="3" s="1"/>
  <c r="AJ261" i="3"/>
  <c r="AM261" i="3" s="1"/>
  <c r="AP261" i="3" s="1"/>
  <c r="AJ264" i="3"/>
  <c r="AM264" i="3" s="1"/>
  <c r="AP264" i="3" s="1"/>
  <c r="AJ216" i="3"/>
  <c r="AM216" i="3" s="1"/>
  <c r="AP216" i="3" s="1"/>
  <c r="AJ224" i="3"/>
  <c r="AM224" i="3" s="1"/>
  <c r="AP224" i="3" s="1"/>
  <c r="AJ203" i="3"/>
  <c r="AM203" i="3" s="1"/>
  <c r="AP203" i="3" s="1"/>
  <c r="AJ204" i="3"/>
  <c r="AM204" i="3" s="1"/>
  <c r="AP204" i="3" s="1"/>
  <c r="AJ205" i="3"/>
  <c r="AJ220" i="3"/>
  <c r="AM220" i="3" s="1"/>
  <c r="AP220" i="3" s="1"/>
  <c r="AJ228" i="3"/>
  <c r="AM228" i="3" s="1"/>
  <c r="AP228" i="3" s="1"/>
  <c r="AJ236" i="3"/>
  <c r="AM236" i="3" s="1"/>
  <c r="AP236" i="3" s="1"/>
  <c r="AJ247" i="3"/>
  <c r="AM247" i="3" s="1"/>
  <c r="AP247" i="3" s="1"/>
  <c r="AJ259" i="3"/>
  <c r="AM259" i="3" s="1"/>
  <c r="AP259" i="3" s="1"/>
  <c r="AJ262" i="3"/>
  <c r="AM262" i="3" s="1"/>
  <c r="AP262" i="3" s="1"/>
  <c r="AJ248" i="1"/>
  <c r="AM248" i="1" s="1"/>
  <c r="AP248" i="1" s="1"/>
  <c r="AJ256" i="1"/>
  <c r="AM256" i="1" s="1"/>
  <c r="AP256" i="1" s="1"/>
  <c r="AJ224" i="1"/>
  <c r="AM224" i="1" s="1"/>
  <c r="AP224" i="1" s="1"/>
  <c r="AJ232" i="1"/>
  <c r="AM232" i="1" s="1"/>
  <c r="AP232" i="1" s="1"/>
  <c r="AJ240" i="1"/>
  <c r="AM240" i="1" s="1"/>
  <c r="AP240" i="1" s="1"/>
  <c r="AJ228" i="1"/>
  <c r="AM228" i="1" s="1"/>
  <c r="AP228" i="1" s="1"/>
  <c r="AJ236" i="1"/>
  <c r="AM236" i="1" s="1"/>
  <c r="AP236" i="1" s="1"/>
  <c r="AJ244" i="1"/>
  <c r="AM244" i="1" s="1"/>
  <c r="AP244" i="1" s="1"/>
  <c r="AJ252" i="1"/>
  <c r="AM252" i="1" s="1"/>
  <c r="AP252" i="1" s="1"/>
  <c r="AJ260" i="1"/>
  <c r="AM260" i="1" s="1"/>
  <c r="AP260" i="1" s="1"/>
  <c r="AJ261" i="1"/>
  <c r="AM261" i="1" s="1"/>
  <c r="AP261" i="1" s="1"/>
  <c r="AJ262" i="1"/>
  <c r="AM262" i="1" s="1"/>
  <c r="AP262" i="1" s="1"/>
  <c r="AJ263" i="1"/>
  <c r="AM263" i="1" s="1"/>
  <c r="AP263" i="1" s="1"/>
  <c r="AJ264" i="1"/>
  <c r="AM264" i="1" s="1"/>
  <c r="AP264" i="1" s="1"/>
  <c r="W2" i="1"/>
  <c r="AI242" i="1"/>
  <c r="AJ242" i="1" s="1"/>
  <c r="AM242" i="1" s="1"/>
  <c r="AP242" i="1" s="1"/>
  <c r="AJ203" i="1"/>
  <c r="AM203" i="1" s="1"/>
  <c r="AP203" i="1" s="1"/>
  <c r="AJ204" i="1"/>
  <c r="AM204" i="1" s="1"/>
  <c r="AP204" i="1" s="1"/>
  <c r="AJ205" i="1"/>
  <c r="AJ230" i="1"/>
  <c r="AM230" i="1" s="1"/>
  <c r="AP230" i="1" s="1"/>
  <c r="AJ238" i="1"/>
  <c r="AM238" i="1" s="1"/>
  <c r="AP238" i="1" s="1"/>
  <c r="AJ246" i="1"/>
  <c r="AM246" i="1" s="1"/>
  <c r="AP246" i="1" s="1"/>
  <c r="AJ254" i="1"/>
  <c r="AM254" i="1" s="1"/>
  <c r="AP254" i="1" s="1"/>
  <c r="AJ206" i="1"/>
  <c r="AM206" i="1" s="1"/>
  <c r="AP206" i="1" s="1"/>
  <c r="AJ226" i="1"/>
  <c r="AM226" i="1" s="1"/>
  <c r="AP226" i="1" s="1"/>
  <c r="AJ234" i="1"/>
  <c r="AM234" i="1" s="1"/>
  <c r="AP234" i="1" s="1"/>
  <c r="AJ250" i="1"/>
  <c r="AM250" i="1" s="1"/>
  <c r="AP250" i="1" s="1"/>
  <c r="AJ258" i="1"/>
  <c r="AM258" i="1" s="1"/>
  <c r="AP258" i="1" s="1"/>
  <c r="AG67" i="5"/>
  <c r="W67" i="5"/>
  <c r="AG5" i="5"/>
  <c r="AG13" i="5"/>
  <c r="AG21" i="5"/>
  <c r="AG29" i="5"/>
  <c r="AG37" i="5"/>
  <c r="AG45" i="5"/>
  <c r="AG53" i="5"/>
  <c r="AG63" i="5"/>
  <c r="W63" i="5"/>
  <c r="AG59" i="5"/>
  <c r="W59" i="5"/>
  <c r="AG9" i="5"/>
  <c r="AG17" i="5"/>
  <c r="AG25" i="5"/>
  <c r="AG33" i="5"/>
  <c r="AG41" i="5"/>
  <c r="AG55" i="5"/>
  <c r="W55" i="5"/>
  <c r="AG71" i="5"/>
  <c r="W71" i="5"/>
  <c r="AJ207" i="5"/>
  <c r="AM207" i="5" s="1"/>
  <c r="AP207" i="5" s="1"/>
  <c r="AJ208" i="5"/>
  <c r="AM208" i="5" s="1"/>
  <c r="AP208" i="5" s="1"/>
  <c r="AJ209" i="5"/>
  <c r="AM209" i="5" s="1"/>
  <c r="AP209" i="5" s="1"/>
  <c r="AJ210" i="5"/>
  <c r="AM210" i="5" s="1"/>
  <c r="AP210" i="5" s="1"/>
  <c r="AJ211" i="5"/>
  <c r="AM211" i="5" s="1"/>
  <c r="AP211" i="5" s="1"/>
  <c r="AJ212" i="5"/>
  <c r="AM212" i="5" s="1"/>
  <c r="AP212" i="5" s="1"/>
  <c r="AJ213" i="5"/>
  <c r="AM213" i="5" s="1"/>
  <c r="AP213" i="5" s="1"/>
  <c r="AJ214" i="5"/>
  <c r="AM214" i="5" s="1"/>
  <c r="AP214" i="5" s="1"/>
  <c r="AJ215" i="5"/>
  <c r="AM215" i="5" s="1"/>
  <c r="AP215" i="5" s="1"/>
  <c r="AJ216" i="5"/>
  <c r="AM216" i="5" s="1"/>
  <c r="AP216" i="5" s="1"/>
  <c r="AJ217" i="5"/>
  <c r="AM217" i="5" s="1"/>
  <c r="AP217" i="5" s="1"/>
  <c r="AJ218" i="5"/>
  <c r="AM218" i="5" s="1"/>
  <c r="AP218" i="5" s="1"/>
  <c r="AJ220" i="5"/>
  <c r="AM220" i="5" s="1"/>
  <c r="AP220" i="5" s="1"/>
  <c r="AJ222" i="5"/>
  <c r="AM222" i="5" s="1"/>
  <c r="AP222" i="5" s="1"/>
  <c r="AJ224" i="5"/>
  <c r="AM224" i="5" s="1"/>
  <c r="AP224" i="5" s="1"/>
  <c r="AJ226" i="5"/>
  <c r="AM226" i="5" s="1"/>
  <c r="AP226" i="5" s="1"/>
  <c r="AJ228" i="5"/>
  <c r="AM228" i="5" s="1"/>
  <c r="AP228" i="5" s="1"/>
  <c r="AJ230" i="5"/>
  <c r="AM230" i="5" s="1"/>
  <c r="AP230" i="5" s="1"/>
  <c r="AJ232" i="5"/>
  <c r="AM232" i="5" s="1"/>
  <c r="AP232" i="5" s="1"/>
  <c r="AJ234" i="5"/>
  <c r="AM234" i="5" s="1"/>
  <c r="AP234" i="5" s="1"/>
  <c r="AJ236" i="5"/>
  <c r="AM236" i="5" s="1"/>
  <c r="AP236" i="5" s="1"/>
  <c r="AJ238" i="5"/>
  <c r="AM238" i="5" s="1"/>
  <c r="AP238" i="5" s="1"/>
  <c r="AJ244" i="5"/>
  <c r="AM244" i="5" s="1"/>
  <c r="AP244" i="5" s="1"/>
  <c r="AJ246" i="5"/>
  <c r="AM246" i="5" s="1"/>
  <c r="AP246" i="5" s="1"/>
  <c r="AJ248" i="5"/>
  <c r="AM248" i="5" s="1"/>
  <c r="AP248" i="5" s="1"/>
  <c r="AN266" i="5"/>
  <c r="AM266" i="5"/>
  <c r="AP266" i="5" s="1"/>
  <c r="AM267" i="5"/>
  <c r="AP267" i="5" s="1"/>
  <c r="AG5" i="4"/>
  <c r="AG11" i="4"/>
  <c r="AG13" i="4"/>
  <c r="AG23" i="4"/>
  <c r="W2" i="4"/>
  <c r="W4" i="4"/>
  <c r="W6" i="4"/>
  <c r="W8" i="4"/>
  <c r="W10" i="4"/>
  <c r="W12" i="4"/>
  <c r="W14" i="4"/>
  <c r="W16" i="4"/>
  <c r="W18" i="4"/>
  <c r="W20" i="4"/>
  <c r="W22" i="4"/>
  <c r="W24" i="4"/>
  <c r="W26" i="4"/>
  <c r="W28" i="4"/>
  <c r="AG32" i="4"/>
  <c r="AG36" i="4"/>
  <c r="AG40" i="4"/>
  <c r="AG44" i="4"/>
  <c r="AG48" i="4"/>
  <c r="AG52" i="4"/>
  <c r="AG56" i="4"/>
  <c r="AG60" i="4"/>
  <c r="AG64" i="4"/>
  <c r="AG68" i="4"/>
  <c r="AG72" i="4"/>
  <c r="AG76" i="4"/>
  <c r="AG80" i="4"/>
  <c r="AG84" i="4"/>
  <c r="AG7" i="4"/>
  <c r="AG17" i="4"/>
  <c r="AG19" i="4"/>
  <c r="AG21" i="4"/>
  <c r="AG27" i="4"/>
  <c r="AG29" i="4"/>
  <c r="W3" i="4"/>
  <c r="W9" i="4"/>
  <c r="W25" i="4"/>
  <c r="AG200" i="4"/>
  <c r="AJ206" i="4"/>
  <c r="AM206" i="4" s="1"/>
  <c r="AP206" i="4" s="1"/>
  <c r="AJ224" i="4"/>
  <c r="AM224" i="4" s="1"/>
  <c r="AP224" i="4" s="1"/>
  <c r="AJ226" i="4"/>
  <c r="AM226" i="4" s="1"/>
  <c r="AP226" i="4" s="1"/>
  <c r="AJ228" i="4"/>
  <c r="AM228" i="4" s="1"/>
  <c r="AP228" i="4" s="1"/>
  <c r="AJ230" i="4"/>
  <c r="AM230" i="4" s="1"/>
  <c r="AP230" i="4" s="1"/>
  <c r="AK231" i="4"/>
  <c r="AJ231" i="4"/>
  <c r="AM231" i="4" s="1"/>
  <c r="AP231" i="4" s="1"/>
  <c r="AK232" i="4"/>
  <c r="AJ232" i="4"/>
  <c r="AM232" i="4" s="1"/>
  <c r="AP232" i="4" s="1"/>
  <c r="AK233" i="4"/>
  <c r="AJ233" i="4"/>
  <c r="AM233" i="4" s="1"/>
  <c r="AP233" i="4" s="1"/>
  <c r="AK234" i="4"/>
  <c r="AJ234" i="4"/>
  <c r="AM234" i="4" s="1"/>
  <c r="AP234" i="4" s="1"/>
  <c r="AK235" i="4"/>
  <c r="AJ235" i="4"/>
  <c r="AM235" i="4" s="1"/>
  <c r="AP235" i="4" s="1"/>
  <c r="AK236" i="4"/>
  <c r="AJ236" i="4"/>
  <c r="AM236" i="4" s="1"/>
  <c r="AP236" i="4" s="1"/>
  <c r="AK237" i="4"/>
  <c r="AJ237" i="4"/>
  <c r="AM237" i="4" s="1"/>
  <c r="AP237" i="4" s="1"/>
  <c r="AK238" i="4"/>
  <c r="AJ238" i="4"/>
  <c r="AM238" i="4" s="1"/>
  <c r="AP238" i="4" s="1"/>
  <c r="AK239" i="4"/>
  <c r="AJ239" i="4"/>
  <c r="AM239" i="4" s="1"/>
  <c r="AP239" i="4" s="1"/>
  <c r="AK240" i="4"/>
  <c r="AJ240" i="4"/>
  <c r="AM240" i="4" s="1"/>
  <c r="AP240" i="4" s="1"/>
  <c r="AK241" i="4"/>
  <c r="AJ241" i="4"/>
  <c r="AM241" i="4" s="1"/>
  <c r="AP241" i="4" s="1"/>
  <c r="AK242" i="4"/>
  <c r="AK243" i="4"/>
  <c r="AJ243" i="4"/>
  <c r="AM243" i="4" s="1"/>
  <c r="AP243" i="4" s="1"/>
  <c r="AK244" i="4"/>
  <c r="AJ244" i="4"/>
  <c r="AM244" i="4" s="1"/>
  <c r="AP244" i="4" s="1"/>
  <c r="AK245" i="4"/>
  <c r="AJ245" i="4"/>
  <c r="AM245" i="4" s="1"/>
  <c r="AP245" i="4" s="1"/>
  <c r="AK246" i="4"/>
  <c r="AJ246" i="4"/>
  <c r="AM246" i="4" s="1"/>
  <c r="AP246" i="4" s="1"/>
  <c r="AK247" i="4"/>
  <c r="AJ247" i="4"/>
  <c r="AM247" i="4" s="1"/>
  <c r="AP247" i="4" s="1"/>
  <c r="AK248" i="4"/>
  <c r="AJ248" i="4"/>
  <c r="AM248" i="4" s="1"/>
  <c r="AP248" i="4" s="1"/>
  <c r="AK249" i="4"/>
  <c r="AJ249" i="4"/>
  <c r="AM249" i="4" s="1"/>
  <c r="AP249" i="4" s="1"/>
  <c r="AK250" i="4"/>
  <c r="AJ250" i="4"/>
  <c r="AM250" i="4" s="1"/>
  <c r="AP250" i="4" s="1"/>
  <c r="AK251" i="4"/>
  <c r="AJ251" i="4"/>
  <c r="AM251" i="4" s="1"/>
  <c r="AP251" i="4" s="1"/>
  <c r="AK252" i="4"/>
  <c r="AJ252" i="4"/>
  <c r="AM252" i="4" s="1"/>
  <c r="AP252" i="4" s="1"/>
  <c r="AK253" i="4"/>
  <c r="AK254" i="4"/>
  <c r="AK255" i="4"/>
  <c r="AJ255" i="4"/>
  <c r="AM255" i="4" s="1"/>
  <c r="AP255" i="4" s="1"/>
  <c r="AK256" i="4"/>
  <c r="AJ256" i="4"/>
  <c r="AM256" i="4" s="1"/>
  <c r="AP256" i="4" s="1"/>
  <c r="AK257" i="4"/>
  <c r="AJ257" i="4"/>
  <c r="AM257" i="4" s="1"/>
  <c r="AP257" i="4" s="1"/>
  <c r="AK258" i="4"/>
  <c r="AJ258" i="4"/>
  <c r="AM258" i="4" s="1"/>
  <c r="AP258" i="4" s="1"/>
  <c r="AK259" i="4"/>
  <c r="AJ259" i="4"/>
  <c r="AM259" i="4" s="1"/>
  <c r="AP259" i="4" s="1"/>
  <c r="AN267" i="4"/>
  <c r="AM267" i="4"/>
  <c r="AP267" i="4" s="1"/>
  <c r="AJ260" i="4"/>
  <c r="AM260" i="4" s="1"/>
  <c r="AP260" i="4" s="1"/>
  <c r="AJ261" i="4"/>
  <c r="AM261" i="4" s="1"/>
  <c r="AP261" i="4" s="1"/>
  <c r="AJ262" i="4"/>
  <c r="AM262" i="4" s="1"/>
  <c r="AP262" i="4" s="1"/>
  <c r="AJ263" i="4"/>
  <c r="AM263" i="4" s="1"/>
  <c r="AP263" i="4" s="1"/>
  <c r="AJ264" i="4"/>
  <c r="AM264" i="4" s="1"/>
  <c r="AP264" i="4" s="1"/>
  <c r="AM266" i="4"/>
  <c r="AP266" i="4" s="1"/>
  <c r="W4" i="3"/>
  <c r="W6" i="3"/>
  <c r="W8" i="3"/>
  <c r="W10" i="3"/>
  <c r="W12" i="3"/>
  <c r="W14" i="3"/>
  <c r="W16" i="3"/>
  <c r="W18" i="3"/>
  <c r="W20" i="3"/>
  <c r="W22" i="3"/>
  <c r="W24" i="3"/>
  <c r="W26" i="3"/>
  <c r="W30" i="3"/>
  <c r="W32" i="3"/>
  <c r="W34" i="3"/>
  <c r="W36" i="3"/>
  <c r="W38" i="3"/>
  <c r="W40" i="3"/>
  <c r="W42" i="3"/>
  <c r="W44" i="3"/>
  <c r="W46" i="3"/>
  <c r="W48" i="3"/>
  <c r="W50" i="3"/>
  <c r="W52" i="3"/>
  <c r="W54" i="3"/>
  <c r="W56" i="3"/>
  <c r="W58" i="3"/>
  <c r="W60" i="3"/>
  <c r="W62" i="3"/>
  <c r="W64" i="3"/>
  <c r="AJ207" i="3"/>
  <c r="AM207" i="3" s="1"/>
  <c r="AP207" i="3" s="1"/>
  <c r="AJ208" i="3"/>
  <c r="AM208" i="3" s="1"/>
  <c r="AP208" i="3" s="1"/>
  <c r="AJ209" i="3"/>
  <c r="AM209" i="3" s="1"/>
  <c r="AP209" i="3" s="1"/>
  <c r="AJ210" i="3"/>
  <c r="AM210" i="3" s="1"/>
  <c r="AP210" i="3" s="1"/>
  <c r="AJ211" i="3"/>
  <c r="AM211" i="3" s="1"/>
  <c r="AP211" i="3" s="1"/>
  <c r="AJ212" i="3"/>
  <c r="AM212" i="3" s="1"/>
  <c r="AP212" i="3" s="1"/>
  <c r="AJ213" i="3"/>
  <c r="AM213" i="3" s="1"/>
  <c r="AP213" i="3" s="1"/>
  <c r="AJ214" i="3"/>
  <c r="AM214" i="3" s="1"/>
  <c r="AP214" i="3" s="1"/>
  <c r="AJ215" i="3"/>
  <c r="AM215" i="3" s="1"/>
  <c r="AP215" i="3" s="1"/>
  <c r="AN266" i="3"/>
  <c r="AM266" i="3"/>
  <c r="AP266" i="3" s="1"/>
  <c r="AJ217" i="3"/>
  <c r="AM217" i="3" s="1"/>
  <c r="AP217" i="3" s="1"/>
  <c r="AJ219" i="3"/>
  <c r="AM219" i="3" s="1"/>
  <c r="AP219" i="3" s="1"/>
  <c r="AJ221" i="3"/>
  <c r="AM221" i="3" s="1"/>
  <c r="AP221" i="3" s="1"/>
  <c r="AJ223" i="3"/>
  <c r="AM223" i="3" s="1"/>
  <c r="AP223" i="3" s="1"/>
  <c r="AJ225" i="3"/>
  <c r="AM225" i="3" s="1"/>
  <c r="AP225" i="3" s="1"/>
  <c r="AJ227" i="3"/>
  <c r="AM227" i="3" s="1"/>
  <c r="AP227" i="3" s="1"/>
  <c r="AJ229" i="3"/>
  <c r="AM229" i="3" s="1"/>
  <c r="AP229" i="3" s="1"/>
  <c r="AJ231" i="3"/>
  <c r="AM231" i="3" s="1"/>
  <c r="AP231" i="3" s="1"/>
  <c r="AJ233" i="3"/>
  <c r="AM233" i="3" s="1"/>
  <c r="AP233" i="3" s="1"/>
  <c r="AJ235" i="3"/>
  <c r="AM235" i="3" s="1"/>
  <c r="AP235" i="3" s="1"/>
  <c r="AJ237" i="3"/>
  <c r="AM237" i="3" s="1"/>
  <c r="AP237" i="3" s="1"/>
  <c r="AJ239" i="3"/>
  <c r="AM239" i="3" s="1"/>
  <c r="AP239" i="3" s="1"/>
  <c r="AM267" i="3"/>
  <c r="AP267" i="3" s="1"/>
  <c r="AG16" i="2"/>
  <c r="W20" i="2"/>
  <c r="AG35" i="2"/>
  <c r="AG51" i="2"/>
  <c r="AG67" i="2"/>
  <c r="AG27" i="2"/>
  <c r="AG43" i="2"/>
  <c r="AG59" i="2"/>
  <c r="AG13" i="2"/>
  <c r="AG15" i="2"/>
  <c r="AG17" i="2"/>
  <c r="AG19" i="2"/>
  <c r="AG21" i="2"/>
  <c r="AG200" i="2"/>
  <c r="AJ223" i="2"/>
  <c r="AM223" i="2" s="1"/>
  <c r="AP223" i="2" s="1"/>
  <c r="AJ206" i="2"/>
  <c r="AM206" i="2" s="1"/>
  <c r="AP206" i="2" s="1"/>
  <c r="AK224" i="2"/>
  <c r="AJ224" i="2"/>
  <c r="AM224" i="2" s="1"/>
  <c r="AP224" i="2" s="1"/>
  <c r="AK225" i="2"/>
  <c r="AJ225" i="2"/>
  <c r="AM225" i="2" s="1"/>
  <c r="AP225" i="2" s="1"/>
  <c r="AK226" i="2"/>
  <c r="AJ226" i="2"/>
  <c r="AM226" i="2" s="1"/>
  <c r="AP226" i="2" s="1"/>
  <c r="AK227" i="2"/>
  <c r="AJ227" i="2"/>
  <c r="AM227" i="2" s="1"/>
  <c r="AP227" i="2" s="1"/>
  <c r="AK228" i="2"/>
  <c r="AJ228" i="2"/>
  <c r="AM228" i="2" s="1"/>
  <c r="AP228" i="2" s="1"/>
  <c r="AK229" i="2"/>
  <c r="AJ229" i="2"/>
  <c r="AM229" i="2" s="1"/>
  <c r="AP229" i="2" s="1"/>
  <c r="AK230" i="2"/>
  <c r="AJ230" i="2"/>
  <c r="AM230" i="2" s="1"/>
  <c r="AP230" i="2" s="1"/>
  <c r="AK231" i="2"/>
  <c r="AJ231" i="2"/>
  <c r="AM231" i="2" s="1"/>
  <c r="AP231" i="2" s="1"/>
  <c r="AK232" i="2"/>
  <c r="AJ232" i="2"/>
  <c r="AM232" i="2" s="1"/>
  <c r="AP232" i="2" s="1"/>
  <c r="AK233" i="2"/>
  <c r="AJ233" i="2"/>
  <c r="AM233" i="2" s="1"/>
  <c r="AP233" i="2" s="1"/>
  <c r="AK234" i="2"/>
  <c r="AJ234" i="2"/>
  <c r="AM234" i="2" s="1"/>
  <c r="AP234" i="2" s="1"/>
  <c r="AK235" i="2"/>
  <c r="AJ235" i="2"/>
  <c r="AM235" i="2" s="1"/>
  <c r="AP235" i="2" s="1"/>
  <c r="AK236" i="2"/>
  <c r="AJ236" i="2"/>
  <c r="AM236" i="2" s="1"/>
  <c r="AP236" i="2" s="1"/>
  <c r="AK237" i="2"/>
  <c r="AJ237" i="2"/>
  <c r="AM237" i="2" s="1"/>
  <c r="AP237" i="2" s="1"/>
  <c r="AK238" i="2"/>
  <c r="AJ238" i="2"/>
  <c r="AM238" i="2" s="1"/>
  <c r="AP238" i="2" s="1"/>
  <c r="AK239" i="2"/>
  <c r="AJ239" i="2"/>
  <c r="AM239" i="2" s="1"/>
  <c r="AP239" i="2" s="1"/>
  <c r="AK240" i="2"/>
  <c r="AK241" i="2"/>
  <c r="AK242" i="2"/>
  <c r="AK243" i="2"/>
  <c r="AJ243" i="2"/>
  <c r="AM243" i="2" s="1"/>
  <c r="AP243" i="2" s="1"/>
  <c r="AK244" i="2"/>
  <c r="AJ244" i="2"/>
  <c r="AM244" i="2" s="1"/>
  <c r="AP244" i="2" s="1"/>
  <c r="AK245" i="2"/>
  <c r="AJ245" i="2"/>
  <c r="AM245" i="2" s="1"/>
  <c r="AP245" i="2" s="1"/>
  <c r="AK246" i="2"/>
  <c r="AJ246" i="2"/>
  <c r="AM246" i="2" s="1"/>
  <c r="AP246" i="2" s="1"/>
  <c r="AK247" i="2"/>
  <c r="AJ247" i="2"/>
  <c r="AM247" i="2" s="1"/>
  <c r="AP247" i="2" s="1"/>
  <c r="AK248" i="2"/>
  <c r="AJ248" i="2"/>
  <c r="AM248" i="2" s="1"/>
  <c r="AP248" i="2" s="1"/>
  <c r="AK249" i="2"/>
  <c r="AJ249" i="2"/>
  <c r="AM249" i="2" s="1"/>
  <c r="AP249" i="2" s="1"/>
  <c r="AK250" i="2"/>
  <c r="AJ250" i="2"/>
  <c r="AM250" i="2" s="1"/>
  <c r="AP250" i="2" s="1"/>
  <c r="AK251" i="2"/>
  <c r="AK252" i="2"/>
  <c r="AK253" i="2"/>
  <c r="AK254" i="2"/>
  <c r="AJ254" i="2"/>
  <c r="AM254" i="2" s="1"/>
  <c r="AP254" i="2" s="1"/>
  <c r="AK255" i="2"/>
  <c r="AJ255" i="2"/>
  <c r="AM255" i="2" s="1"/>
  <c r="AP255" i="2" s="1"/>
  <c r="AK256" i="2"/>
  <c r="AJ256" i="2"/>
  <c r="AM256" i="2" s="1"/>
  <c r="AP256" i="2" s="1"/>
  <c r="AK257" i="2"/>
  <c r="AJ257" i="2"/>
  <c r="AM257" i="2" s="1"/>
  <c r="AP257" i="2" s="1"/>
  <c r="AK258" i="2"/>
  <c r="AJ258" i="2"/>
  <c r="AM258" i="2" s="1"/>
  <c r="AP258" i="2" s="1"/>
  <c r="AK259" i="2"/>
  <c r="AJ259" i="2"/>
  <c r="AM259" i="2" s="1"/>
  <c r="AP259" i="2" s="1"/>
  <c r="AK260" i="2"/>
  <c r="AJ260" i="2"/>
  <c r="AM260" i="2" s="1"/>
  <c r="AP260" i="2" s="1"/>
  <c r="AN267" i="2"/>
  <c r="AM267" i="2"/>
  <c r="AP267" i="2" s="1"/>
  <c r="AJ261" i="2"/>
  <c r="AM261" i="2" s="1"/>
  <c r="AP261" i="2" s="1"/>
  <c r="AJ262" i="2"/>
  <c r="AM262" i="2" s="1"/>
  <c r="AP262" i="2" s="1"/>
  <c r="AJ263" i="2"/>
  <c r="AM263" i="2" s="1"/>
  <c r="AP263" i="2" s="1"/>
  <c r="AJ264" i="2"/>
  <c r="AM264" i="2" s="1"/>
  <c r="AP264" i="2" s="1"/>
  <c r="AM266" i="2"/>
  <c r="AP266" i="2" s="1"/>
  <c r="AG71" i="1"/>
  <c r="W80" i="1"/>
  <c r="AG80" i="1"/>
  <c r="AG83" i="1"/>
  <c r="AG84" i="1"/>
  <c r="AJ207" i="1"/>
  <c r="AM207" i="1" s="1"/>
  <c r="AP207" i="1" s="1"/>
  <c r="AJ208" i="1"/>
  <c r="AM208" i="1" s="1"/>
  <c r="AP208" i="1" s="1"/>
  <c r="AJ209" i="1"/>
  <c r="AM209" i="1" s="1"/>
  <c r="AP209" i="1" s="1"/>
  <c r="AJ210" i="1"/>
  <c r="AM210" i="1" s="1"/>
  <c r="AP210" i="1" s="1"/>
  <c r="AJ211" i="1"/>
  <c r="AM211" i="1" s="1"/>
  <c r="AP211" i="1" s="1"/>
  <c r="AJ212" i="1"/>
  <c r="AM212" i="1" s="1"/>
  <c r="AP212" i="1" s="1"/>
  <c r="AJ213" i="1"/>
  <c r="AM213" i="1" s="1"/>
  <c r="AP213" i="1" s="1"/>
  <c r="AJ214" i="1"/>
  <c r="AM214" i="1" s="1"/>
  <c r="AP214" i="1" s="1"/>
  <c r="AJ215" i="1"/>
  <c r="AM215" i="1" s="1"/>
  <c r="AP215" i="1" s="1"/>
  <c r="AJ216" i="1"/>
  <c r="AM216" i="1" s="1"/>
  <c r="AP216" i="1" s="1"/>
  <c r="AJ217" i="1"/>
  <c r="AM217" i="1" s="1"/>
  <c r="AP217" i="1" s="1"/>
  <c r="AJ218" i="1"/>
  <c r="AM218" i="1" s="1"/>
  <c r="AP218" i="1" s="1"/>
  <c r="AJ219" i="1"/>
  <c r="AM219" i="1" s="1"/>
  <c r="AP219" i="1" s="1"/>
  <c r="AJ220" i="1"/>
  <c r="AM220" i="1" s="1"/>
  <c r="AP220" i="1" s="1"/>
  <c r="AJ221" i="1"/>
  <c r="AM221" i="1" s="1"/>
  <c r="AP221" i="1" s="1"/>
  <c r="AJ222" i="1"/>
  <c r="AM222" i="1" s="1"/>
  <c r="AP222" i="1" s="1"/>
  <c r="AJ223" i="1"/>
  <c r="AM223" i="1" s="1"/>
  <c r="AP223" i="1" s="1"/>
  <c r="AN266" i="1"/>
  <c r="AM266" i="1"/>
  <c r="AP266" i="1" s="1"/>
  <c r="AJ225" i="1"/>
  <c r="AM225" i="1" s="1"/>
  <c r="AP225" i="1" s="1"/>
  <c r="AJ227" i="1"/>
  <c r="AM227" i="1" s="1"/>
  <c r="AP227" i="1" s="1"/>
  <c r="AJ229" i="1"/>
  <c r="AM229" i="1" s="1"/>
  <c r="AP229" i="1" s="1"/>
  <c r="AJ231" i="1"/>
  <c r="AM231" i="1" s="1"/>
  <c r="AP231" i="1" s="1"/>
  <c r="AJ233" i="1"/>
  <c r="AM233" i="1" s="1"/>
  <c r="AP233" i="1" s="1"/>
  <c r="AJ235" i="1"/>
  <c r="AM235" i="1" s="1"/>
  <c r="AP235" i="1" s="1"/>
  <c r="AJ237" i="1"/>
  <c r="AM237" i="1" s="1"/>
  <c r="AP237" i="1" s="1"/>
  <c r="AJ239" i="1"/>
  <c r="AM239" i="1" s="1"/>
  <c r="AP239" i="1" s="1"/>
  <c r="AJ241" i="1"/>
  <c r="AM241" i="1" s="1"/>
  <c r="AP241" i="1" s="1"/>
  <c r="AJ243" i="1"/>
  <c r="AM243" i="1" s="1"/>
  <c r="AP243" i="1" s="1"/>
  <c r="AJ245" i="1"/>
  <c r="AM245" i="1" s="1"/>
  <c r="AP245" i="1" s="1"/>
  <c r="AJ247" i="1"/>
  <c r="AM247" i="1" s="1"/>
  <c r="AP247" i="1" s="1"/>
  <c r="AJ249" i="1"/>
  <c r="AM249" i="1" s="1"/>
  <c r="AP249" i="1" s="1"/>
  <c r="AJ253" i="1"/>
  <c r="AM253" i="1" s="1"/>
  <c r="AP253" i="1" s="1"/>
  <c r="AJ255" i="1"/>
  <c r="AM255" i="1" s="1"/>
  <c r="AP255" i="1" s="1"/>
  <c r="AJ257" i="1"/>
  <c r="AM257" i="1" s="1"/>
  <c r="AP257" i="1" s="1"/>
  <c r="AJ259" i="1"/>
  <c r="AM259" i="1" s="1"/>
  <c r="AP259" i="1" s="1"/>
  <c r="AM267" i="1"/>
  <c r="AP267" i="1" s="1"/>
</calcChain>
</file>

<file path=xl/sharedStrings.xml><?xml version="1.0" encoding="utf-8"?>
<sst xmlns="http://schemas.openxmlformats.org/spreadsheetml/2006/main" count="4241" uniqueCount="962">
  <si>
    <t>چک لیست خروج از دفتر</t>
  </si>
  <si>
    <t>چک لیست آماده سازی سفارشات</t>
  </si>
  <si>
    <t>چک لیست سفارشات کالا</t>
  </si>
  <si>
    <t>ردیف</t>
  </si>
  <si>
    <t>کد پیگیری</t>
  </si>
  <si>
    <t>تاریخ سفارش</t>
  </si>
  <si>
    <t>فاکتور چاپی</t>
  </si>
  <si>
    <t>تاریخ ارسال</t>
  </si>
  <si>
    <t>نام</t>
  </si>
  <si>
    <t>نام خانوادگی</t>
  </si>
  <si>
    <t>نام کافه</t>
  </si>
  <si>
    <t>کد محصول</t>
  </si>
  <si>
    <t>تعداد</t>
  </si>
  <si>
    <t>نام محصول</t>
  </si>
  <si>
    <t>نوع آسیاب</t>
  </si>
  <si>
    <t>واحد فرعی</t>
  </si>
  <si>
    <t>قیمت بسته (ریال)</t>
  </si>
  <si>
    <t>تعداد ارسال شده</t>
  </si>
  <si>
    <t>باقیمانده</t>
  </si>
  <si>
    <t>قیمت کل (ریال)</t>
  </si>
  <si>
    <t>تخفیف (ریال)</t>
  </si>
  <si>
    <t>قیمت نهائی (ریال)</t>
  </si>
  <si>
    <t>شهر</t>
  </si>
  <si>
    <t>آدرس</t>
  </si>
  <si>
    <t>تلفن</t>
  </si>
  <si>
    <t>بازه ارسال</t>
  </si>
  <si>
    <t>توضیحات مشتری</t>
  </si>
  <si>
    <t>توضیحات اپراتور ارسال</t>
  </si>
  <si>
    <t>آدرس کامل</t>
  </si>
  <si>
    <t>a</t>
  </si>
  <si>
    <t>گروه اصلی</t>
  </si>
  <si>
    <t>گروه فرعی</t>
  </si>
  <si>
    <t>گزارش عددی سفارشات</t>
  </si>
  <si>
    <t>گزارش عددی سفارشات ارسال شده</t>
  </si>
  <si>
    <t>گزارش وزنی سفارشات روزkg</t>
  </si>
  <si>
    <t>موجودی دفتر</t>
  </si>
  <si>
    <t>موجودی پس از تکمیل سفارشات باقیمانده</t>
  </si>
  <si>
    <t>گزارش وزنی موجودی دفترkg</t>
  </si>
  <si>
    <t>ورودی</t>
  </si>
  <si>
    <t>گزارش وزنی برای صفر شدن</t>
  </si>
  <si>
    <t>تغییرات دستی بسته بندی</t>
  </si>
  <si>
    <t>قهوه</t>
  </si>
  <si>
    <t>X Series</t>
  </si>
  <si>
    <t>دهکده آلو Ethiopia Alo Village</t>
  </si>
  <si>
    <t>ماندلا ویا Colombia Mandela Vieux</t>
  </si>
  <si>
    <t xml:space="preserve">Colombia Mandela Vieux ماندلا ویا+ </t>
  </si>
  <si>
    <t>ال برو Panama Geisha El Burro</t>
  </si>
  <si>
    <t xml:space="preserve"> Panama Geisha El Burro ال برو+</t>
  </si>
  <si>
    <t>کاندینامارکا Colombia Sidra Cundinamarca</t>
  </si>
  <si>
    <t xml:space="preserve"> Colombia Sidra Cundinamarca کاندینامارکا+</t>
  </si>
  <si>
    <t>Ethiopia Daye Bensa بومبه دایه بنسا</t>
  </si>
  <si>
    <t>A Series</t>
  </si>
  <si>
    <t>دهکده هاماشو Ethiopia Hamasho Village</t>
  </si>
  <si>
    <t>سانتا مارتا Colombia Santa Marta Finca Olivios</t>
  </si>
  <si>
    <t>سانتا مارتا Colombia Santa Marta Finca Las Canas</t>
  </si>
  <si>
    <t>Vortex Specialty Blend - ورتکس</t>
  </si>
  <si>
    <t>V Series</t>
  </si>
  <si>
    <t>Panama Caturra Boquete - بوکه</t>
  </si>
  <si>
    <t>Ethiopia Landrace Limu - لیمو</t>
  </si>
  <si>
    <t>هامبلا - Ethiopia Heirloom Hambella</t>
  </si>
  <si>
    <t>هامبلا دمی- Ethiopia Heirloom Hambella</t>
  </si>
  <si>
    <t>هامبلا دمی - Ethiopia Heirloom Hambella</t>
  </si>
  <si>
    <t>El Salvadour Montana Bourbon  ال سالوادور مونتانا</t>
  </si>
  <si>
    <t>بومبوگو Rwanda Red Bourbon Bumbogo</t>
  </si>
  <si>
    <t>Peru Huancayo پرو</t>
  </si>
  <si>
    <t>Colombia Huila- هویلا</t>
  </si>
  <si>
    <t>دفترچه ژاو</t>
  </si>
  <si>
    <t>لوازم جانبی</t>
  </si>
  <si>
    <t>Accessory</t>
  </si>
  <si>
    <t>BrewBook</t>
  </si>
  <si>
    <t>-</t>
  </si>
  <si>
    <t>مداد ژاو</t>
  </si>
  <si>
    <t>Sensory Box</t>
  </si>
  <si>
    <t>کیسه پارچه ای</t>
  </si>
  <si>
    <t>روتین هفتگی پارت یک</t>
  </si>
  <si>
    <t>چهارشنبه 30 خرداد 1403</t>
  </si>
  <si>
    <t>+</t>
  </si>
  <si>
    <t>حجتی</t>
  </si>
  <si>
    <t>کافه بیکری روستار آوا سنتر</t>
  </si>
  <si>
    <t>تهران</t>
  </si>
  <si>
    <t>09373955769</t>
  </si>
  <si>
    <t>روتین هفتگی پارت دو</t>
  </si>
  <si>
    <t>روتین هفتگی پارت سه</t>
  </si>
  <si>
    <t xml:space="preserve">روتین هفتگی </t>
  </si>
  <si>
    <t>افشین</t>
  </si>
  <si>
    <t>امیری</t>
  </si>
  <si>
    <t>کافه پرا</t>
  </si>
  <si>
    <t xml:space="preserve">خ فرشته نبش خ بوسنى مركز خريد ملل طبقه همكف </t>
  </si>
  <si>
    <t>09123060890</t>
  </si>
  <si>
    <t>آرشام</t>
  </si>
  <si>
    <t>حیدرآبادی</t>
  </si>
  <si>
    <t>کافه گره</t>
  </si>
  <si>
    <t>تبریز</t>
  </si>
  <si>
    <t>ولیعصر.اعتصامی شمالی،نبش کوچه شش متری هشتم پ ۲۸</t>
  </si>
  <si>
    <t>09031308123</t>
  </si>
  <si>
    <t>بابک</t>
  </si>
  <si>
    <t>میرزایی</t>
  </si>
  <si>
    <t>خیابان استاد معین،خیابان هاشمی،کوچه رجب علی کریمی،پلاک51،واحد1</t>
  </si>
  <si>
    <t>09215841746</t>
  </si>
  <si>
    <t>پیشکرایه</t>
  </si>
  <si>
    <t>کوثر</t>
  </si>
  <si>
    <t>رضایی</t>
  </si>
  <si>
    <t>اسپرسو</t>
  </si>
  <si>
    <t>سهروردی جنوبی، امین‌زاده ، پلاک ۲۶, واحد ۲</t>
  </si>
  <si>
    <t>09386855070</t>
  </si>
  <si>
    <t>آسیاب مناسب دستگاه اسپرسو خانگی دلونگی</t>
  </si>
  <si>
    <t>نگار</t>
  </si>
  <si>
    <t>نقیه</t>
  </si>
  <si>
    <t>کافه دولت</t>
  </si>
  <si>
    <t>اصفهان</t>
  </si>
  <si>
    <t>خیابان شمس آبادی، کوچه کازرونی، نبش سه راهی، پاساژ امید،طبقه اول</t>
  </si>
  <si>
    <t>09334075144</t>
  </si>
  <si>
    <t>محمدرضا</t>
  </si>
  <si>
    <t>جلدی</t>
  </si>
  <si>
    <t>قهوه آفریقا</t>
  </si>
  <si>
    <t>زنجان</t>
  </si>
  <si>
    <t>چهارراه سعدی به سمت دروازه ارک کوچه شادمان</t>
  </si>
  <si>
    <t>09195241245</t>
  </si>
  <si>
    <t>پنجشنبه 31 خرداد 1403</t>
  </si>
  <si>
    <t>محمد</t>
  </si>
  <si>
    <t>فیروزنده</t>
  </si>
  <si>
    <t>میرداماد خیابان بینش ۱ کوچه هشت متری ششم پلاک ۷ طبقه دوم</t>
  </si>
  <si>
    <t>09025861502</t>
  </si>
  <si>
    <t>آرمین</t>
  </si>
  <si>
    <t>سجادیان</t>
  </si>
  <si>
    <t>سایر ابزارهای چکه‌ای</t>
  </si>
  <si>
    <t>فرمانیه شرقی - دیباجی شمالی - ارغوان غربی - نبش خویی - پلاک ۹ - مجتمع گل یاس - واحد ۱۲۱ - (تحویل نگهبانی شود)</t>
  </si>
  <si>
    <t>09379701707</t>
  </si>
  <si>
    <t>تاریخ رُست تازه و یکی باشند.</t>
  </si>
  <si>
    <t>مشهد</t>
  </si>
  <si>
    <t>آرش</t>
  </si>
  <si>
    <t>مقبلی</t>
  </si>
  <si>
    <t>کافه رستوران ویولانج</t>
  </si>
  <si>
    <t>کوهسنگی برج مهر کوهسنگی طبقه 6</t>
  </si>
  <si>
    <t>09352219349</t>
  </si>
  <si>
    <t>کارت به کارت شده</t>
  </si>
  <si>
    <t>شنبه 2 تیر 1403</t>
  </si>
  <si>
    <t>امیرحسین</t>
  </si>
  <si>
    <t>صدیقی</t>
  </si>
  <si>
    <t>کافه مدام</t>
  </si>
  <si>
    <t>09123401445</t>
  </si>
  <si>
    <t>محمد حسن</t>
  </si>
  <si>
    <t>شمیرانی</t>
  </si>
  <si>
    <t>کافه بیکری رولن</t>
  </si>
  <si>
    <t>09126221305</t>
  </si>
  <si>
    <t>روتین پارت یک</t>
  </si>
  <si>
    <t>نياوران،خيابان عمار،نرسيده به سه راه ياسر، پلاك ۲۴</t>
  </si>
  <si>
    <t>تجريش خيابان نياوران -دزاشيب(كبيري) -خيابان رمضاني-نبش كوچه حسيني -پلاك ۷</t>
  </si>
  <si>
    <t>شاهرخ</t>
  </si>
  <si>
    <t>مرتضوی راد</t>
  </si>
  <si>
    <t>کافه بهار</t>
  </si>
  <si>
    <t>بندرعباس</t>
  </si>
  <si>
    <t>خیابان دانشگاه ، بلوار پرفسور خشنودی</t>
  </si>
  <si>
    <t>09303039025</t>
  </si>
  <si>
    <t>فواد</t>
  </si>
  <si>
    <t>لوری</t>
  </si>
  <si>
    <t>هرمزگان</t>
  </si>
  <si>
    <t>پارسیان - خيابان امام - نبش ميدان شهردارى - سوپرماركت فواد</t>
  </si>
  <si>
    <t>09173629951</t>
  </si>
  <si>
    <t>سیامک</t>
  </si>
  <si>
    <t>کارخیران</t>
  </si>
  <si>
    <t>خیابان شریعتی خیابان یخچال خیابان کی نژاد خیابان جلایی‌پور پلاک ۲۵ واحد ۴</t>
  </si>
  <si>
    <t>09109030659</t>
  </si>
  <si>
    <t>ابوالفضل</t>
  </si>
  <si>
    <t>حیدری</t>
  </si>
  <si>
    <t>کافه دریپ</t>
  </si>
  <si>
    <t>آمل</t>
  </si>
  <si>
    <t>خیابان هراز.بلوار طبری.طبری ۵ .نبش دماوند ۲۰</t>
  </si>
  <si>
    <t>09396547014</t>
  </si>
  <si>
    <t>جمعه 1 تیر 1403</t>
  </si>
  <si>
    <t>حسام</t>
  </si>
  <si>
    <t>کریمیان</t>
  </si>
  <si>
    <t>کافه وایو</t>
  </si>
  <si>
    <t>نوشهر</t>
  </si>
  <si>
    <t xml:space="preserve">خیابان چمران،نبش شاهد </t>
  </si>
  <si>
    <t>09394151121</t>
  </si>
  <si>
    <t>معین</t>
  </si>
  <si>
    <t>اسماعیلی</t>
  </si>
  <si>
    <t>کافه رستوران نوفه</t>
  </si>
  <si>
    <t>بیرجند</t>
  </si>
  <si>
    <t>خیابان معلم، نبش معلم 39</t>
  </si>
  <si>
    <t>09155229671</t>
  </si>
  <si>
    <t>عرفاتی</t>
  </si>
  <si>
    <t>شمیران خیابان باهنر جماران خیابان حسن پور کوچه ششم کوچه قنات پلاک ۹ واحد ۱</t>
  </si>
  <si>
    <t>09122176886</t>
  </si>
  <si>
    <t>مجتبی</t>
  </si>
  <si>
    <t>محمودی</t>
  </si>
  <si>
    <t>کرمان</t>
  </si>
  <si>
    <t>خیابان گلدشت کوچه ۵۰ پلاک ۱۵</t>
  </si>
  <si>
    <t>09131977558</t>
  </si>
  <si>
    <t>هادی</t>
  </si>
  <si>
    <t>کمایستانی</t>
  </si>
  <si>
    <t>میدان فلسطین طالقانی غربی پلاک۴۰۱ هتل اتانا</t>
  </si>
  <si>
    <t>09367331661</t>
  </si>
  <si>
    <t>رکسانا</t>
  </si>
  <si>
    <t>رضاییان</t>
  </si>
  <si>
    <t>کافه گراف</t>
  </si>
  <si>
    <t>نیشابور</t>
  </si>
  <si>
    <t>خیابان فرحبخش غربی - بین فرحبخش غربی 20 و فیاض بخش شمالی</t>
  </si>
  <si>
    <t>09127908226</t>
  </si>
  <si>
    <t>فدا</t>
  </si>
  <si>
    <t>نجمه</t>
  </si>
  <si>
    <t>خ نظر غربی ک قینان ک شهید اصغر نجفی مجتمع توحید واحد ۳</t>
  </si>
  <si>
    <t>09131029445</t>
  </si>
  <si>
    <t>محمدمهدی</t>
  </si>
  <si>
    <t>فلاحتی</t>
  </si>
  <si>
    <t>ساری</t>
  </si>
  <si>
    <t>کوی لسانی کوچه ملل۷ پلاک ۱۰۳</t>
  </si>
  <si>
    <t>09361634734</t>
  </si>
  <si>
    <t>احسان</t>
  </si>
  <si>
    <t>روح افزا</t>
  </si>
  <si>
    <t>کافه احسان</t>
  </si>
  <si>
    <t>قم</t>
  </si>
  <si>
    <t xml:space="preserve">خيابان اقاقيا نبش سجاد شرقي </t>
  </si>
  <si>
    <t>09124520454</t>
  </si>
  <si>
    <t>وضعیت پرداخت بررسی شود.</t>
  </si>
  <si>
    <t>کمیل</t>
  </si>
  <si>
    <t>صفرپور</t>
  </si>
  <si>
    <t>کافه تین</t>
  </si>
  <si>
    <t>قائم شهر</t>
  </si>
  <si>
    <t>خ ساری نبش نیما یاس ۴۱</t>
  </si>
  <si>
    <t>09901072353</t>
  </si>
  <si>
    <t>عرفان</t>
  </si>
  <si>
    <t>عطوفی</t>
  </si>
  <si>
    <t>کافه ماک</t>
  </si>
  <si>
    <t>انسجام کوچه ۱۶ فرعی آخر خیابان آرمیده پلاک ۷۴</t>
  </si>
  <si>
    <t>09195756651</t>
  </si>
  <si>
    <t>مالیان</t>
  </si>
  <si>
    <t>کافه بوتیک هتل حنا</t>
  </si>
  <si>
    <t>خيابان حافظ، خيابان نوفل لوشاتو، خيابان لولاگر، پلاك ۲</t>
  </si>
  <si>
    <t>09371071711</t>
  </si>
  <si>
    <t>زینب</t>
  </si>
  <si>
    <t>دولتی</t>
  </si>
  <si>
    <t>کافه زین</t>
  </si>
  <si>
    <t>بابلسر</t>
  </si>
  <si>
    <t>دریاکنار خیابان ششم سر کوچه یکم</t>
  </si>
  <si>
    <t>09123513718</t>
  </si>
  <si>
    <t>320،000 تومان از کیف پول پرداخت شده.</t>
  </si>
  <si>
    <t xml:space="preserve">سید مهدی </t>
  </si>
  <si>
    <t>اصغری فرد</t>
  </si>
  <si>
    <t>خیابان جردن بالاتر از 4 راه اسفندیار بن بست ایرج پلاک 8 طبقه 7</t>
  </si>
  <si>
    <t>09122586870</t>
  </si>
  <si>
    <t>ملیکا</t>
  </si>
  <si>
    <t>بیات</t>
  </si>
  <si>
    <t>کافه پاز</t>
  </si>
  <si>
    <t>دزاشیب کوچه افشار</t>
  </si>
  <si>
    <t>09102110518</t>
  </si>
  <si>
    <t>کیان</t>
  </si>
  <si>
    <t>کاوه</t>
  </si>
  <si>
    <t>کافه دارچین</t>
  </si>
  <si>
    <t>کرج</t>
  </si>
  <si>
    <t xml:space="preserve">جهانشهر - ميدان هلال احمر - خ هلال احمر - نبش كوچه سنبل </t>
  </si>
  <si>
    <t>09124620107</t>
  </si>
  <si>
    <t>فهیمه</t>
  </si>
  <si>
    <t>صافی</t>
  </si>
  <si>
    <t>موکاپات</t>
  </si>
  <si>
    <t>09192727642</t>
  </si>
  <si>
    <t>کافه بیکری کروسان روشا</t>
  </si>
  <si>
    <t>شروین</t>
  </si>
  <si>
    <t>خلیلی</t>
  </si>
  <si>
    <t>هتل الغدیر</t>
  </si>
  <si>
    <t>چهارراه شهدا - بهجت 1 - هتل الغدیر - موسسه خیریه امام صادق</t>
  </si>
  <si>
    <t>09172608227</t>
  </si>
  <si>
    <t>کافه ناتور</t>
  </si>
  <si>
    <t>خ کریمخان خ عضدی (ابان جنوبی) پایین تر از بیمارستان ابان پلاک ۳۸</t>
  </si>
  <si>
    <t>09121112126</t>
  </si>
  <si>
    <t>(سفارش شخصی)</t>
  </si>
  <si>
    <t>فیلترکافی</t>
  </si>
  <si>
    <t>با سفارش کافه بیکری رولن ارسال شود. ( با فاکتور و بسته بندی جدا)</t>
  </si>
  <si>
    <t>میثم</t>
  </si>
  <si>
    <t>الهی</t>
  </si>
  <si>
    <t>کافه فلورانس</t>
  </si>
  <si>
    <t>مرزداران-خ ابوالفضل - پ ۸</t>
  </si>
  <si>
    <t>09121381407</t>
  </si>
  <si>
    <t>ساسان</t>
  </si>
  <si>
    <t>حامدی</t>
  </si>
  <si>
    <t>فروشگاه پینچ</t>
  </si>
  <si>
    <t>ارومیه</t>
  </si>
  <si>
    <t>بلوار نبوت،انتهاي كوچه 18،مغازه نبش</t>
  </si>
  <si>
    <t>09370999001</t>
  </si>
  <si>
    <t>کافه بیکری روستار سانا سنتر</t>
  </si>
  <si>
    <t>شادی</t>
  </si>
  <si>
    <t>رجبی</t>
  </si>
  <si>
    <t>خیابان دولت بین چهارراه اختیاریه و دیباجی جنوبی بن بست هروی پ۴ واحد ۳</t>
  </si>
  <si>
    <t>09127378863</t>
  </si>
  <si>
    <t>قبل ارسال هماهنگ شود.</t>
  </si>
  <si>
    <t>علی</t>
  </si>
  <si>
    <t>صالحی</t>
  </si>
  <si>
    <t>کافه دوپیو</t>
  </si>
  <si>
    <t>بلوار وکیل آباد، خ حافظ، نبش حافظ 6</t>
  </si>
  <si>
    <t>09159205885</t>
  </si>
  <si>
    <t>پریسا</t>
  </si>
  <si>
    <t>نیکبخت</t>
  </si>
  <si>
    <t>کافه کاز</t>
  </si>
  <si>
    <t>خیام جنوبی 12، نبش زنبق 2</t>
  </si>
  <si>
    <t>09367385847</t>
  </si>
  <si>
    <t>مهدیه</t>
  </si>
  <si>
    <t>بهبودی</t>
  </si>
  <si>
    <t>کافه رستوران نیکافه</t>
  </si>
  <si>
    <t>بلوار ابوذرغفاري ، بين ابوذرغفاري ۳۱ و ۳۳</t>
  </si>
  <si>
    <t>09045241578</t>
  </si>
  <si>
    <t>مریم</t>
  </si>
  <si>
    <t>کافه رزتو</t>
  </si>
  <si>
    <t>09381574707</t>
  </si>
  <si>
    <t>ناظم زاده</t>
  </si>
  <si>
    <t>نياوران اطلس مال طبقه ي همكف 3 پلاك 3052</t>
  </si>
  <si>
    <t>عطار</t>
  </si>
  <si>
    <t>مهنوش</t>
  </si>
  <si>
    <t>خیابان شریعتی - بعد از بهار شیراز- خیابان میثاق 6 ( چالش) پلاک 3- واحد 4</t>
  </si>
  <si>
    <t>09177046722</t>
  </si>
  <si>
    <t>ادامه سفارش کافه احسان</t>
  </si>
  <si>
    <t>حامد</t>
  </si>
  <si>
    <t>تاج</t>
  </si>
  <si>
    <t>بن کافی</t>
  </si>
  <si>
    <t>ميرداماد - نفت شمالي - كوچه هفتم - نبش كوچه - پلاك 77 - واحد 1</t>
  </si>
  <si>
    <t>09123279184</t>
  </si>
  <si>
    <t>در اولویت ارسال</t>
  </si>
  <si>
    <t>نارمک. خ آیت . خ قاسم‌زاده. خ برادران صادقی. پلاک ۹ . واحد ۳</t>
  </si>
  <si>
    <t>کافه احسان (الموت)</t>
  </si>
  <si>
    <t>رعنا</t>
  </si>
  <si>
    <t>آزادبخت</t>
  </si>
  <si>
    <t>کافه بابون</t>
  </si>
  <si>
    <t>خیابان درستکار روبروی اکبر جوجه غذای اماده قابلمه</t>
  </si>
  <si>
    <t>09036383804</t>
  </si>
  <si>
    <t>ابوذر</t>
  </si>
  <si>
    <t>شاد</t>
  </si>
  <si>
    <t>فرنچ پرس</t>
  </si>
  <si>
    <t>سعادت اباد هتل اسپیناس پالاس .لابی هتل.فروشگاه هاکوپیان</t>
  </si>
  <si>
    <t>09901221395</t>
  </si>
  <si>
    <t>بازه ارسال بین ساعت 10:30 تا 20</t>
  </si>
  <si>
    <t>شامی</t>
  </si>
  <si>
    <t>کافه بن سین</t>
  </si>
  <si>
    <t>محله کوچه مشکی-میدان رسل-خیابان امامت-خیابان ۱۴متری قائم-روبروی سالن کشتی قائم</t>
  </si>
  <si>
    <t>09395972565</t>
  </si>
  <si>
    <t>کهیار</t>
  </si>
  <si>
    <t>فرامرزی</t>
  </si>
  <si>
    <t>بستنی نوبهار</t>
  </si>
  <si>
    <t>کرمانشاه</t>
  </si>
  <si>
    <t>خیابان نوبهار جنب بانک صادرات</t>
  </si>
  <si>
    <t>09188315883</t>
  </si>
  <si>
    <t>نیما</t>
  </si>
  <si>
    <t>نظری</t>
  </si>
  <si>
    <t>کافه اُپِل</t>
  </si>
  <si>
    <t>روستاي سوستان بالا خيابان مسجد كوچه مهر پنج (خانه روستايي است و پلاك ندارد)</t>
  </si>
  <si>
    <t>09393741144</t>
  </si>
  <si>
    <t>لاهیجان</t>
  </si>
  <si>
    <t>پوریا</t>
  </si>
  <si>
    <t>فرمانیه</t>
  </si>
  <si>
    <t>شیراز</t>
  </si>
  <si>
    <t>خ شهید مختاری ، خ فرزانگان ، خ دانشپژوهان ، ساختمان سبلان ، واحد ۱۲</t>
  </si>
  <si>
    <t>09171059574</t>
  </si>
  <si>
    <t>حسن</t>
  </si>
  <si>
    <t>القصاب</t>
  </si>
  <si>
    <t>دور شهر 30 پلاك 109 طبقه سوم</t>
  </si>
  <si>
    <t>09038487821</t>
  </si>
  <si>
    <t>ارشیا</t>
  </si>
  <si>
    <t>سلیمی</t>
  </si>
  <si>
    <t>دانشگاه صنعتي اصفهان</t>
  </si>
  <si>
    <t>09175270378</t>
  </si>
  <si>
    <t>علیرضا</t>
  </si>
  <si>
    <t>منصوریان</t>
  </si>
  <si>
    <t>کافه نامبرتن</t>
  </si>
  <si>
    <t>شهرک غرب خیابان دادمان خیابان محمدرضا شجریان نبش کوچه نوزدهم</t>
  </si>
  <si>
    <t>09125445524</t>
  </si>
  <si>
    <t>اشتری</t>
  </si>
  <si>
    <t>کافه آفدو</t>
  </si>
  <si>
    <t>ونک خیابان خدامی ،خیابان وسکانیان(آفتاب)،مرکز خرید آفتاب زیرپله واحد یک</t>
  </si>
  <si>
    <t>09123345417</t>
  </si>
  <si>
    <t>سفارت نروژ</t>
  </si>
  <si>
    <t>اسورره</t>
  </si>
  <si>
    <t>سفارت نروژ - آقای فرجی</t>
  </si>
  <si>
    <t>09123581972</t>
  </si>
  <si>
    <t>یکشنبه 3 تیر 1403</t>
  </si>
  <si>
    <t>بهرام</t>
  </si>
  <si>
    <t>میرمیران</t>
  </si>
  <si>
    <t>میرداماد نبش آقازاده فرد پلاک 161</t>
  </si>
  <si>
    <t>09121213455</t>
  </si>
  <si>
    <t>آدرس ارسال قبل ساعت 15</t>
  </si>
  <si>
    <t>آدرس ارسال بعد از ساعت 15</t>
  </si>
  <si>
    <t>تقاطع تخت طاووس و شریعتی - خ شهدا ناجا - خ سلیمی جنوبی - کوچه علایی - پلاک 2 - ط 1</t>
  </si>
  <si>
    <t>شهاب</t>
  </si>
  <si>
    <t>بقایی</t>
  </si>
  <si>
    <t>کافه لازارو</t>
  </si>
  <si>
    <t>مهرشهر - خیابان شهرداری - نبش ۲۰۶</t>
  </si>
  <si>
    <t>09125654823</t>
  </si>
  <si>
    <t>بردیا</t>
  </si>
  <si>
    <t>سعادت آباد بلوار بهزاد نبش باغستان یکم پلاک ۲ شرکت تپسی</t>
  </si>
  <si>
    <t>09305905763</t>
  </si>
  <si>
    <t>سید حاتمی</t>
  </si>
  <si>
    <t>کافه کیوباکس</t>
  </si>
  <si>
    <t>خیابان حشمت رو به رو ورزشگاه شهدا ما بین حشمت ۶ و ۸</t>
  </si>
  <si>
    <t>09194153151</t>
  </si>
  <si>
    <t>مازیار</t>
  </si>
  <si>
    <t>اسکندری</t>
  </si>
  <si>
    <t>جردن، تقاطع آرش، بالاتر از آرش، بن بست ایرج، پلاک 8، واحد لابی</t>
  </si>
  <si>
    <t>09124084834</t>
  </si>
  <si>
    <t>ارسال بین ساعت 9 تا 17</t>
  </si>
  <si>
    <t>بختیاری</t>
  </si>
  <si>
    <t>کافه آندورا</t>
  </si>
  <si>
    <t>سایر ابزارهای غوطه‌وری</t>
  </si>
  <si>
    <t>خیابان ایرانشهر پایینتر از کوچه دهخدا پلاک ۵۷ پشت دکه روزنامه فروشی</t>
  </si>
  <si>
    <t>09214428591</t>
  </si>
  <si>
    <t>سید حسین</t>
  </si>
  <si>
    <t>اکباتان فاز دو خیابان صارمی خیابان محقق سعید پاساژ گلها</t>
  </si>
  <si>
    <t>09192168701</t>
  </si>
  <si>
    <t>قدم یاری</t>
  </si>
  <si>
    <t>کافه کُر</t>
  </si>
  <si>
    <t>بزرگراه حقانى بلوار كتابخانه ملى ضلع جنوبى پرديس تئاتر موسيقى</t>
  </si>
  <si>
    <t>09124431359</t>
  </si>
  <si>
    <t>تاجیک</t>
  </si>
  <si>
    <t>ایوارلانژ</t>
  </si>
  <si>
    <t>تهرانپارس فلکه اول بلوار برادران قانع جنب بوستان آب</t>
  </si>
  <si>
    <t>09391942344</t>
  </si>
  <si>
    <t xml:space="preserve">کافه رستوران مارشو </t>
  </si>
  <si>
    <t>خيابان پيوندي-چهارراه فدك به پيوندي رستوران مارشو-طبقه 3</t>
  </si>
  <si>
    <t>نسا</t>
  </si>
  <si>
    <t>میرشجاعی</t>
  </si>
  <si>
    <t>09112561453</t>
  </si>
  <si>
    <t>رضا</t>
  </si>
  <si>
    <t>نایبی</t>
  </si>
  <si>
    <t>خیابان شریعتی نرسیده به میدان قدس کوچه شهید تقی رفعت</t>
  </si>
  <si>
    <t>09121448026</t>
  </si>
  <si>
    <t>کرباسچی</t>
  </si>
  <si>
    <t>کافه کی آر بی</t>
  </si>
  <si>
    <t>کافه آرمه</t>
  </si>
  <si>
    <t>کلدبرو</t>
  </si>
  <si>
    <t>09124047817</t>
  </si>
  <si>
    <t xml:space="preserve">خيابان شهيد صدوقي ميدان مفتح خيابان مفتح نبش كوچه 8 </t>
  </si>
  <si>
    <t>09191954192</t>
  </si>
  <si>
    <t>میر پوریا</t>
  </si>
  <si>
    <t>ارسال قبل ساعت 13</t>
  </si>
  <si>
    <t>قفل گری</t>
  </si>
  <si>
    <t>شرکت سامسونگ گلف الکترونیکس</t>
  </si>
  <si>
    <t>مهدی</t>
  </si>
  <si>
    <t>مولایی</t>
  </si>
  <si>
    <t>کافه ویوو لانژ</t>
  </si>
  <si>
    <t>09123504435</t>
  </si>
  <si>
    <t>09197844409</t>
  </si>
  <si>
    <t>پیک شخصی خودشون تحویل میگیره.</t>
  </si>
  <si>
    <t>ایونت سفارت هلند</t>
  </si>
  <si>
    <t>به 15 بسته 40 گرمی تبدیل شوند. / تحویل نسیم داده شود.</t>
  </si>
  <si>
    <t>مصرف مجموعه</t>
  </si>
  <si>
    <t>دوشنبه 4 تیر 1403</t>
  </si>
  <si>
    <t>هدیه</t>
  </si>
  <si>
    <t>تحویل آر اند دی داده شود.</t>
  </si>
  <si>
    <t>محمدی رفیع</t>
  </si>
  <si>
    <t>سعادت آباد بلوار دریا خیابان صرافهای جنوبی کوچه قره تپه ای پلاک ۶۶ واحد ۱</t>
  </si>
  <si>
    <t>09194189788</t>
  </si>
  <si>
    <t>عبدالهی</t>
  </si>
  <si>
    <t>خراسان رضوی</t>
  </si>
  <si>
    <t>تایباد بلوار آزادی بین ازادی9و11</t>
  </si>
  <si>
    <t>09100142274</t>
  </si>
  <si>
    <t>امیر</t>
  </si>
  <si>
    <t>اسدی</t>
  </si>
  <si>
    <t>چهار راه ولیعصر به سمت میدان انقلاب ، بعد از خیابان فلسطین پلاک ۹۵۵</t>
  </si>
  <si>
    <t>09102706059</t>
  </si>
  <si>
    <t>کافه فلسطین (کندو)</t>
  </si>
  <si>
    <t>اشکان</t>
  </si>
  <si>
    <t>رستمی</t>
  </si>
  <si>
    <t>کافه راب</t>
  </si>
  <si>
    <t>میدان هفت تیر . خ مفتح جنوبی . خ ورکش . نبش کوچه سیاسی پ ۱۷.۷</t>
  </si>
  <si>
    <t>09384346362</t>
  </si>
  <si>
    <t>دانیال</t>
  </si>
  <si>
    <t>دهبان نژاد</t>
  </si>
  <si>
    <t>اهواز</t>
  </si>
  <si>
    <t>شهرک نفت،فاز ۵،خیابان آبان ۲،پلاک ۱۲۱۷</t>
  </si>
  <si>
    <t>09376324393</t>
  </si>
  <si>
    <t>ارسال با ماهکس</t>
  </si>
  <si>
    <t>علیا</t>
  </si>
  <si>
    <t>خیابان کسری - خیابان شهید بهشتی - میدان گلها - کوچه نسیم - ساختمان نسیم - طبقه 5 - واحد 11</t>
  </si>
  <si>
    <t>09307770110</t>
  </si>
  <si>
    <t>واهه</t>
  </si>
  <si>
    <t>کافه پلتفرم وست</t>
  </si>
  <si>
    <t>09124753526</t>
  </si>
  <si>
    <t>خ حافظ خ نوفل لوشاتو خ هانری کوربن پلاک ۸</t>
  </si>
  <si>
    <t>جمال</t>
  </si>
  <si>
    <t>فلاحت گر</t>
  </si>
  <si>
    <t>الهیه، خیابان مریم شرقی، پلاک 34 شرکت استیل البرز</t>
  </si>
  <si>
    <t>09121309416</t>
  </si>
  <si>
    <t>محمدامین</t>
  </si>
  <si>
    <t>اتابکی</t>
  </si>
  <si>
    <t>کافه لین</t>
  </si>
  <si>
    <t>بلوار دریا . خیابان موج.مابین توحید سه و چهار پلاک ۸</t>
  </si>
  <si>
    <t>09198362066</t>
  </si>
  <si>
    <t>رهبری</t>
  </si>
  <si>
    <t>کافه مُستطاب</t>
  </si>
  <si>
    <t>رجایی شهر بلوار موذن روبروی بانک ملی دانشگاه آزاد ساختمان البرز طبقه زیرین شهرکتاب البرز</t>
  </si>
  <si>
    <t>09106009059</t>
  </si>
  <si>
    <t>غلامی شه بندی</t>
  </si>
  <si>
    <t>کافه قهومون</t>
  </si>
  <si>
    <t>میدان امام بلوار آزادی خیابان بعثت بین بعثت ۲ و ۴</t>
  </si>
  <si>
    <t>09376143341</t>
  </si>
  <si>
    <t>23,590,000 تومان کیف پول شارژ شده.</t>
  </si>
  <si>
    <t>پرداخت از کیف پول</t>
  </si>
  <si>
    <t>سید هاشم</t>
  </si>
  <si>
    <t>باغبان عنبران</t>
  </si>
  <si>
    <t>رستوران باغبان</t>
  </si>
  <si>
    <t>طرقبه</t>
  </si>
  <si>
    <t xml:space="preserve">بینالود - طرقبه بعد از پل طرقدر نرسیده به عنبران 2 </t>
  </si>
  <si>
    <t>09152002090</t>
  </si>
  <si>
    <t>چهارشنبه 6 تیر 1403</t>
  </si>
  <si>
    <t>کافه دارسین</t>
  </si>
  <si>
    <t xml:space="preserve">ملک قاسمی </t>
  </si>
  <si>
    <t>با فاکتور و بسته بندی جدا به همراه سفارش دارسین ارسال شود.</t>
  </si>
  <si>
    <t>09133405767</t>
  </si>
  <si>
    <t>محمدحسین</t>
  </si>
  <si>
    <t>عکاف زاده</t>
  </si>
  <si>
    <t>عبدالرضا</t>
  </si>
  <si>
    <t>بلوار جمهوري اسلامي همتي فر نبش كوچه شماره يك</t>
  </si>
  <si>
    <t>09133423604</t>
  </si>
  <si>
    <t>ارسال هوایی</t>
  </si>
  <si>
    <t>سه شنبه 5 تیر 1403</t>
  </si>
  <si>
    <t>تحویل داده شد.</t>
  </si>
  <si>
    <t>زارع</t>
  </si>
  <si>
    <t>کافه هاکو</t>
  </si>
  <si>
    <t>تهرانپارس-فلكه اول تهرانپارس-ضلع شرقي ميدان-مجتمع تجاري پارس-پلاك ٦</t>
  </si>
  <si>
    <t>09022635331</t>
  </si>
  <si>
    <t>کافه لاویدا</t>
  </si>
  <si>
    <t>اعظم</t>
  </si>
  <si>
    <t>پورهاشمی</t>
  </si>
  <si>
    <t>کافه حیات هزارافسان</t>
  </si>
  <si>
    <t>خ بزرگمهر ،خ برادران مظفر به سمت شمال ،پلاک ۱۲۵</t>
  </si>
  <si>
    <t>09124590471</t>
  </si>
  <si>
    <t>فاکتور بنام احسان میراب زاده باشد.</t>
  </si>
  <si>
    <t>ایمان</t>
  </si>
  <si>
    <t>بنفشه</t>
  </si>
  <si>
    <t>کافه طهرون (کیش)</t>
  </si>
  <si>
    <t>کیش</t>
  </si>
  <si>
    <t>کیبل اسکی</t>
  </si>
  <si>
    <t>09037950385</t>
  </si>
  <si>
    <t>یاشار</t>
  </si>
  <si>
    <t>تکلو</t>
  </si>
  <si>
    <t>بلوار لادن، لادن 5، تقاطع دوم، پلاک 51، ساختمان الین، زنگ 11</t>
  </si>
  <si>
    <t>09336401450</t>
  </si>
  <si>
    <t>شایا</t>
  </si>
  <si>
    <t>روشن</t>
  </si>
  <si>
    <t>میدان امام-بلوار پاسداران-جنب دیوان محاسبات</t>
  </si>
  <si>
    <t>09035335242</t>
  </si>
  <si>
    <t>میلاد</t>
  </si>
  <si>
    <t>نصری</t>
  </si>
  <si>
    <t>کافه قرار</t>
  </si>
  <si>
    <t>همدان</t>
  </si>
  <si>
    <t>مجتمع مسکونی سعیدیه بخش اداری پشت بانک مسکن</t>
  </si>
  <si>
    <t>09129376163</t>
  </si>
  <si>
    <t>شیل چی</t>
  </si>
  <si>
    <t>کوی کارمندان جنوبی ولیعصر ۴ پلاک ۶۵ واحد ۲</t>
  </si>
  <si>
    <t>09122508479</t>
  </si>
  <si>
    <t>محسن</t>
  </si>
  <si>
    <t>قنادی اته</t>
  </si>
  <si>
    <t>09124722258</t>
  </si>
  <si>
    <t>نواب</t>
  </si>
  <si>
    <t>نجفی زاده</t>
  </si>
  <si>
    <t>روزبه</t>
  </si>
  <si>
    <t>دشتی</t>
  </si>
  <si>
    <t>قهوه بی‌سان</t>
  </si>
  <si>
    <t>بلوار وکیل آباد، خیابان هاشمیه ، هاشمیه ۲۸ ، مقابل ۲۸/۵ ، جنب پلاک ۷</t>
  </si>
  <si>
    <t>09354353912</t>
  </si>
  <si>
    <t>سعید</t>
  </si>
  <si>
    <t>محمدی قیداری</t>
  </si>
  <si>
    <t>مهستان</t>
  </si>
  <si>
    <t>فاز 2 - محله 4 - شرکت عمران شهر مهستان</t>
  </si>
  <si>
    <t>09129645309</t>
  </si>
  <si>
    <t>حاجبی</t>
  </si>
  <si>
    <t>کال کافه</t>
  </si>
  <si>
    <t>ابتداي خيابان داماهي - بعد از آتش نشاني - برج ونوس - جنب تارا ماركت</t>
  </si>
  <si>
    <t>09129301400</t>
  </si>
  <si>
    <t>ماندگاری</t>
  </si>
  <si>
    <t>خیابان توحید رو به روی مرکز بهداشت پلاک ۲۶۰. طبقه زیرزمین</t>
  </si>
  <si>
    <t>09127466200</t>
  </si>
  <si>
    <t>سید محسن</t>
  </si>
  <si>
    <t>صادقی</t>
  </si>
  <si>
    <t>استان مرکزی</t>
  </si>
  <si>
    <t>دلیجان - اداره پست شهرستان دلیجان -صندوق پستی ۱۳۱</t>
  </si>
  <si>
    <t>09183697020</t>
  </si>
  <si>
    <t>ارسال با پست</t>
  </si>
  <si>
    <t>خانه فاموری</t>
  </si>
  <si>
    <t>09124302636</t>
  </si>
  <si>
    <t>امین</t>
  </si>
  <si>
    <t>کیانی</t>
  </si>
  <si>
    <t>کافه پی</t>
  </si>
  <si>
    <t>ولیعصر خیابان رودکی انتهای خیابان خوارزمی بعد از دونر درنا پلاک ۱</t>
  </si>
  <si>
    <t>09144146711</t>
  </si>
  <si>
    <t>متین</t>
  </si>
  <si>
    <t>بابایان</t>
  </si>
  <si>
    <t>کافه مُتینز</t>
  </si>
  <si>
    <t>میدان امام علی به سمت پل قویون کنارگذر باقری</t>
  </si>
  <si>
    <t>09391415264</t>
  </si>
  <si>
    <t>محمود</t>
  </si>
  <si>
    <t>مرافق</t>
  </si>
  <si>
    <t>خ شریعتی بالاتر از صدر، خ میرزاپور، خ فاطمیه، مهر دوم غربی، پ ۴۳، واحد سوم شرقی</t>
  </si>
  <si>
    <t>09190691962</t>
  </si>
  <si>
    <t>حسین</t>
  </si>
  <si>
    <t>جعفرزاده</t>
  </si>
  <si>
    <t>خیابان آمادگاه هتل عباسی</t>
  </si>
  <si>
    <t>09137376691</t>
  </si>
  <si>
    <t>تابش</t>
  </si>
  <si>
    <t>ابتدای بزرگراه ارتش خیابان 22 بهمن بیمارستان نیکان</t>
  </si>
  <si>
    <t>09124460566</t>
  </si>
  <si>
    <t>بیعتی نژاد</t>
  </si>
  <si>
    <t>کهگیلویه و بویراحمد</t>
  </si>
  <si>
    <t>شهرستان گچساران کوی شهید پرهون13پلاک76</t>
  </si>
  <si>
    <t>09107422325</t>
  </si>
  <si>
    <t>حاجی بابایی</t>
  </si>
  <si>
    <t>هلو شف</t>
  </si>
  <si>
    <t>09398779985</t>
  </si>
  <si>
    <t>فهیمی پور</t>
  </si>
  <si>
    <t>بلوار قیطریه کوچه تواضعی بن بست شهریار پلاک ۱۵ ساختمان سروین واحد دوم شمالی</t>
  </si>
  <si>
    <t>09132732739</t>
  </si>
  <si>
    <t>سالار</t>
  </si>
  <si>
    <t>درنگ</t>
  </si>
  <si>
    <t>کافه پرکو</t>
  </si>
  <si>
    <t>وليعصر ،چهارراه شريعتي به سمت رازي</t>
  </si>
  <si>
    <t>09125006328</t>
  </si>
  <si>
    <t>کافه یانا</t>
  </si>
  <si>
    <t>خیابان سهروردی شمالی چهار راه عباس آباد به سمت مصلی خیابان یوسفی بالاتر از کوچه مبینی پلاک ۱۰ زنگ ۱</t>
  </si>
  <si>
    <t>09227143091</t>
  </si>
  <si>
    <t>ابراهیمی</t>
  </si>
  <si>
    <t>کافه پارسه</t>
  </si>
  <si>
    <t>ميدان صنعت. مركز خريد ليدوما. طبقه B1</t>
  </si>
  <si>
    <t>09101146124</t>
  </si>
  <si>
    <t>شیخ</t>
  </si>
  <si>
    <t>(پرسنل)</t>
  </si>
  <si>
    <t>هانی</t>
  </si>
  <si>
    <t>درجزینی</t>
  </si>
  <si>
    <t>شفیعی</t>
  </si>
  <si>
    <t>امیر محمد</t>
  </si>
  <si>
    <t>تحویل رامتین داده شود.</t>
  </si>
  <si>
    <t>فیروزه</t>
  </si>
  <si>
    <t>کاظمیان</t>
  </si>
  <si>
    <t>صیاد شیرازی شمال خیابان مغان میدان حسین آباد خیابان مژده مجتمع رونیکا پالاس بلوک B1طبقه سوم شمالی واحد ۱۰۳۶ کاظمیان(رستمی)</t>
  </si>
  <si>
    <t>09128188972</t>
  </si>
  <si>
    <t>کافه خونه ما</t>
  </si>
  <si>
    <t>البرز</t>
  </si>
  <si>
    <t>نظرآباد - خ انقلاب روبروی بانک تجارت</t>
  </si>
  <si>
    <t>09330291022</t>
  </si>
  <si>
    <t>صبا</t>
  </si>
  <si>
    <t>خسروبخش</t>
  </si>
  <si>
    <t>سنندج</t>
  </si>
  <si>
    <t>پاسداران سهراه شالمان کوچه یوسف پلاک ۲</t>
  </si>
  <si>
    <t>09188783927</t>
  </si>
  <si>
    <t>ضیائی پور</t>
  </si>
  <si>
    <t>عمارت جهان کوچک من</t>
  </si>
  <si>
    <t>خیابان طالقانی،خیابان موسوی،کوچه ایرانشهر،پلاک ۱</t>
  </si>
  <si>
    <t>09366388030</t>
  </si>
  <si>
    <t>سرروی</t>
  </si>
  <si>
    <t>کافه بوتیک شیرینی رلیش</t>
  </si>
  <si>
    <t>بوشهر</t>
  </si>
  <si>
    <t>خیابان سنگی خیابان بعثت نبش کوچه عرفان ۱۷</t>
  </si>
  <si>
    <t>09364689687</t>
  </si>
  <si>
    <t>پنجشنبه 7 تیر 1403</t>
  </si>
  <si>
    <t>احمد</t>
  </si>
  <si>
    <t>فرهادی</t>
  </si>
  <si>
    <t>شهربابک - بلوار جمهوری اسلامی- کوچه فرهنگ 2</t>
  </si>
  <si>
    <t>09132937149</t>
  </si>
  <si>
    <t>خورشید</t>
  </si>
  <si>
    <t>ولنجک.بلواردانشجو.گلستان دوم.پلاک۶.واحد۵شرقی</t>
  </si>
  <si>
    <t>09129104392</t>
  </si>
  <si>
    <t>آسیاب مناسب دستگاه اسپرسو ساز خانگی</t>
  </si>
  <si>
    <t>پویا</t>
  </si>
  <si>
    <t>شهابی</t>
  </si>
  <si>
    <t>شیان ، شیان سوم پلاک 49</t>
  </si>
  <si>
    <t>09391787341</t>
  </si>
  <si>
    <t>بهراد</t>
  </si>
  <si>
    <t>تقوی</t>
  </si>
  <si>
    <t>گیشا، ابتدای خیابان ۳۵، جنب فروشگاه هفت، پلاک ۳۴۶، واحد ۳</t>
  </si>
  <si>
    <t>09013335521</t>
  </si>
  <si>
    <t>رحیم زاده</t>
  </si>
  <si>
    <t>کافه آپارتمان</t>
  </si>
  <si>
    <t>میدان فردوسی خیابان شهید قرنی کوچه کلانتری پلاک ۴۸ طبقه همکف</t>
  </si>
  <si>
    <t>09351034845</t>
  </si>
  <si>
    <t>کافه نشانی</t>
  </si>
  <si>
    <t>بررودی</t>
  </si>
  <si>
    <t xml:space="preserve">صارمي - بين صارمي 34 و 36 </t>
  </si>
  <si>
    <t>09369309993</t>
  </si>
  <si>
    <t>سوگند</t>
  </si>
  <si>
    <t>کافه حیاط شماره 65</t>
  </si>
  <si>
    <t>تست</t>
  </si>
  <si>
    <t>کافه روسو</t>
  </si>
  <si>
    <t>قاضی طباطبائی 10، سوزنچی 5</t>
  </si>
  <si>
    <t>09213036182</t>
  </si>
  <si>
    <t>احمد رضا</t>
  </si>
  <si>
    <t>گازرانی</t>
  </si>
  <si>
    <t>کُره ئی</t>
  </si>
  <si>
    <t>کافه تژ</t>
  </si>
  <si>
    <t>ولنجک ثارالله کوچه نیلوفر پلاک 1</t>
  </si>
  <si>
    <t>09100218314</t>
  </si>
  <si>
    <t>09109855849</t>
  </si>
  <si>
    <t>خیابان انقلاب، نرسیده به میدان فردوسی، خیابان موسوی، نبش کوچه اعتماد مقدم، پلاک 32</t>
  </si>
  <si>
    <t>جمعه 8 تیر 1403</t>
  </si>
  <si>
    <t>ارسال فورس</t>
  </si>
  <si>
    <t>خیابان نیاوران -دزاشیب(کبیری) -خیابان رمضانی-نبش کوچه حسینی -پلاک ۷</t>
  </si>
  <si>
    <t>نیازمند</t>
  </si>
  <si>
    <t>شنبه 9 تیر 1403</t>
  </si>
  <si>
    <t>پیغمبری</t>
  </si>
  <si>
    <t>ظفر - خیابان همایون - کوچه صمدی - پلاک ۱۱ - واحد ۵</t>
  </si>
  <si>
    <t>09127372602</t>
  </si>
  <si>
    <t>تاریخ رست ها همگی یکی و جدید باشند.</t>
  </si>
  <si>
    <t>گلی</t>
  </si>
  <si>
    <t>کافه طیف</t>
  </si>
  <si>
    <t>خیابان کریمخان خیابان سنایی پلاک 166</t>
  </si>
  <si>
    <t>09024342502</t>
  </si>
  <si>
    <t>سقائیان</t>
  </si>
  <si>
    <t>ولنجک خ۲۶(برادران ابوطالبی)پلاک۳۲ واحد۲۱</t>
  </si>
  <si>
    <t>09121229391</t>
  </si>
  <si>
    <t>حمید</t>
  </si>
  <si>
    <t>عسکرپور کبیر</t>
  </si>
  <si>
    <t>محله طاهر آباد. بلوار امام حسن. کوچه شماره 4. مجتمع نیاوران. بلوک E. طبقه ششم. واحد 25</t>
  </si>
  <si>
    <t>09132417181</t>
  </si>
  <si>
    <t>برقعی</t>
  </si>
  <si>
    <t>سالاریه / خیابان یاسمن / پلاک ۱۷۲</t>
  </si>
  <si>
    <t>09397988901</t>
  </si>
  <si>
    <t>نیلوفر</t>
  </si>
  <si>
    <t>سعیدی</t>
  </si>
  <si>
    <t>مهرويلا رودكى غربى بين سعدى و عطار پلاك ٢٥٤ واحد ٦</t>
  </si>
  <si>
    <t>09165804245</t>
  </si>
  <si>
    <t>ویکافه</t>
  </si>
  <si>
    <t>09051534303</t>
  </si>
  <si>
    <t>نازی</t>
  </si>
  <si>
    <t>منوری</t>
  </si>
  <si>
    <t>خیابان ونک،تقاطع آرارات جنوبی،روبروی درب کلانتری ۱۴۵ونک،مجتمع ایران سکناB طبقه دوم واحد۲۱۴</t>
  </si>
  <si>
    <t>09379158898</t>
  </si>
  <si>
    <t>شمسی نژاد</t>
  </si>
  <si>
    <t xml:space="preserve">رفسنجان </t>
  </si>
  <si>
    <t>خيابان مدرس - خيابان المپيك - كوچه جامي 4 پلاك 138</t>
  </si>
  <si>
    <t>09132918423</t>
  </si>
  <si>
    <t>زارع رفیع</t>
  </si>
  <si>
    <t>کافه رستوران دونو</t>
  </si>
  <si>
    <t>V60</t>
  </si>
  <si>
    <t>09939117838</t>
  </si>
  <si>
    <t>جهانشهر بلوار مولانا خیابان ابو علی سینا بین بن بست دوم و چهارم * تحویل بعد از ساعت 12 ظهر*</t>
  </si>
  <si>
    <t>رجب</t>
  </si>
  <si>
    <t>کافه میم</t>
  </si>
  <si>
    <t>تایباد - بلوار امام حسین، بین امام حسین ۴ و ۶</t>
  </si>
  <si>
    <t>09339611092</t>
  </si>
  <si>
    <t>رزمخواه</t>
  </si>
  <si>
    <t>بلوار کشاورز ، کوچه ۴۲(ارغوان)، پلاک ۷۰ طبقه ۲</t>
  </si>
  <si>
    <t>09134094834</t>
  </si>
  <si>
    <t>شمس</t>
  </si>
  <si>
    <t>جهانشهر غربی ، میدان جمهوری ، پشت تالار لوتوس ، خیابان ارغوان ، کوچه پاییزان غربی ، پلاک ۲۶ واحد ۱۰</t>
  </si>
  <si>
    <t>09354182299</t>
  </si>
  <si>
    <t>امیرشکاری</t>
  </si>
  <si>
    <t>کافه اوکو</t>
  </si>
  <si>
    <t>خیابان میثم روبرو کوچه 5</t>
  </si>
  <si>
    <t>09217820597</t>
  </si>
  <si>
    <t>اعمی بصیر</t>
  </si>
  <si>
    <t>خیابان فلسطین جنوبی بعد از تقاطع جمهوری کوچه رستمی زاهد (درخشان) پ ۵واحد۷</t>
  </si>
  <si>
    <t>09347684550</t>
  </si>
  <si>
    <t>رامیار</t>
  </si>
  <si>
    <t>خیابان ولیعصر، بالاتر از طالقانی، کوچه فرهنگ حسینی، پلاک ۱۱ ط دوم</t>
  </si>
  <si>
    <t>09128141925</t>
  </si>
  <si>
    <t>ریحانه</t>
  </si>
  <si>
    <t>پرچگانی</t>
  </si>
  <si>
    <t>کافه لامور</t>
  </si>
  <si>
    <t>بلوار دانشجو _ روبروی آموزشگاه رانندگی فجر _ کانکس سفید</t>
  </si>
  <si>
    <t>09190595396</t>
  </si>
  <si>
    <t>عبدی</t>
  </si>
  <si>
    <t>روژ</t>
  </si>
  <si>
    <t>خیابان مقدس اردبیلی روبروی سفارت ژاپن نبش خیابان عمید برج مروارید - لطفا تحویل نگهبانی شود مربوط به واحد ۶۵</t>
  </si>
  <si>
    <t>09122190225</t>
  </si>
  <si>
    <t>محمدی</t>
  </si>
  <si>
    <t>شریعتی پل رومی خ رضایی روبروی پارک بانو پ۲۰ واحد۷۰۱</t>
  </si>
  <si>
    <t>09121209998</t>
  </si>
  <si>
    <t xml:space="preserve">آرین </t>
  </si>
  <si>
    <t>بیکدلی</t>
  </si>
  <si>
    <t>کافه نولان پونک</t>
  </si>
  <si>
    <t>09125690775</t>
  </si>
  <si>
    <t>حَصین</t>
  </si>
  <si>
    <t>معصومی</t>
  </si>
  <si>
    <t>09052760090</t>
  </si>
  <si>
    <t>سرافرازان ۳۹ مجتمع الوند بلوک ۳واحد ۳۰۲ *در صورت در دسترس نبودن، به نگهبانی مجتمع تحویل داده شود*</t>
  </si>
  <si>
    <t>هدایتی</t>
  </si>
  <si>
    <t>میدان ونک خیابان ولیعصر خیابان دامن افشار پلاک 55</t>
  </si>
  <si>
    <t>09128369791</t>
  </si>
  <si>
    <t>عسگری</t>
  </si>
  <si>
    <t>کلینیک دامپزشکی دکتر مهرداد کریمی</t>
  </si>
  <si>
    <t>09370977784</t>
  </si>
  <si>
    <t>صادقیه اشرفی اصفهانی خیابان عرب حسینی خیابان حائری پلاک ۲۶</t>
  </si>
  <si>
    <t>ملکشهر خیابان مطهری کوچه 35 پلاک 44 واحد 3</t>
  </si>
  <si>
    <t>09337347280</t>
  </si>
  <si>
    <t>میری</t>
  </si>
  <si>
    <t>سارا</t>
  </si>
  <si>
    <t>صبور</t>
  </si>
  <si>
    <t>شهرک اکباتان، فاز ۲، بلوک ۶، ورودی۲، طبقه۳، واحد ۲۳۹</t>
  </si>
  <si>
    <t>09128399372</t>
  </si>
  <si>
    <t>متقی</t>
  </si>
  <si>
    <t>کافه نولان ونک</t>
  </si>
  <si>
    <t>09331770320</t>
  </si>
  <si>
    <t>محمدی فخر</t>
  </si>
  <si>
    <t>کافه والهالا</t>
  </si>
  <si>
    <t>خ جمهوری خ رازی خ پرتوی پلاک 18/1</t>
  </si>
  <si>
    <t>09376116149</t>
  </si>
  <si>
    <t>چهارلنگ زاده</t>
  </si>
  <si>
    <t>نادری خیابان جهانیان بین حافظ وکتانباف بن بست گلبهار پلاک ۶۰</t>
  </si>
  <si>
    <t>09167292532</t>
  </si>
  <si>
    <t>دعوتی</t>
  </si>
  <si>
    <t>کافه پنزا</t>
  </si>
  <si>
    <t>داود</t>
  </si>
  <si>
    <t>گرگان</t>
  </si>
  <si>
    <t>عدالت ۸۱ سه راه مهرگان</t>
  </si>
  <si>
    <t>09355596066</t>
  </si>
  <si>
    <t>اردوان</t>
  </si>
  <si>
    <t>یوسفی</t>
  </si>
  <si>
    <t>قهوه 750 گرمی با فاکتور و بسته بندی جدا ارسال شود.</t>
  </si>
  <si>
    <t>محمدحسن</t>
  </si>
  <si>
    <t>خیابان امیرکبیر-خیابان ملت-کوچه ملت-پاساژ ملت-طبقه همکف - پلاک4</t>
  </si>
  <si>
    <t>مصطفی</t>
  </si>
  <si>
    <t>موحدی فر</t>
  </si>
  <si>
    <t>قهوه و کیک سایه</t>
  </si>
  <si>
    <t>رشت</t>
  </si>
  <si>
    <t>بلوار ديلمان، نبش بلوار امام علي</t>
  </si>
  <si>
    <t>09116041874</t>
  </si>
  <si>
    <t>نیاوران،خیابان عمار،نرسیده به سه راه یاسر، پلاک ۲۴</t>
  </si>
  <si>
    <t>سحر</t>
  </si>
  <si>
    <t>مقدم</t>
  </si>
  <si>
    <t>کافه میان</t>
  </si>
  <si>
    <t>سالاریه خیابان اقاقیا . اقاقیا ۳ . پلاک ۸۰</t>
  </si>
  <si>
    <t>09382302562</t>
  </si>
  <si>
    <t>وحیدی منفرد</t>
  </si>
  <si>
    <t>ابتداي سالاريه ، بلوار گلزاري ، خيابان نواب صفوي ، پلاك ٢٩٠</t>
  </si>
  <si>
    <t>09127177325</t>
  </si>
  <si>
    <t>دادگر</t>
  </si>
  <si>
    <t>میدان المپیک،خیابان بیست و پنجم(جنب پمپ بنزین) نبش کوچه حسینی پلاک ۸ ساختمان امپریال طبقه ۲ واحد ۵</t>
  </si>
  <si>
    <t>09120344066</t>
  </si>
  <si>
    <t>عزمی</t>
  </si>
  <si>
    <t>خیابان کوثر شمالی 1 پلاک 44</t>
  </si>
  <si>
    <t>09366149833</t>
  </si>
  <si>
    <t>یکشنبه 10 تیر 1403</t>
  </si>
  <si>
    <t>خیابات ادیب، کوچه پاییز، کوچه میخک، ساختمان مهر، واحد ۳</t>
  </si>
  <si>
    <t>09026667236</t>
  </si>
  <si>
    <t>وحید</t>
  </si>
  <si>
    <t>قضوهی</t>
  </si>
  <si>
    <t>میدان بسیج سایت اداری شرکت توزیع نیروی برق</t>
  </si>
  <si>
    <t>09113755878</t>
  </si>
  <si>
    <t>عطیه</t>
  </si>
  <si>
    <t>هجری</t>
  </si>
  <si>
    <t>ملاصدرا، شیخ بهایی شمالی، نبش بن بست مهران، شرکت لوتوس پارسیان</t>
  </si>
  <si>
    <t>09363259118</t>
  </si>
  <si>
    <t>ارسال شنبه تا چهارشنبه قبل از ساعت 16</t>
  </si>
  <si>
    <t>نیکخواه</t>
  </si>
  <si>
    <t>قهوه سام</t>
  </si>
  <si>
    <t>شریعتی بالاتر از دوراهی قلهک قبل از یخچال پلاک ۱۴۳۵</t>
  </si>
  <si>
    <t>09104208052</t>
  </si>
  <si>
    <t>صفا</t>
  </si>
  <si>
    <t>رفیع نژاد</t>
  </si>
  <si>
    <t>سعادت اباد سرو شرقی خیابان مروارید پنجم شرقی پ44</t>
  </si>
  <si>
    <t>09128759919</t>
  </si>
  <si>
    <t>ستارخان، بین فلکه اول و دوم صادقیه، پاساژ زرناب، طبقه اول واحد ۱۱۸</t>
  </si>
  <si>
    <t>09918746745</t>
  </si>
  <si>
    <t>حشمت</t>
  </si>
  <si>
    <t>انتهای کارگر شمالی- خیابان نوزدهم- پلاک ۵۹(بین والفجر ۲ و جانبازان) واحد۴( زنگ خراب است تماس بگیرید)</t>
  </si>
  <si>
    <t>09905544965</t>
  </si>
  <si>
    <t>آسیاب اسپرسو صنعتی</t>
  </si>
  <si>
    <t>کافه رستوران هلوشف</t>
  </si>
  <si>
    <t>زعفرانيه، سه راه آصف، نبش رامكوه</t>
  </si>
  <si>
    <t>فربد</t>
  </si>
  <si>
    <t>مولوی</t>
  </si>
  <si>
    <t>خیابان احمدآباد-بابک۶، پلاک۲۱،طبقه۳</t>
  </si>
  <si>
    <t>09154712339</t>
  </si>
  <si>
    <t>جمالی</t>
  </si>
  <si>
    <t>تهرانپارس-خ دماوند-بعد از تعمیرگاه سایپا مرکزی - کوچه کیمیداروی شرقی-ساختمان سبلان-پ90/73</t>
  </si>
  <si>
    <t>09384396463</t>
  </si>
  <si>
    <t>خیابان بهارشیراز، خیابان خداپرست، نبش لاچینی، پلاک ۵۳, واحد ۳</t>
  </si>
  <si>
    <t>09197819878</t>
  </si>
  <si>
    <t>ادامه سفارش کافه آرمه</t>
  </si>
  <si>
    <t>سعادتی</t>
  </si>
  <si>
    <t>کافه نیروانا</t>
  </si>
  <si>
    <t>اراضی مصلی خیابان هقتم پلاک 114</t>
  </si>
  <si>
    <t>09123413312</t>
  </si>
  <si>
    <t>صهبا</t>
  </si>
  <si>
    <t>قدوسی</t>
  </si>
  <si>
    <t>کافه لیبرو</t>
  </si>
  <si>
    <t>یزد</t>
  </si>
  <si>
    <t>صفاییه.خیابان ارشاد اسلامی</t>
  </si>
  <si>
    <t>09123622234</t>
  </si>
  <si>
    <t>یعقوبی ثانی</t>
  </si>
  <si>
    <t>سرد دم</t>
  </si>
  <si>
    <t>ونک - خ عطار - نرسیده به میدان عطار - ساختمان پروین اعتصامی (پلاک26 - همراه اول)</t>
  </si>
  <si>
    <t>09936007969</t>
  </si>
  <si>
    <t>پورسیدی</t>
  </si>
  <si>
    <t>سعادت آباد میدان فرهنگ بلوار فرهنگ خیابان ۱۶ شرقی پلاک ۱۸ واحد ۳۰۴</t>
  </si>
  <si>
    <t>09121228264</t>
  </si>
  <si>
    <t>سید علی</t>
  </si>
  <si>
    <t>جزایری</t>
  </si>
  <si>
    <t>خیابان قیطریه شمالی، خیابان خراسانی، پلاک5 (شرکت ناموران)، داخلی 1454</t>
  </si>
  <si>
    <t>09120766288</t>
  </si>
  <si>
    <t>کافه ویوولانژ</t>
  </si>
  <si>
    <t>شهریار</t>
  </si>
  <si>
    <t>اندیشه - فاز ۳ - بلوار آزادی - مجتمع تجاری اداری نگارستان - بلوک B - طبقه همکف - پلاک ۴۷ - فروشگاه نو - خاتمی 09123642655</t>
  </si>
  <si>
    <t>مخلص آبادی فراهانی</t>
  </si>
  <si>
    <t>20 متری زاد . کوچه 16 . چهار راه اول سمت راست . کوچه شاهمرادی . پلاک 37</t>
  </si>
  <si>
    <t>09361210271</t>
  </si>
  <si>
    <t>آیت</t>
  </si>
  <si>
    <t>کرامتی</t>
  </si>
  <si>
    <t>کافه آیت</t>
  </si>
  <si>
    <t>نبش عدالت 99</t>
  </si>
  <si>
    <t>09126198286</t>
  </si>
  <si>
    <t>معصومه</t>
  </si>
  <si>
    <t>ماشین چیان</t>
  </si>
  <si>
    <t>فرمانیه- دیباجی شمالی- خیابان یاسمن-خیابان کاشانک_خیابان نسرین_پلاک۳۶-واحد۳</t>
  </si>
  <si>
    <t>09123868938</t>
  </si>
  <si>
    <t>پدرام</t>
  </si>
  <si>
    <t>داودی</t>
  </si>
  <si>
    <t>کافه دم</t>
  </si>
  <si>
    <t>خیابان انقلاب - انقلاب هفتم</t>
  </si>
  <si>
    <t>09378872147</t>
  </si>
  <si>
    <t>پذیرش</t>
  </si>
  <si>
    <t>کافه مات</t>
  </si>
  <si>
    <t>بابل</t>
  </si>
  <si>
    <t>خیابان شهید بهشتی رو به روی استخر ضرابپوری</t>
  </si>
  <si>
    <t>09359352464</t>
  </si>
  <si>
    <t>دوشنبه 11 تیر 1403</t>
  </si>
  <si>
    <t>کافه بُن سین</t>
  </si>
  <si>
    <t>کوچمشکی 14متری قایم روبروی باشگاه کشتی پلاک 89</t>
  </si>
  <si>
    <t>09918832876</t>
  </si>
  <si>
    <t>آتش بیک</t>
  </si>
  <si>
    <t>بجنورد</t>
  </si>
  <si>
    <t>خیابان فردوسی، خیابان جمهوری هفده. پلاک ده. زنگ دوم(وسط)</t>
  </si>
  <si>
    <t>09357271386</t>
  </si>
  <si>
    <t>امیررضا</t>
  </si>
  <si>
    <t>راثی</t>
  </si>
  <si>
    <t>خیابان درستکار روبروی رستوران اکبر جوجه غذای اماده قابلمه</t>
  </si>
  <si>
    <t>09055892501</t>
  </si>
  <si>
    <t>بغدادی</t>
  </si>
  <si>
    <t>کافه وال</t>
  </si>
  <si>
    <t>هشتگرد</t>
  </si>
  <si>
    <t>خیابان خویینی ها</t>
  </si>
  <si>
    <t>09918942439</t>
  </si>
  <si>
    <t>گلناز</t>
  </si>
  <si>
    <t>فیاضی</t>
  </si>
  <si>
    <t>خیابان فاطمی، خیابان شیخلر، کوچه بنفشه، پلاک هشت، نشر قطره</t>
  </si>
  <si>
    <t>09128435589</t>
  </si>
  <si>
    <t>امیربهادر</t>
  </si>
  <si>
    <t>توکلی</t>
  </si>
  <si>
    <t>پاسداران / انتهای بوستان دوم / خ افشاری / بن بست گلگون / پلاک ۸ / واحد ۱۱۱</t>
  </si>
  <si>
    <t>09128121909</t>
  </si>
  <si>
    <t>بهاره</t>
  </si>
  <si>
    <t>اخوان</t>
  </si>
  <si>
    <t>09197481299</t>
  </si>
  <si>
    <t>بلوار فردوس غرب، خیابان بهار شمالی، خیابان هلال احمر، پلاک 5، برج آریانا پارک، واحد 328</t>
  </si>
  <si>
    <t>کیمیایی</t>
  </si>
  <si>
    <t>امانیه، خیابان ولی‌عصر، کوچه مهناز، پلاک ۸</t>
  </si>
  <si>
    <t>09203176712</t>
  </si>
  <si>
    <t>اسحقی</t>
  </si>
  <si>
    <t>کافه آفریقا</t>
  </si>
  <si>
    <t>خیابان بوستان نرسیده به استخر شین</t>
  </si>
  <si>
    <t>09010145254</t>
  </si>
  <si>
    <t>صابر</t>
  </si>
  <si>
    <t>کیماز</t>
  </si>
  <si>
    <t>کافه کوپیدو</t>
  </si>
  <si>
    <t>گوهردشت- خیابان هشتم شرقی-فاز یک -پلاک 40</t>
  </si>
  <si>
    <t>09125615277</t>
  </si>
  <si>
    <t>فراهانی</t>
  </si>
  <si>
    <t>کافه بلسینکی</t>
  </si>
  <si>
    <t>خیابان کریمخان - نبش خیابان ماهشهر</t>
  </si>
  <si>
    <t>09120274651</t>
  </si>
  <si>
    <t>فرشاد</t>
  </si>
  <si>
    <t>مقدسی</t>
  </si>
  <si>
    <t>پاسداران سه راه ضرابخانه ،سروستان ۵، کوچه اول، پلاک ۱ ،واحد ۳</t>
  </si>
  <si>
    <t>09147894009</t>
  </si>
  <si>
    <t>الهام</t>
  </si>
  <si>
    <t>انتهای اشرفی اصفهانی - کوچه سعدی - پلاک 2 - طبقه 4</t>
  </si>
  <si>
    <t>09357133593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</si>
</sst>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* #,##0_-;_-* #,##0\-;_-* &quot;-&quot;??_-;_-@_-"/>
    <numFmt numFmtId="165" formatCode="[$-960429]dddd\,\ d\ mmmm\ yyyy;@"/>
    <numFmt numFmtId="166" formatCode="_-&quot;$&quot;\ * #,##0_-;_-&quot;$&quot;\ * #,##0\-;_-&quot;$&quot;\ * &quot;-&quot;??_-;_-@_-"/>
    <numFmt numFmtId="167" formatCode="0.000"/>
  </numFmts>
  <fonts count="1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7" tint="0.59999389629810485"/>
      <name val="IBM Plex Sans Arabic"/>
      <family val="2"/>
    </font>
    <font>
      <b/>
      <sz val="26"/>
      <color theme="1"/>
      <name val="XXAAVV Demo011 Extra Bold"/>
      <family val="2"/>
      <charset val="178"/>
    </font>
    <font>
      <b/>
      <sz val="14"/>
      <color theme="1"/>
      <name val="IBM Plex Sans Arabic"/>
      <family val="2"/>
    </font>
    <font>
      <b/>
      <sz val="14"/>
      <color theme="7" tint="0.59999389629810485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4"/>
      <color rgb="FFC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9" tint="0.39997558519241921"/>
      <name val="Calibri"/>
      <family val="2"/>
      <scheme val="minor"/>
    </font>
    <font>
      <b/>
      <sz val="14"/>
      <color theme="8" tint="0.39997558519241921"/>
      <name val="Calibri"/>
      <family val="2"/>
      <scheme val="minor"/>
    </font>
    <font>
      <b/>
      <sz val="14"/>
      <color theme="7" tint="0.3999755851924192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2"/>
      <color theme="5" tint="-0.249977111117893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2"/>
      <color rgb="FFC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C0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34">
    <xf numFmtId="0" fontId="0" fillId="0" borderId="0" xfId="0"/>
    <xf numFmtId="0" fontId="3" fillId="0" borderId="3" xfId="0" applyFont="1" applyBorder="1" applyAlignment="1">
      <alignment horizontal="center"/>
    </xf>
    <xf numFmtId="164" fontId="3" fillId="0" borderId="3" xfId="1" applyNumberFormat="1" applyFont="1" applyFill="1" applyBorder="1" applyAlignment="1">
      <alignment horizontal="center"/>
    </xf>
    <xf numFmtId="0" fontId="3" fillId="0" borderId="3" xfId="0" applyFont="1" applyBorder="1" applyAlignment="1">
      <alignment horizontal="center" wrapText="1"/>
    </xf>
    <xf numFmtId="2" fontId="3" fillId="0" borderId="3" xfId="0" applyNumberFormat="1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3" borderId="3" xfId="0" applyFont="1" applyFill="1" applyBorder="1" applyAlignment="1">
      <alignment horizont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0" borderId="3" xfId="0" applyFont="1" applyBorder="1" applyAlignment="1" applyProtection="1">
      <alignment horizontal="center" vertical="center"/>
      <protection locked="0"/>
    </xf>
    <xf numFmtId="1" fontId="7" fillId="0" borderId="3" xfId="0" applyNumberFormat="1" applyFont="1" applyBorder="1" applyAlignment="1" applyProtection="1">
      <alignment horizontal="center" vertical="center"/>
      <protection locked="0"/>
    </xf>
    <xf numFmtId="165" fontId="7" fillId="0" borderId="3" xfId="0" applyNumberFormat="1" applyFont="1" applyBorder="1" applyAlignment="1" applyProtection="1">
      <alignment horizontal="center" vertical="center"/>
      <protection locked="0"/>
    </xf>
    <xf numFmtId="0" fontId="7" fillId="0" borderId="3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 wrapText="1"/>
    </xf>
    <xf numFmtId="164" fontId="7" fillId="0" borderId="3" xfId="1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 applyProtection="1">
      <alignment horizontal="center" vertical="center"/>
      <protection locked="0"/>
    </xf>
    <xf numFmtId="0" fontId="7" fillId="4" borderId="2" xfId="0" applyFont="1" applyFill="1" applyBorder="1" applyAlignment="1">
      <alignment horizontal="center" vertical="center"/>
    </xf>
    <xf numFmtId="164" fontId="7" fillId="0" borderId="3" xfId="1" applyNumberFormat="1" applyFont="1" applyFill="1" applyBorder="1" applyAlignment="1" applyProtection="1">
      <alignment horizontal="center" vertical="center"/>
      <protection locked="0"/>
    </xf>
    <xf numFmtId="166" fontId="7" fillId="0" borderId="3" xfId="2" applyNumberFormat="1" applyFont="1" applyFill="1" applyBorder="1" applyAlignment="1">
      <alignment horizontal="center" vertical="center"/>
    </xf>
    <xf numFmtId="49" fontId="7" fillId="0" borderId="3" xfId="0" applyNumberFormat="1" applyFont="1" applyBorder="1" applyAlignment="1">
      <alignment horizontal="center" vertical="center"/>
    </xf>
    <xf numFmtId="0" fontId="9" fillId="0" borderId="3" xfId="0" applyFont="1" applyBorder="1" applyAlignment="1" applyProtection="1">
      <alignment horizontal="center" vertical="center"/>
      <protection locked="0"/>
    </xf>
    <xf numFmtId="49" fontId="7" fillId="0" borderId="3" xfId="0" applyNumberFormat="1" applyFont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0" borderId="5" xfId="0" applyFont="1" applyBorder="1" applyAlignment="1" applyProtection="1">
      <alignment horizontal="center" vertical="center"/>
      <protection locked="0"/>
    </xf>
    <xf numFmtId="0" fontId="8" fillId="4" borderId="1" xfId="0" applyFont="1" applyFill="1" applyBorder="1" applyAlignment="1" applyProtection="1">
      <alignment horizontal="center" vertical="center"/>
      <protection locked="0"/>
    </xf>
    <xf numFmtId="0" fontId="7" fillId="0" borderId="5" xfId="0" applyFont="1" applyBorder="1" applyAlignment="1">
      <alignment horizontal="center" vertical="center"/>
    </xf>
    <xf numFmtId="1" fontId="6" fillId="0" borderId="0" xfId="0" applyNumberFormat="1" applyFont="1" applyAlignment="1">
      <alignment horizontal="center" vertical="center"/>
    </xf>
    <xf numFmtId="164" fontId="6" fillId="0" borderId="0" xfId="1" applyNumberFormat="1" applyFont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9" fontId="6" fillId="0" borderId="3" xfId="0" applyNumberFormat="1" applyFont="1" applyBorder="1" applyAlignment="1">
      <alignment horizontal="center" vertical="center"/>
    </xf>
    <xf numFmtId="164" fontId="10" fillId="0" borderId="3" xfId="1" applyNumberFormat="1" applyFont="1" applyBorder="1" applyAlignment="1">
      <alignment horizontal="center" vertical="center"/>
    </xf>
    <xf numFmtId="164" fontId="6" fillId="0" borderId="1" xfId="1" applyNumberFormat="1" applyFont="1" applyBorder="1" applyAlignment="1">
      <alignment horizontal="center" vertical="center"/>
    </xf>
    <xf numFmtId="164" fontId="6" fillId="0" borderId="2" xfId="1" applyNumberFormat="1" applyFont="1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49" fontId="6" fillId="5" borderId="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167" fontId="6" fillId="5" borderId="3" xfId="0" applyNumberFormat="1" applyFont="1" applyFill="1" applyBorder="1" applyAlignment="1">
      <alignment horizontal="center" vertical="center"/>
    </xf>
    <xf numFmtId="1" fontId="6" fillId="5" borderId="3" xfId="0" applyNumberFormat="1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49" fontId="6" fillId="6" borderId="3" xfId="0" applyNumberFormat="1" applyFont="1" applyFill="1" applyBorder="1" applyAlignment="1">
      <alignment horizontal="center" vertical="center"/>
    </xf>
    <xf numFmtId="0" fontId="10" fillId="6" borderId="3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12" fillId="6" borderId="2" xfId="0" applyFont="1" applyFill="1" applyBorder="1" applyAlignment="1">
      <alignment horizontal="center" vertical="center"/>
    </xf>
    <xf numFmtId="167" fontId="6" fillId="6" borderId="3" xfId="0" applyNumberFormat="1" applyFont="1" applyFill="1" applyBorder="1" applyAlignment="1">
      <alignment horizontal="center" vertical="center"/>
    </xf>
    <xf numFmtId="1" fontId="6" fillId="6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49" fontId="6" fillId="2" borderId="3" xfId="0" applyNumberFormat="1" applyFont="1" applyFill="1" applyBorder="1" applyAlignment="1">
      <alignment horizontal="center" vertical="center"/>
    </xf>
    <xf numFmtId="0" fontId="10" fillId="2" borderId="3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167" fontId="6" fillId="2" borderId="3" xfId="0" applyNumberFormat="1" applyFont="1" applyFill="1" applyBorder="1" applyAlignment="1">
      <alignment horizontal="center" vertical="center"/>
    </xf>
    <xf numFmtId="1" fontId="6" fillId="2" borderId="3" xfId="0" applyNumberFormat="1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49" fontId="6" fillId="3" borderId="3" xfId="0" applyNumberFormat="1" applyFont="1" applyFill="1" applyBorder="1" applyAlignment="1">
      <alignment horizontal="center" vertical="center"/>
    </xf>
    <xf numFmtId="0" fontId="10" fillId="3" borderId="3" xfId="0" applyFont="1" applyFill="1" applyBorder="1" applyAlignment="1">
      <alignment horizontal="center" vertical="center"/>
    </xf>
    <xf numFmtId="167" fontId="6" fillId="3" borderId="3" xfId="0" applyNumberFormat="1" applyFont="1" applyFill="1" applyBorder="1" applyAlignment="1">
      <alignment horizontal="center" vertical="center"/>
    </xf>
    <xf numFmtId="1" fontId="6" fillId="3" borderId="3" xfId="0" applyNumberFormat="1" applyFont="1" applyFill="1" applyBorder="1" applyAlignment="1">
      <alignment horizontal="center" vertical="center"/>
    </xf>
    <xf numFmtId="0" fontId="7" fillId="7" borderId="3" xfId="0" applyFont="1" applyFill="1" applyBorder="1" applyAlignment="1" applyProtection="1">
      <alignment horizontal="center" vertical="center"/>
      <protection locked="0"/>
    </xf>
    <xf numFmtId="1" fontId="7" fillId="7" borderId="3" xfId="0" applyNumberFormat="1" applyFont="1" applyFill="1" applyBorder="1" applyAlignment="1" applyProtection="1">
      <alignment horizontal="center" vertical="center"/>
      <protection locked="0"/>
    </xf>
    <xf numFmtId="49" fontId="7" fillId="2" borderId="3" xfId="0" applyNumberFormat="1" applyFont="1" applyFill="1" applyBorder="1" applyAlignment="1">
      <alignment horizontal="center" vertical="center"/>
    </xf>
    <xf numFmtId="0" fontId="7" fillId="8" borderId="3" xfId="0" applyFont="1" applyFill="1" applyBorder="1" applyAlignment="1">
      <alignment horizontal="center" vertical="center" wrapText="1"/>
    </xf>
    <xf numFmtId="49" fontId="14" fillId="2" borderId="3" xfId="0" applyNumberFormat="1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 readingOrder="2"/>
    </xf>
    <xf numFmtId="0" fontId="7" fillId="9" borderId="3" xfId="0" applyFont="1" applyFill="1" applyBorder="1" applyAlignment="1" applyProtection="1">
      <alignment horizontal="center" vertical="center"/>
      <protection locked="0"/>
    </xf>
    <xf numFmtId="0" fontId="7" fillId="9" borderId="3" xfId="0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/>
    </xf>
    <xf numFmtId="164" fontId="7" fillId="9" borderId="3" xfId="1" applyNumberFormat="1" applyFont="1" applyFill="1" applyBorder="1" applyAlignment="1">
      <alignment horizontal="center" vertical="center"/>
    </xf>
    <xf numFmtId="0" fontId="8" fillId="9" borderId="4" xfId="0" applyFont="1" applyFill="1" applyBorder="1" applyAlignment="1" applyProtection="1">
      <alignment horizontal="center" vertical="center"/>
      <protection locked="0"/>
    </xf>
    <xf numFmtId="0" fontId="7" fillId="9" borderId="2" xfId="0" applyFont="1" applyFill="1" applyBorder="1" applyAlignment="1">
      <alignment horizontal="center" vertical="center"/>
    </xf>
    <xf numFmtId="164" fontId="7" fillId="9" borderId="3" xfId="1" applyNumberFormat="1" applyFont="1" applyFill="1" applyBorder="1" applyAlignment="1" applyProtection="1">
      <alignment horizontal="center" vertical="center"/>
      <protection locked="0"/>
    </xf>
    <xf numFmtId="0" fontId="15" fillId="2" borderId="0" xfId="0" applyFont="1" applyFill="1" applyAlignment="1">
      <alignment horizontal="center" vertical="center"/>
    </xf>
    <xf numFmtId="165" fontId="15" fillId="0" borderId="3" xfId="0" applyNumberFormat="1" applyFont="1" applyBorder="1" applyAlignment="1" applyProtection="1">
      <alignment horizontal="center" vertical="center"/>
      <protection locked="0"/>
    </xf>
    <xf numFmtId="0" fontId="15" fillId="0" borderId="3" xfId="0" applyFont="1" applyBorder="1" applyAlignment="1" applyProtection="1">
      <alignment horizontal="center" vertical="center"/>
      <protection locked="0"/>
    </xf>
    <xf numFmtId="0" fontId="15" fillId="0" borderId="3" xfId="0" applyFont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/>
    </xf>
    <xf numFmtId="164" fontId="15" fillId="0" borderId="3" xfId="1" applyNumberFormat="1" applyFont="1" applyFill="1" applyBorder="1" applyAlignment="1">
      <alignment horizontal="center" vertical="center"/>
    </xf>
    <xf numFmtId="0" fontId="15" fillId="4" borderId="1" xfId="0" applyFont="1" applyFill="1" applyBorder="1" applyAlignment="1" applyProtection="1">
      <alignment horizontal="center" vertical="center"/>
      <protection locked="0"/>
    </xf>
    <xf numFmtId="0" fontId="15" fillId="4" borderId="2" xfId="0" applyFont="1" applyFill="1" applyBorder="1" applyAlignment="1">
      <alignment horizontal="center" vertical="center"/>
    </xf>
    <xf numFmtId="164" fontId="15" fillId="0" borderId="3" xfId="1" applyNumberFormat="1" applyFont="1" applyFill="1" applyBorder="1" applyAlignment="1" applyProtection="1">
      <alignment horizontal="center" vertical="center"/>
      <protection locked="0"/>
    </xf>
    <xf numFmtId="49" fontId="15" fillId="0" borderId="3" xfId="0" applyNumberFormat="1" applyFont="1" applyBorder="1" applyAlignment="1" applyProtection="1">
      <alignment horizontal="center" vertical="center"/>
      <protection locked="0"/>
    </xf>
    <xf numFmtId="0" fontId="15" fillId="0" borderId="0" xfId="0" applyFont="1" applyAlignment="1">
      <alignment horizontal="center" vertical="center"/>
    </xf>
    <xf numFmtId="0" fontId="16" fillId="0" borderId="3" xfId="0" applyFont="1" applyBorder="1" applyAlignment="1">
      <alignment horizontal="center" vertical="center"/>
    </xf>
    <xf numFmtId="0" fontId="15" fillId="4" borderId="4" xfId="0" applyFont="1" applyFill="1" applyBorder="1" applyAlignment="1" applyProtection="1">
      <alignment horizontal="center" vertical="center"/>
      <protection locked="0"/>
    </xf>
    <xf numFmtId="0" fontId="14" fillId="2" borderId="0" xfId="0" applyFont="1" applyFill="1" applyAlignment="1">
      <alignment horizontal="center" vertical="center"/>
    </xf>
    <xf numFmtId="0" fontId="14" fillId="0" borderId="3" xfId="0" applyFont="1" applyBorder="1" applyAlignment="1" applyProtection="1">
      <alignment horizontal="center" vertical="center"/>
      <protection locked="0"/>
    </xf>
    <xf numFmtId="1" fontId="14" fillId="0" borderId="3" xfId="0" applyNumberFormat="1" applyFont="1" applyBorder="1" applyAlignment="1" applyProtection="1">
      <alignment horizontal="center" vertical="center"/>
      <protection locked="0"/>
    </xf>
    <xf numFmtId="165" fontId="14" fillId="0" borderId="3" xfId="0" applyNumberFormat="1" applyFont="1" applyBorder="1" applyAlignment="1" applyProtection="1">
      <alignment horizontal="center" vertical="center"/>
      <protection locked="0"/>
    </xf>
    <xf numFmtId="0" fontId="14" fillId="0" borderId="3" xfId="0" applyFont="1" applyBorder="1" applyAlignment="1">
      <alignment horizontal="center" vertical="center"/>
    </xf>
    <xf numFmtId="0" fontId="14" fillId="0" borderId="3" xfId="0" applyFont="1" applyBorder="1" applyAlignment="1">
      <alignment horizontal="center" vertical="center" wrapText="1"/>
    </xf>
    <xf numFmtId="164" fontId="14" fillId="0" borderId="3" xfId="1" applyNumberFormat="1" applyFont="1" applyFill="1" applyBorder="1" applyAlignment="1">
      <alignment horizontal="center" vertical="center"/>
    </xf>
    <xf numFmtId="0" fontId="14" fillId="4" borderId="4" xfId="0" applyFont="1" applyFill="1" applyBorder="1" applyAlignment="1" applyProtection="1">
      <alignment horizontal="center" vertical="center"/>
      <protection locked="0"/>
    </xf>
    <xf numFmtId="0" fontId="14" fillId="4" borderId="2" xfId="0" applyFont="1" applyFill="1" applyBorder="1" applyAlignment="1">
      <alignment horizontal="center" vertical="center"/>
    </xf>
    <xf numFmtId="164" fontId="14" fillId="0" borderId="3" xfId="1" applyNumberFormat="1" applyFont="1" applyFill="1" applyBorder="1" applyAlignment="1" applyProtection="1">
      <alignment horizontal="center" vertical="center"/>
      <protection locked="0"/>
    </xf>
    <xf numFmtId="166" fontId="14" fillId="0" borderId="3" xfId="2" applyNumberFormat="1" applyFont="1" applyFill="1" applyBorder="1" applyAlignment="1">
      <alignment horizontal="center" vertical="center"/>
    </xf>
    <xf numFmtId="49" fontId="14" fillId="0" borderId="3" xfId="0" applyNumberFormat="1" applyFont="1" applyBorder="1" applyAlignment="1">
      <alignment horizontal="center" vertical="center"/>
    </xf>
    <xf numFmtId="49" fontId="14" fillId="0" borderId="3" xfId="0" applyNumberFormat="1" applyFont="1" applyBorder="1" applyAlignment="1" applyProtection="1">
      <alignment horizontal="center" vertical="center"/>
      <protection locked="0"/>
    </xf>
    <xf numFmtId="0" fontId="14" fillId="0" borderId="0" xfId="0" applyFont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0" fontId="7" fillId="10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/>
    </xf>
    <xf numFmtId="164" fontId="7" fillId="10" borderId="3" xfId="1" applyNumberFormat="1" applyFont="1" applyFill="1" applyBorder="1" applyAlignment="1">
      <alignment horizontal="center" vertical="center"/>
    </xf>
    <xf numFmtId="0" fontId="8" fillId="10" borderId="4" xfId="0" applyFont="1" applyFill="1" applyBorder="1" applyAlignment="1" applyProtection="1">
      <alignment horizontal="center" vertical="center"/>
      <protection locked="0"/>
    </xf>
    <xf numFmtId="0" fontId="7" fillId="10" borderId="2" xfId="0" applyFont="1" applyFill="1" applyBorder="1" applyAlignment="1">
      <alignment horizontal="center" vertical="center"/>
    </xf>
    <xf numFmtId="164" fontId="7" fillId="10" borderId="3" xfId="1" applyNumberFormat="1" applyFont="1" applyFill="1" applyBorder="1" applyAlignment="1" applyProtection="1">
      <alignment horizontal="center" vertical="center"/>
      <protection locked="0"/>
    </xf>
    <xf numFmtId="0" fontId="7" fillId="7" borderId="5" xfId="0" applyFont="1" applyFill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0" fontId="9" fillId="2" borderId="0" xfId="0" applyFont="1" applyFill="1" applyAlignment="1">
      <alignment horizontal="center" vertical="center"/>
    </xf>
    <xf numFmtId="1" fontId="9" fillId="0" borderId="3" xfId="0" applyNumberFormat="1" applyFont="1" applyBorder="1" applyAlignment="1" applyProtection="1">
      <alignment horizontal="center" vertical="center"/>
      <protection locked="0"/>
    </xf>
    <xf numFmtId="165" fontId="9" fillId="0" borderId="3" xfId="0" applyNumberFormat="1" applyFont="1" applyBorder="1" applyAlignment="1" applyProtection="1">
      <alignment horizontal="center" vertical="center"/>
      <protection locked="0"/>
    </xf>
    <xf numFmtId="0" fontId="9" fillId="0" borderId="3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 wrapText="1"/>
    </xf>
    <xf numFmtId="164" fontId="9" fillId="0" borderId="3" xfId="1" applyNumberFormat="1" applyFont="1" applyFill="1" applyBorder="1" applyAlignment="1">
      <alignment horizontal="center" vertical="center"/>
    </xf>
    <xf numFmtId="0" fontId="9" fillId="4" borderId="4" xfId="0" applyFont="1" applyFill="1" applyBorder="1" applyAlignment="1" applyProtection="1">
      <alignment horizontal="center" vertical="center"/>
      <protection locked="0"/>
    </xf>
    <xf numFmtId="0" fontId="9" fillId="4" borderId="2" xfId="0" applyFont="1" applyFill="1" applyBorder="1" applyAlignment="1">
      <alignment horizontal="center" vertical="center"/>
    </xf>
    <xf numFmtId="164" fontId="9" fillId="0" borderId="3" xfId="1" applyNumberFormat="1" applyFont="1" applyFill="1" applyBorder="1" applyAlignment="1" applyProtection="1">
      <alignment horizontal="center" vertical="center"/>
      <protection locked="0"/>
    </xf>
    <xf numFmtId="49" fontId="9" fillId="0" borderId="3" xfId="0" applyNumberFormat="1" applyFont="1" applyBorder="1" applyAlignment="1" applyProtection="1">
      <alignment horizontal="center" vertical="center"/>
      <protection locked="0"/>
    </xf>
    <xf numFmtId="0" fontId="18" fillId="0" borderId="3" xfId="0" applyFont="1" applyBorder="1" applyAlignment="1">
      <alignment horizontal="center" vertical="center"/>
    </xf>
    <xf numFmtId="0" fontId="9" fillId="8" borderId="3" xfId="0" applyFont="1" applyFill="1" applyBorder="1" applyAlignment="1">
      <alignment horizontal="center" vertical="center" wrapText="1"/>
    </xf>
    <xf numFmtId="166" fontId="9" fillId="0" borderId="3" xfId="2" applyNumberFormat="1" applyFont="1" applyFill="1" applyBorder="1" applyAlignment="1">
      <alignment horizontal="center" vertical="center"/>
    </xf>
    <xf numFmtId="49" fontId="9" fillId="0" borderId="3" xfId="0" applyNumberFormat="1" applyFont="1" applyBorder="1" applyAlignment="1">
      <alignment horizontal="center" vertical="center"/>
    </xf>
    <xf numFmtId="1" fontId="7" fillId="0" borderId="7" xfId="0" applyNumberFormat="1" applyFont="1" applyBorder="1" applyAlignment="1" applyProtection="1">
      <alignment horizontal="center" vertical="center"/>
      <protection locked="0"/>
    </xf>
    <xf numFmtId="1" fontId="7" fillId="0" borderId="5" xfId="0" applyNumberFormat="1" applyFont="1" applyBorder="1" applyAlignment="1" applyProtection="1">
      <alignment horizontal="center" vertical="center"/>
      <protection locked="0"/>
    </xf>
    <xf numFmtId="0" fontId="7" fillId="0" borderId="7" xfId="0" applyFont="1" applyBorder="1" applyAlignment="1" applyProtection="1">
      <alignment horizontal="center" vertic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0" fontId="9" fillId="0" borderId="7" xfId="0" applyFont="1" applyBorder="1" applyAlignment="1" applyProtection="1">
      <alignment horizontal="center" vertical="center"/>
      <protection locked="0"/>
    </xf>
    <xf numFmtId="0" fontId="9" fillId="0" borderId="5" xfId="0" applyFont="1" applyBorder="1" applyAlignment="1" applyProtection="1">
      <alignment horizontal="center" vertical="center"/>
      <protection locked="0"/>
    </xf>
    <xf numFmtId="49" fontId="7" fillId="0" borderId="7" xfId="0" applyNumberFormat="1" applyFont="1" applyBorder="1" applyAlignment="1">
      <alignment horizontal="center" vertical="center"/>
    </xf>
    <xf numFmtId="49" fontId="7" fillId="0" borderId="5" xfId="0" applyNumberFormat="1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66" fontId="7" fillId="0" borderId="7" xfId="2" applyNumberFormat="1" applyFont="1" applyFill="1" applyBorder="1" applyAlignment="1">
      <alignment horizontal="center" vertical="center"/>
    </xf>
    <xf numFmtId="166" fontId="7" fillId="0" borderId="5" xfId="2" applyNumberFormat="1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8" xfId="0" applyFont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9" fillId="0" borderId="8" xfId="0" applyFont="1" applyBorder="1" applyAlignment="1" applyProtection="1">
      <alignment horizontal="center" vertical="center"/>
      <protection locked="0"/>
    </xf>
    <xf numFmtId="49" fontId="7" fillId="0" borderId="8" xfId="0" applyNumberFormat="1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166" fontId="7" fillId="0" borderId="8" xfId="2" applyNumberFormat="1" applyFont="1" applyFill="1" applyBorder="1" applyAlignment="1">
      <alignment horizontal="center" vertical="center"/>
    </xf>
    <xf numFmtId="1" fontId="7" fillId="0" borderId="8" xfId="0" applyNumberFormat="1" applyFont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7" fillId="7" borderId="7" xfId="0" applyFont="1" applyFill="1" applyBorder="1" applyAlignment="1" applyProtection="1">
      <alignment horizontal="center" vertical="center"/>
      <protection locked="0"/>
    </xf>
    <xf numFmtId="0" fontId="7" fillId="7" borderId="5" xfId="0" applyFont="1" applyFill="1" applyBorder="1" applyAlignment="1" applyProtection="1">
      <alignment horizontal="center" vertical="center"/>
      <protection locked="0"/>
    </xf>
    <xf numFmtId="1" fontId="7" fillId="7" borderId="7" xfId="0" applyNumberFormat="1" applyFont="1" applyFill="1" applyBorder="1" applyAlignment="1" applyProtection="1">
      <alignment horizontal="center" vertical="center"/>
      <protection locked="0"/>
    </xf>
    <xf numFmtId="1" fontId="7" fillId="7" borderId="5" xfId="0" applyNumberFormat="1" applyFont="1" applyFill="1" applyBorder="1" applyAlignment="1" applyProtection="1">
      <alignment horizontal="center" vertical="center"/>
      <protection locked="0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5" xfId="0" applyNumberFormat="1" applyFont="1" applyFill="1" applyBorder="1" applyAlignment="1">
      <alignment horizontal="center" vertical="center"/>
    </xf>
    <xf numFmtId="166" fontId="7" fillId="2" borderId="1" xfId="2" applyNumberFormat="1" applyFont="1" applyFill="1" applyBorder="1" applyAlignment="1">
      <alignment horizontal="center" vertical="center"/>
    </xf>
    <xf numFmtId="166" fontId="7" fillId="2" borderId="9" xfId="2" applyNumberFormat="1" applyFont="1" applyFill="1" applyBorder="1" applyAlignment="1">
      <alignment horizontal="center" vertical="center"/>
    </xf>
    <xf numFmtId="166" fontId="7" fillId="2" borderId="2" xfId="2" applyNumberFormat="1" applyFont="1" applyFill="1" applyBorder="1" applyAlignment="1">
      <alignment horizontal="center" vertical="center"/>
    </xf>
    <xf numFmtId="0" fontId="7" fillId="7" borderId="8" xfId="0" applyFont="1" applyFill="1" applyBorder="1" applyAlignment="1" applyProtection="1">
      <alignment horizontal="center" vertical="center"/>
      <protection locked="0"/>
    </xf>
    <xf numFmtId="1" fontId="7" fillId="7" borderId="8" xfId="0" applyNumberFormat="1" applyFont="1" applyFill="1" applyBorder="1" applyAlignment="1" applyProtection="1">
      <alignment horizontal="center" vertical="center"/>
      <protection locked="0"/>
    </xf>
    <xf numFmtId="166" fontId="7" fillId="2" borderId="4" xfId="2" applyNumberFormat="1" applyFont="1" applyFill="1" applyBorder="1" applyAlignment="1">
      <alignment horizontal="center" vertical="center"/>
    </xf>
    <xf numFmtId="166" fontId="7" fillId="2" borderId="6" xfId="2" applyNumberFormat="1" applyFont="1" applyFill="1" applyBorder="1" applyAlignment="1">
      <alignment horizontal="center" vertical="center"/>
    </xf>
    <xf numFmtId="166" fontId="7" fillId="2" borderId="10" xfId="2" applyNumberFormat="1" applyFont="1" applyFill="1" applyBorder="1" applyAlignment="1">
      <alignment horizontal="center" vertical="center"/>
    </xf>
    <xf numFmtId="166" fontId="7" fillId="2" borderId="11" xfId="2" applyNumberFormat="1" applyFont="1" applyFill="1" applyBorder="1" applyAlignment="1">
      <alignment horizontal="center" vertical="center"/>
    </xf>
    <xf numFmtId="166" fontId="7" fillId="2" borderId="12" xfId="2" applyNumberFormat="1" applyFont="1" applyFill="1" applyBorder="1" applyAlignment="1">
      <alignment horizontal="center" vertical="center"/>
    </xf>
    <xf numFmtId="166" fontId="7" fillId="2" borderId="13" xfId="2" applyNumberFormat="1" applyFont="1" applyFill="1" applyBorder="1" applyAlignment="1">
      <alignment horizontal="center" vertical="center"/>
    </xf>
    <xf numFmtId="0" fontId="15" fillId="0" borderId="7" xfId="0" applyFont="1" applyBorder="1" applyAlignment="1" applyProtection="1">
      <alignment horizontal="center" vertical="center"/>
      <protection locked="0"/>
    </xf>
    <xf numFmtId="0" fontId="15" fillId="0" borderId="5" xfId="0" applyFont="1" applyBorder="1" applyAlignment="1" applyProtection="1">
      <alignment horizontal="center" vertical="center"/>
      <protection locked="0"/>
    </xf>
    <xf numFmtId="166" fontId="15" fillId="2" borderId="4" xfId="2" applyNumberFormat="1" applyFont="1" applyFill="1" applyBorder="1" applyAlignment="1">
      <alignment horizontal="center" vertical="center" readingOrder="1"/>
    </xf>
    <xf numFmtId="166" fontId="15" fillId="2" borderId="6" xfId="2" applyNumberFormat="1" applyFont="1" applyFill="1" applyBorder="1" applyAlignment="1">
      <alignment horizontal="center" vertical="center" readingOrder="1"/>
    </xf>
    <xf numFmtId="166" fontId="15" fillId="2" borderId="10" xfId="2" applyNumberFormat="1" applyFont="1" applyFill="1" applyBorder="1" applyAlignment="1">
      <alignment horizontal="center" vertical="center" readingOrder="1"/>
    </xf>
    <xf numFmtId="166" fontId="15" fillId="2" borderId="11" xfId="2" applyNumberFormat="1" applyFont="1" applyFill="1" applyBorder="1" applyAlignment="1">
      <alignment horizontal="center" vertical="center" readingOrder="1"/>
    </xf>
    <xf numFmtId="166" fontId="15" fillId="2" borderId="12" xfId="2" applyNumberFormat="1" applyFont="1" applyFill="1" applyBorder="1" applyAlignment="1">
      <alignment horizontal="center" vertical="center" readingOrder="1"/>
    </xf>
    <xf numFmtId="166" fontId="15" fillId="2" borderId="13" xfId="2" applyNumberFormat="1" applyFont="1" applyFill="1" applyBorder="1" applyAlignment="1">
      <alignment horizontal="center" vertical="center" readingOrder="1"/>
    </xf>
    <xf numFmtId="1" fontId="15" fillId="0" borderId="7" xfId="0" applyNumberFormat="1" applyFont="1" applyBorder="1" applyAlignment="1" applyProtection="1">
      <alignment horizontal="center" vertical="center"/>
      <protection locked="0"/>
    </xf>
    <xf numFmtId="1" fontId="15" fillId="0" borderId="5" xfId="0" applyNumberFormat="1" applyFont="1" applyBorder="1" applyAlignment="1" applyProtection="1">
      <alignment horizontal="center" vertical="center"/>
      <protection locked="0"/>
    </xf>
    <xf numFmtId="49" fontId="15" fillId="2" borderId="4" xfId="0" applyNumberFormat="1" applyFont="1" applyFill="1" applyBorder="1" applyAlignment="1">
      <alignment horizontal="center" vertical="center"/>
    </xf>
    <xf numFmtId="49" fontId="15" fillId="2" borderId="6" xfId="0" applyNumberFormat="1" applyFont="1" applyFill="1" applyBorder="1" applyAlignment="1">
      <alignment horizontal="center" vertical="center"/>
    </xf>
    <xf numFmtId="49" fontId="15" fillId="2" borderId="10" xfId="0" applyNumberFormat="1" applyFont="1" applyFill="1" applyBorder="1" applyAlignment="1">
      <alignment horizontal="center" vertical="center"/>
    </xf>
    <xf numFmtId="49" fontId="15" fillId="2" borderId="11" xfId="0" applyNumberFormat="1" applyFont="1" applyFill="1" applyBorder="1" applyAlignment="1">
      <alignment horizontal="center" vertical="center"/>
    </xf>
    <xf numFmtId="49" fontId="15" fillId="2" borderId="12" xfId="0" applyNumberFormat="1" applyFont="1" applyFill="1" applyBorder="1" applyAlignment="1">
      <alignment horizontal="center" vertical="center"/>
    </xf>
    <xf numFmtId="49" fontId="15" fillId="2" borderId="13" xfId="0" applyNumberFormat="1" applyFont="1" applyFill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6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0" fontId="15" fillId="0" borderId="8" xfId="0" applyFont="1" applyBorder="1" applyAlignment="1" applyProtection="1">
      <alignment horizontal="center" vertical="center"/>
      <protection locked="0"/>
    </xf>
    <xf numFmtId="1" fontId="15" fillId="0" borderId="8" xfId="0" applyNumberFormat="1" applyFont="1" applyBorder="1" applyAlignment="1" applyProtection="1">
      <alignment horizontal="center" vertical="center"/>
      <protection locked="0"/>
    </xf>
    <xf numFmtId="0" fontId="7" fillId="0" borderId="1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6" fontId="15" fillId="2" borderId="4" xfId="2" applyNumberFormat="1" applyFont="1" applyFill="1" applyBorder="1" applyAlignment="1">
      <alignment horizontal="center" vertical="center"/>
    </xf>
    <xf numFmtId="166" fontId="15" fillId="2" borderId="6" xfId="2" applyNumberFormat="1" applyFont="1" applyFill="1" applyBorder="1" applyAlignment="1">
      <alignment horizontal="center" vertical="center"/>
    </xf>
    <xf numFmtId="166" fontId="15" fillId="2" borderId="10" xfId="2" applyNumberFormat="1" applyFont="1" applyFill="1" applyBorder="1" applyAlignment="1">
      <alignment horizontal="center" vertical="center"/>
    </xf>
    <xf numFmtId="166" fontId="15" fillId="2" borderId="14" xfId="2" applyNumberFormat="1" applyFont="1" applyFill="1" applyBorder="1" applyAlignment="1">
      <alignment horizontal="center" vertical="center"/>
    </xf>
    <xf numFmtId="166" fontId="15" fillId="2" borderId="0" xfId="2" applyNumberFormat="1" applyFont="1" applyFill="1" applyBorder="1" applyAlignment="1">
      <alignment horizontal="center" vertical="center"/>
    </xf>
    <xf numFmtId="166" fontId="15" fillId="2" borderId="15" xfId="2" applyNumberFormat="1" applyFont="1" applyFill="1" applyBorder="1" applyAlignment="1">
      <alignment horizontal="center" vertical="center"/>
    </xf>
    <xf numFmtId="166" fontId="15" fillId="2" borderId="11" xfId="2" applyNumberFormat="1" applyFont="1" applyFill="1" applyBorder="1" applyAlignment="1">
      <alignment horizontal="center" vertical="center"/>
    </xf>
    <xf numFmtId="166" fontId="15" fillId="2" borderId="12" xfId="2" applyNumberFormat="1" applyFont="1" applyFill="1" applyBorder="1" applyAlignment="1">
      <alignment horizontal="center" vertical="center"/>
    </xf>
    <xf numFmtId="166" fontId="15" fillId="2" borderId="13" xfId="2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1" fontId="9" fillId="0" borderId="7" xfId="0" applyNumberFormat="1" applyFont="1" applyBorder="1" applyAlignment="1" applyProtection="1">
      <alignment horizontal="center" vertical="center"/>
      <protection locked="0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5" xfId="0" applyNumberFormat="1" applyFont="1" applyBorder="1" applyAlignment="1" applyProtection="1">
      <alignment horizontal="center" vertical="center"/>
      <protection locked="0"/>
    </xf>
    <xf numFmtId="166" fontId="9" fillId="2" borderId="1" xfId="2" applyNumberFormat="1" applyFont="1" applyFill="1" applyBorder="1" applyAlignment="1">
      <alignment horizontal="center" vertical="center"/>
    </xf>
    <xf numFmtId="166" fontId="9" fillId="2" borderId="9" xfId="2" applyNumberFormat="1" applyFont="1" applyFill="1" applyBorder="1" applyAlignment="1">
      <alignment horizontal="center" vertical="center"/>
    </xf>
    <xf numFmtId="166" fontId="9" fillId="2" borderId="2" xfId="2" applyNumberFormat="1" applyFont="1" applyFill="1" applyBorder="1" applyAlignment="1">
      <alignment horizontal="center" vertical="center"/>
    </xf>
    <xf numFmtId="49" fontId="9" fillId="0" borderId="7" xfId="0" applyNumberFormat="1" applyFont="1" applyBorder="1" applyAlignment="1">
      <alignment horizontal="center" vertical="center"/>
    </xf>
    <xf numFmtId="49" fontId="9" fillId="0" borderId="5" xfId="0" applyNumberFormat="1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</xf>
    <xf numFmtId="166" fontId="9" fillId="0" borderId="7" xfId="2" applyNumberFormat="1" applyFont="1" applyFill="1" applyBorder="1" applyAlignment="1">
      <alignment horizontal="center" vertical="center"/>
    </xf>
    <xf numFmtId="166" fontId="9" fillId="0" borderId="5" xfId="2" applyNumberFormat="1" applyFont="1" applyFill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49" fontId="9" fillId="0" borderId="8" xfId="0" applyNumberFormat="1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 wrapText="1"/>
    </xf>
    <xf numFmtId="166" fontId="9" fillId="0" borderId="8" xfId="2" applyNumberFormat="1" applyFont="1" applyFill="1" applyBorder="1" applyAlignment="1">
      <alignment horizontal="center" vertical="center"/>
    </xf>
    <xf numFmtId="49" fontId="7" fillId="0" borderId="7" xfId="0" applyNumberFormat="1" applyFont="1" applyBorder="1" applyAlignment="1">
      <alignment horizontal="center" vertical="center" wrapText="1"/>
    </xf>
    <xf numFmtId="49" fontId="7" fillId="0" borderId="8" xfId="0" applyNumberFormat="1" applyFont="1" applyBorder="1" applyAlignment="1">
      <alignment horizontal="center" vertical="center" wrapText="1"/>
    </xf>
    <xf numFmtId="49" fontId="7" fillId="0" borderId="5" xfId="0" applyNumberFormat="1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 readingOrder="2"/>
    </xf>
  </cellXfs>
  <cellStyles count="3">
    <cellStyle name="Comma" xfId="1" builtinId="3"/>
    <cellStyle name="Currency" xfId="2" builtinId="4"/>
    <cellStyle name="Normal" xfId="0" builtinId="0"/>
  </cellStyles>
  <dxfs count="67"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  <dxf>
      <font>
        <b/>
        <i val="0"/>
      </font>
      <fill>
        <patternFill>
          <bgColor rgb="FFFF6600"/>
        </patternFill>
      </fill>
    </dxf>
    <dxf>
      <font>
        <b/>
        <i val="0"/>
      </font>
      <fill>
        <patternFill>
          <bgColor rgb="FF92D050"/>
        </patternFill>
      </fill>
    </dxf>
    <dxf>
      <font>
        <b/>
        <i val="0"/>
      </font>
      <fill>
        <patternFill>
          <bgColor theme="4" tint="0.39994506668294322"/>
        </patternFill>
      </fill>
    </dxf>
    <dxf>
      <font>
        <b/>
        <i val="0"/>
      </font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XAV%20Revenue\Excels\&#1575;&#1705;&#1587;&#1604;%20&#1582;&#1575;&#1605;\&#1587;&#1601;&#1575;&#1585;&#1588;&#1575;&#1578;%20&#1705;&#1575;&#1604;&#1575;.xlsx" TargetMode="External"/><Relationship Id="rId1" Type="http://schemas.openxmlformats.org/officeDocument/2006/relationships/externalLinkPath" Target="/Users/XAV/Dropbox/XAV%20coffee%20works/XAV%20Revenue/Excels/&#1575;&#1705;&#1587;&#1604;%20&#1582;&#1575;&#1605;/&#1587;&#1601;&#1575;&#1585;&#1588;&#1575;&#1578;%20&#1705;&#1575;&#1604;&#1575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AV\Dropbox\XAV%20coffee%20works\Sales\Excels\&#1575;&#1705;&#1587;&#1604;%20&#1582;&#1575;&#1605;\&#1582;&#1585;&#1608;&#1580;%20&#1575;&#1586;%20&#1583;&#1601;&#1578;&#1585;.xlsx" TargetMode="External"/><Relationship Id="rId1" Type="http://schemas.openxmlformats.org/officeDocument/2006/relationships/externalLinkPath" Target="/Users/XAV/Dropbox/XAV%20coffee%20works/XAV%20Revenue/Excels/&#1575;&#1705;&#1587;&#1604;%20&#1582;&#1575;&#1605;/&#1582;&#1585;&#1608;&#1580;%20&#1575;&#1586;%20&#1583;&#1601;&#1578;&#158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لیست محصولات 1402"/>
      <sheetName val="لیست محصولات اردیبهشت ۱۴۰۳"/>
      <sheetName val="Sheet1"/>
      <sheetName val="سفارشات کالا"/>
    </sheetNames>
    <sheetDataSet>
      <sheetData sheetId="0"/>
      <sheetData sheetId="1"/>
      <sheetData sheetId="2">
        <row r="1">
          <cell r="B1" t="str">
            <v>کد محصول</v>
          </cell>
          <cell r="C1" t="str">
            <v>نام محصول</v>
          </cell>
          <cell r="D1" t="str">
            <v>گروه اصلی</v>
          </cell>
          <cell r="E1" t="str">
            <v>گروه فرعی</v>
          </cell>
          <cell r="F1" t="str">
            <v>واحد فرعی</v>
          </cell>
          <cell r="G1" t="str">
            <v>قیمت واحد (ریال)</v>
          </cell>
        </row>
        <row r="2">
          <cell r="B2">
            <v>3325.1</v>
          </cell>
          <cell r="C2" t="str">
            <v>راتناگری | Ratnagiri</v>
          </cell>
          <cell r="D2" t="str">
            <v>قهوه</v>
          </cell>
          <cell r="E2" t="str">
            <v>A Series</v>
          </cell>
          <cell r="F2">
            <v>150</v>
          </cell>
          <cell r="G2">
            <v>4250000</v>
          </cell>
        </row>
        <row r="3">
          <cell r="B3">
            <v>3325.2</v>
          </cell>
          <cell r="C3" t="str">
            <v>راتناگری | Ratnagiri</v>
          </cell>
          <cell r="D3" t="str">
            <v>قهوه</v>
          </cell>
          <cell r="E3" t="str">
            <v>A Series</v>
          </cell>
          <cell r="F3">
            <v>750</v>
          </cell>
          <cell r="G3">
            <v>20700000</v>
          </cell>
        </row>
        <row r="4">
          <cell r="B4">
            <v>3325.3</v>
          </cell>
          <cell r="C4" t="str">
            <v>راتناگری | Ratnagiri</v>
          </cell>
          <cell r="D4" t="str">
            <v>قهوه</v>
          </cell>
          <cell r="E4" t="str">
            <v>A Series</v>
          </cell>
          <cell r="F4">
            <v>40</v>
          </cell>
          <cell r="G4">
            <v>1250000</v>
          </cell>
        </row>
        <row r="5">
          <cell r="B5">
            <v>3326.1</v>
          </cell>
          <cell r="C5" t="str">
            <v>میاگروس | Milagros</v>
          </cell>
          <cell r="D5" t="str">
            <v>قهوه</v>
          </cell>
          <cell r="E5" t="str">
            <v>A Series</v>
          </cell>
          <cell r="F5">
            <v>150</v>
          </cell>
          <cell r="G5">
            <v>3750000</v>
          </cell>
        </row>
        <row r="6">
          <cell r="B6">
            <v>3326.2</v>
          </cell>
          <cell r="C6" t="str">
            <v>میاگروس | Milagros</v>
          </cell>
          <cell r="D6" t="str">
            <v>قهوه</v>
          </cell>
          <cell r="E6" t="str">
            <v>A Series</v>
          </cell>
          <cell r="F6">
            <v>750</v>
          </cell>
          <cell r="G6">
            <v>18150000</v>
          </cell>
        </row>
        <row r="7">
          <cell r="B7">
            <v>3326.3</v>
          </cell>
          <cell r="C7" t="str">
            <v>میاگروس | Milagros</v>
          </cell>
          <cell r="D7" t="str">
            <v>قهوه</v>
          </cell>
          <cell r="E7" t="str">
            <v>A Series</v>
          </cell>
          <cell r="F7">
            <v>40</v>
          </cell>
          <cell r="G7">
            <v>1100000</v>
          </cell>
        </row>
        <row r="8">
          <cell r="B8">
            <v>5522.1</v>
          </cell>
          <cell r="C8" t="str">
            <v>تامارا | Tamara</v>
          </cell>
          <cell r="D8" t="str">
            <v>قهوه</v>
          </cell>
          <cell r="E8" t="str">
            <v>V Series</v>
          </cell>
          <cell r="F8">
            <v>150</v>
          </cell>
          <cell r="G8">
            <v>2600000</v>
          </cell>
        </row>
        <row r="9">
          <cell r="B9">
            <v>5522.2</v>
          </cell>
          <cell r="C9" t="str">
            <v>تامارا | Tamara</v>
          </cell>
          <cell r="D9" t="str">
            <v>قهوه</v>
          </cell>
          <cell r="E9" t="str">
            <v>V Series</v>
          </cell>
          <cell r="F9">
            <v>750</v>
          </cell>
          <cell r="G9">
            <v>12450000</v>
          </cell>
        </row>
        <row r="10">
          <cell r="B10">
            <v>5523.1</v>
          </cell>
          <cell r="C10" t="str">
            <v>کوتوا دانکن | Kotowa Duncan</v>
          </cell>
          <cell r="D10" t="str">
            <v>قهوه</v>
          </cell>
          <cell r="E10" t="str">
            <v>V Series</v>
          </cell>
          <cell r="F10">
            <v>150</v>
          </cell>
          <cell r="G10">
            <v>2550000</v>
          </cell>
        </row>
        <row r="11">
          <cell r="B11">
            <v>5523.2</v>
          </cell>
          <cell r="C11" t="str">
            <v>کوتوا دانکن | Kotowa Duncan</v>
          </cell>
          <cell r="D11" t="str">
            <v>قهوه</v>
          </cell>
          <cell r="E11" t="str">
            <v>V Series</v>
          </cell>
          <cell r="F11">
            <v>750</v>
          </cell>
          <cell r="G11">
            <v>12150000</v>
          </cell>
        </row>
        <row r="12">
          <cell r="B12"/>
          <cell r="C12" t="e">
            <v>#N/A</v>
          </cell>
          <cell r="D12" t="str">
            <v>قهوه</v>
          </cell>
          <cell r="E12" t="str">
            <v>X Series</v>
          </cell>
          <cell r="F12">
            <v>80</v>
          </cell>
          <cell r="G12" t="e">
            <v>#N/A</v>
          </cell>
        </row>
        <row r="13">
          <cell r="B13"/>
          <cell r="C13" t="e">
            <v>#N/A</v>
          </cell>
          <cell r="D13" t="str">
            <v>قهوه</v>
          </cell>
          <cell r="E13" t="str">
            <v>X Series</v>
          </cell>
          <cell r="F13">
            <v>40</v>
          </cell>
          <cell r="G13" t="e">
            <v>#N/A</v>
          </cell>
        </row>
        <row r="14">
          <cell r="B14"/>
          <cell r="C14" t="e">
            <v>#N/A</v>
          </cell>
          <cell r="D14" t="str">
            <v>قهوه</v>
          </cell>
          <cell r="E14" t="str">
            <v>X Series</v>
          </cell>
          <cell r="F14">
            <v>80</v>
          </cell>
          <cell r="G14" t="e">
            <v>#N/A</v>
          </cell>
        </row>
        <row r="15">
          <cell r="B15"/>
          <cell r="C15" t="e">
            <v>#N/A</v>
          </cell>
          <cell r="D15" t="str">
            <v>قهوه</v>
          </cell>
          <cell r="E15" t="str">
            <v>X Series</v>
          </cell>
          <cell r="F15">
            <v>80</v>
          </cell>
          <cell r="G15" t="e">
            <v>#N/A</v>
          </cell>
        </row>
        <row r="16">
          <cell r="B16"/>
          <cell r="C16" t="e">
            <v>#N/A</v>
          </cell>
          <cell r="D16" t="str">
            <v>قهوه</v>
          </cell>
          <cell r="E16" t="str">
            <v>X Series</v>
          </cell>
          <cell r="F16">
            <v>40</v>
          </cell>
          <cell r="G16" t="e">
            <v>#N/A</v>
          </cell>
        </row>
        <row r="17">
          <cell r="B17"/>
          <cell r="C17" t="e">
            <v>#N/A</v>
          </cell>
          <cell r="D17" t="str">
            <v>قهوه</v>
          </cell>
          <cell r="E17" t="str">
            <v>X Series</v>
          </cell>
          <cell r="F17">
            <v>80</v>
          </cell>
          <cell r="G17" t="e">
            <v>#N/A</v>
          </cell>
        </row>
        <row r="18">
          <cell r="B18"/>
          <cell r="C18" t="e">
            <v>#N/A</v>
          </cell>
          <cell r="D18" t="str">
            <v>قهوه</v>
          </cell>
          <cell r="E18" t="str">
            <v>X Series</v>
          </cell>
          <cell r="F18">
            <v>80</v>
          </cell>
          <cell r="G18" t="e">
            <v>#N/A</v>
          </cell>
        </row>
        <row r="19">
          <cell r="B19"/>
          <cell r="C19" t="e">
            <v>#N/A</v>
          </cell>
          <cell r="D19" t="str">
            <v>قهوه</v>
          </cell>
          <cell r="E19" t="str">
            <v>X Series</v>
          </cell>
          <cell r="F19">
            <v>40</v>
          </cell>
          <cell r="G19" t="e">
            <v>#N/A</v>
          </cell>
        </row>
        <row r="20">
          <cell r="B20"/>
          <cell r="C20" t="e">
            <v>#N/A</v>
          </cell>
          <cell r="D20" t="str">
            <v>قهوه</v>
          </cell>
          <cell r="E20" t="str">
            <v>X Series</v>
          </cell>
          <cell r="F20">
            <v>80</v>
          </cell>
          <cell r="G20" t="e">
            <v>#N/A</v>
          </cell>
        </row>
        <row r="21">
          <cell r="B21"/>
          <cell r="C21" t="e">
            <v>#N/A</v>
          </cell>
          <cell r="D21"/>
          <cell r="E21"/>
          <cell r="F21"/>
          <cell r="G21" t="e">
            <v>#N/A</v>
          </cell>
        </row>
        <row r="22">
          <cell r="B22"/>
          <cell r="C22" t="e">
            <v>#N/A</v>
          </cell>
          <cell r="D22" t="str">
            <v>قهوه</v>
          </cell>
          <cell r="E22" t="str">
            <v>X Series</v>
          </cell>
          <cell r="F22">
            <v>40</v>
          </cell>
          <cell r="G22" t="e">
            <v>#N/A</v>
          </cell>
        </row>
        <row r="23">
          <cell r="B23"/>
          <cell r="C23"/>
          <cell r="D23" t="str">
            <v>قهوه</v>
          </cell>
          <cell r="E23" t="str">
            <v>X Series</v>
          </cell>
          <cell r="F23">
            <v>80</v>
          </cell>
          <cell r="G23" t="e">
            <v>#N/A</v>
          </cell>
        </row>
        <row r="24">
          <cell r="B24"/>
          <cell r="C24"/>
          <cell r="D24"/>
          <cell r="E24"/>
          <cell r="F24"/>
          <cell r="G24" t="e">
            <v>#N/A</v>
          </cell>
        </row>
        <row r="25">
          <cell r="B25"/>
          <cell r="C25"/>
          <cell r="D25" t="str">
            <v>قهوه</v>
          </cell>
          <cell r="E25" t="str">
            <v>X Series</v>
          </cell>
          <cell r="F25">
            <v>40</v>
          </cell>
          <cell r="G25" t="e">
            <v>#N/A</v>
          </cell>
        </row>
        <row r="26">
          <cell r="B26"/>
          <cell r="C26"/>
          <cell r="D26" t="str">
            <v>قهوه</v>
          </cell>
          <cell r="E26" t="str">
            <v>X Series</v>
          </cell>
          <cell r="F26">
            <v>80</v>
          </cell>
          <cell r="G26" t="e">
            <v>#N/A</v>
          </cell>
        </row>
        <row r="27">
          <cell r="B27"/>
          <cell r="C27"/>
          <cell r="D27" t="str">
            <v>قهوه</v>
          </cell>
          <cell r="E27" t="str">
            <v>X Series</v>
          </cell>
          <cell r="F27">
            <v>80</v>
          </cell>
          <cell r="G27" t="e">
            <v>#N/A</v>
          </cell>
        </row>
        <row r="28">
          <cell r="B28"/>
          <cell r="C28"/>
          <cell r="D28" t="str">
            <v>قهوه</v>
          </cell>
          <cell r="E28" t="str">
            <v>X Series</v>
          </cell>
          <cell r="F28">
            <v>40</v>
          </cell>
          <cell r="G28" t="e">
            <v>#N/A</v>
          </cell>
        </row>
        <row r="29">
          <cell r="B29"/>
          <cell r="C29"/>
          <cell r="D29" t="str">
            <v>قهوه</v>
          </cell>
          <cell r="E29" t="str">
            <v>X Series</v>
          </cell>
          <cell r="F29">
            <v>80</v>
          </cell>
          <cell r="G29" t="e">
            <v>#N/A</v>
          </cell>
        </row>
        <row r="30">
          <cell r="B30"/>
          <cell r="C30"/>
          <cell r="D30" t="str">
            <v>قهوه</v>
          </cell>
          <cell r="E30" t="str">
            <v>X Series</v>
          </cell>
          <cell r="F30">
            <v>80</v>
          </cell>
          <cell r="G30" t="e">
            <v>#N/A</v>
          </cell>
        </row>
        <row r="31">
          <cell r="B31"/>
          <cell r="C31"/>
          <cell r="D31" t="str">
            <v>قهوه</v>
          </cell>
          <cell r="E31" t="str">
            <v>X Series</v>
          </cell>
          <cell r="F31"/>
          <cell r="G31" t="e">
            <v>#N/A</v>
          </cell>
        </row>
        <row r="32">
          <cell r="B32"/>
          <cell r="C32"/>
          <cell r="D32" t="str">
            <v>قهوه</v>
          </cell>
          <cell r="E32" t="str">
            <v>X Series</v>
          </cell>
          <cell r="F32">
            <v>80</v>
          </cell>
          <cell r="G32" t="e">
            <v>#N/A</v>
          </cell>
        </row>
        <row r="33">
          <cell r="B33"/>
          <cell r="C33"/>
          <cell r="D33" t="str">
            <v>قهوه</v>
          </cell>
          <cell r="E33" t="str">
            <v>X Series</v>
          </cell>
          <cell r="F33">
            <v>80</v>
          </cell>
          <cell r="G33" t="e">
            <v>#N/A</v>
          </cell>
        </row>
        <row r="34">
          <cell r="B34"/>
          <cell r="C34"/>
          <cell r="D34" t="str">
            <v>قهوه</v>
          </cell>
          <cell r="E34" t="str">
            <v>X Series</v>
          </cell>
          <cell r="F34">
            <v>40</v>
          </cell>
          <cell r="G34" t="e">
            <v>#N/A</v>
          </cell>
        </row>
        <row r="35">
          <cell r="B35"/>
          <cell r="C35"/>
          <cell r="D35" t="str">
            <v>قهوه</v>
          </cell>
          <cell r="E35" t="str">
            <v>X Series</v>
          </cell>
          <cell r="F35">
            <v>80</v>
          </cell>
          <cell r="G35" t="e">
            <v>#N/A</v>
          </cell>
        </row>
        <row r="36">
          <cell r="B36"/>
          <cell r="C36"/>
          <cell r="D36" t="str">
            <v>قهوه</v>
          </cell>
          <cell r="E36" t="str">
            <v>X Series</v>
          </cell>
          <cell r="F36">
            <v>80</v>
          </cell>
          <cell r="G36" t="e">
            <v>#N/A</v>
          </cell>
        </row>
        <row r="37">
          <cell r="B37"/>
          <cell r="C37"/>
          <cell r="D37" t="str">
            <v>قهوه</v>
          </cell>
          <cell r="E37" t="str">
            <v>X Series</v>
          </cell>
          <cell r="F37">
            <v>40</v>
          </cell>
          <cell r="G37" t="e">
            <v>#N/A</v>
          </cell>
        </row>
        <row r="38">
          <cell r="B38"/>
          <cell r="C38"/>
          <cell r="D38"/>
          <cell r="E38"/>
          <cell r="F38"/>
          <cell r="G38" t="e">
            <v>#N/A</v>
          </cell>
        </row>
        <row r="39">
          <cell r="B39">
            <v>3311.1</v>
          </cell>
          <cell r="C39" t="str">
            <v>فوجی | Rwanda Fugi</v>
          </cell>
          <cell r="D39" t="str">
            <v>قهوه</v>
          </cell>
          <cell r="E39" t="str">
            <v>A Series</v>
          </cell>
          <cell r="F39">
            <v>150</v>
          </cell>
          <cell r="G39">
            <v>3050000</v>
          </cell>
        </row>
        <row r="40">
          <cell r="B40">
            <v>3311.2</v>
          </cell>
          <cell r="C40" t="str">
            <v>فوجی | Rwanda Fugi</v>
          </cell>
          <cell r="D40" t="str">
            <v>قهوه</v>
          </cell>
          <cell r="E40" t="str">
            <v>A Series</v>
          </cell>
          <cell r="F40">
            <v>750</v>
          </cell>
          <cell r="G40">
            <v>14700000</v>
          </cell>
        </row>
        <row r="41">
          <cell r="B41">
            <v>3311.3</v>
          </cell>
          <cell r="C41" t="str">
            <v>فوجی | Rwanda Fugi</v>
          </cell>
          <cell r="D41" t="str">
            <v>قهوه</v>
          </cell>
          <cell r="E41" t="str">
            <v>A Series</v>
          </cell>
          <cell r="F41">
            <v>40</v>
          </cell>
          <cell r="G41">
            <v>950000</v>
          </cell>
        </row>
        <row r="42">
          <cell r="B42">
            <v>3316.1</v>
          </cell>
          <cell r="C42" t="str">
            <v>کیاوامورورو | Kiawamururu</v>
          </cell>
          <cell r="D42" t="str">
            <v>قهوه</v>
          </cell>
          <cell r="E42" t="str">
            <v>A Series</v>
          </cell>
          <cell r="F42">
            <v>150</v>
          </cell>
          <cell r="G42">
            <v>4000000</v>
          </cell>
        </row>
        <row r="43">
          <cell r="B43">
            <v>3316.2</v>
          </cell>
          <cell r="C43" t="str">
            <v>کیاوامورورو | Kiawamururu</v>
          </cell>
          <cell r="D43" t="str">
            <v>قهوه</v>
          </cell>
          <cell r="E43" t="str">
            <v>A Series</v>
          </cell>
          <cell r="F43">
            <v>750</v>
          </cell>
          <cell r="G43">
            <v>19350000</v>
          </cell>
        </row>
        <row r="44">
          <cell r="B44">
            <v>3316.3</v>
          </cell>
          <cell r="C44" t="str">
            <v>کیاوامورورو | Kiawamururu</v>
          </cell>
          <cell r="D44" t="str">
            <v>قهوه</v>
          </cell>
          <cell r="E44" t="str">
            <v>A Series</v>
          </cell>
          <cell r="F44">
            <v>40</v>
          </cell>
          <cell r="G44">
            <v>1200000</v>
          </cell>
        </row>
        <row r="45">
          <cell r="B45">
            <v>3317.1</v>
          </cell>
          <cell r="C45" t="str">
            <v>ماسیمبا | Masimba</v>
          </cell>
          <cell r="D45" t="str">
            <v>قهوه</v>
          </cell>
          <cell r="E45" t="str">
            <v>A Series</v>
          </cell>
          <cell r="F45">
            <v>150</v>
          </cell>
          <cell r="G45">
            <v>4000000</v>
          </cell>
        </row>
        <row r="46">
          <cell r="B46">
            <v>3317.2</v>
          </cell>
          <cell r="C46" t="str">
            <v>ماسیمبا | Masimba</v>
          </cell>
          <cell r="D46" t="str">
            <v>قهوه</v>
          </cell>
          <cell r="E46" t="str">
            <v>A Series</v>
          </cell>
          <cell r="F46">
            <v>750</v>
          </cell>
          <cell r="G46">
            <v>19350000</v>
          </cell>
        </row>
        <row r="47">
          <cell r="B47">
            <v>3317.3</v>
          </cell>
          <cell r="C47" t="str">
            <v>ماسیمبا | Masimba</v>
          </cell>
          <cell r="D47" t="str">
            <v>قهوه</v>
          </cell>
          <cell r="E47" t="str">
            <v>A Series</v>
          </cell>
          <cell r="F47">
            <v>40</v>
          </cell>
          <cell r="G47">
            <v>1200000</v>
          </cell>
        </row>
        <row r="48">
          <cell r="B48">
            <v>3318.1</v>
          </cell>
          <cell r="C48" t="str">
            <v>ال جاردین | El Jardin</v>
          </cell>
          <cell r="D48" t="str">
            <v>قهوه</v>
          </cell>
          <cell r="E48" t="str">
            <v>A Series</v>
          </cell>
          <cell r="F48">
            <v>150</v>
          </cell>
          <cell r="G48">
            <v>4150000</v>
          </cell>
        </row>
        <row r="49">
          <cell r="B49">
            <v>3318.2</v>
          </cell>
          <cell r="C49" t="str">
            <v>ال جاردین | El Jardin</v>
          </cell>
          <cell r="D49" t="str">
            <v>قهوه</v>
          </cell>
          <cell r="E49" t="str">
            <v>A Series</v>
          </cell>
          <cell r="F49">
            <v>750</v>
          </cell>
          <cell r="G49">
            <v>20100000</v>
          </cell>
        </row>
        <row r="50">
          <cell r="B50">
            <v>3318.3</v>
          </cell>
          <cell r="C50" t="str">
            <v>ال جاردین | El Jardin</v>
          </cell>
          <cell r="D50" t="str">
            <v>قهوه</v>
          </cell>
          <cell r="E50" t="str">
            <v>A Series</v>
          </cell>
          <cell r="F50">
            <v>40</v>
          </cell>
          <cell r="G50">
            <v>1250000</v>
          </cell>
        </row>
        <row r="51">
          <cell r="B51"/>
          <cell r="C51"/>
          <cell r="D51" t="str">
            <v>قهوه</v>
          </cell>
          <cell r="E51" t="str">
            <v>A Series</v>
          </cell>
          <cell r="F51">
            <v>150</v>
          </cell>
          <cell r="G51" t="e">
            <v>#N/A</v>
          </cell>
        </row>
        <row r="52">
          <cell r="B52"/>
          <cell r="C52"/>
          <cell r="D52" t="str">
            <v>قهوه</v>
          </cell>
          <cell r="E52" t="str">
            <v>A Series</v>
          </cell>
          <cell r="F52">
            <v>750</v>
          </cell>
          <cell r="G52" t="e">
            <v>#N/A</v>
          </cell>
        </row>
        <row r="53">
          <cell r="B53"/>
          <cell r="C53"/>
          <cell r="D53" t="str">
            <v>قهوه</v>
          </cell>
          <cell r="E53" t="str">
            <v>A Series</v>
          </cell>
          <cell r="F53">
            <v>40</v>
          </cell>
          <cell r="G53" t="e">
            <v>#N/A</v>
          </cell>
        </row>
        <row r="54">
          <cell r="B54"/>
          <cell r="C54"/>
          <cell r="D54" t="str">
            <v>قهوه</v>
          </cell>
          <cell r="E54" t="str">
            <v>A Series</v>
          </cell>
          <cell r="F54">
            <v>150</v>
          </cell>
          <cell r="G54" t="e">
            <v>#N/A</v>
          </cell>
        </row>
        <row r="55">
          <cell r="B55"/>
          <cell r="C55"/>
          <cell r="D55" t="str">
            <v>قهوه</v>
          </cell>
          <cell r="E55" t="str">
            <v>A Series</v>
          </cell>
          <cell r="F55">
            <v>750</v>
          </cell>
          <cell r="G55" t="e">
            <v>#N/A</v>
          </cell>
        </row>
        <row r="56">
          <cell r="B56"/>
          <cell r="C56"/>
          <cell r="D56" t="str">
            <v>قهوه</v>
          </cell>
          <cell r="E56" t="str">
            <v>A Series</v>
          </cell>
          <cell r="F56">
            <v>40</v>
          </cell>
          <cell r="G56" t="e">
            <v>#N/A</v>
          </cell>
        </row>
        <row r="57">
          <cell r="B57"/>
          <cell r="C57"/>
          <cell r="D57" t="str">
            <v>قهوه</v>
          </cell>
          <cell r="E57" t="str">
            <v>A Series</v>
          </cell>
          <cell r="F57"/>
          <cell r="G57" t="e">
            <v>#N/A</v>
          </cell>
        </row>
        <row r="58">
          <cell r="B58"/>
          <cell r="C58"/>
          <cell r="D58" t="str">
            <v>قهوه</v>
          </cell>
          <cell r="E58" t="str">
            <v>A Series</v>
          </cell>
          <cell r="F58"/>
          <cell r="G58" t="e">
            <v>#N/A</v>
          </cell>
        </row>
        <row r="59">
          <cell r="B59"/>
          <cell r="C59"/>
          <cell r="D59" t="str">
            <v>قهوه</v>
          </cell>
          <cell r="E59" t="str">
            <v>A Series</v>
          </cell>
          <cell r="F59"/>
          <cell r="G59" t="e">
            <v>#N/A</v>
          </cell>
        </row>
        <row r="60">
          <cell r="B60"/>
          <cell r="C60"/>
          <cell r="D60" t="str">
            <v>قهوه</v>
          </cell>
          <cell r="E60" t="str">
            <v>A Series</v>
          </cell>
          <cell r="F60">
            <v>150</v>
          </cell>
          <cell r="G60" t="e">
            <v>#N/A</v>
          </cell>
        </row>
        <row r="61">
          <cell r="B61"/>
          <cell r="C61"/>
          <cell r="D61" t="str">
            <v>قهوه</v>
          </cell>
          <cell r="E61" t="str">
            <v>A Series</v>
          </cell>
          <cell r="F61">
            <v>750</v>
          </cell>
          <cell r="G61" t="e">
            <v>#N/A</v>
          </cell>
        </row>
        <row r="62">
          <cell r="B62"/>
          <cell r="C62"/>
          <cell r="D62" t="str">
            <v>قهوه</v>
          </cell>
          <cell r="E62" t="str">
            <v>A Series</v>
          </cell>
          <cell r="F62">
            <v>40</v>
          </cell>
          <cell r="G62" t="e">
            <v>#N/A</v>
          </cell>
        </row>
        <row r="63">
          <cell r="B63"/>
          <cell r="C63"/>
          <cell r="D63" t="str">
            <v>قهوه</v>
          </cell>
          <cell r="E63" t="str">
            <v>A Series</v>
          </cell>
          <cell r="F63">
            <v>150</v>
          </cell>
          <cell r="G63" t="e">
            <v>#N/A</v>
          </cell>
        </row>
        <row r="64">
          <cell r="B64"/>
          <cell r="C64"/>
          <cell r="D64" t="str">
            <v>قهوه</v>
          </cell>
          <cell r="E64" t="str">
            <v>A Series</v>
          </cell>
          <cell r="F64">
            <v>750</v>
          </cell>
          <cell r="G64" t="e">
            <v>#N/A</v>
          </cell>
        </row>
        <row r="65">
          <cell r="B65"/>
          <cell r="C65"/>
          <cell r="D65" t="str">
            <v>قهوه</v>
          </cell>
          <cell r="E65" t="str">
            <v>A Series</v>
          </cell>
          <cell r="F65">
            <v>40</v>
          </cell>
          <cell r="G65" t="e">
            <v>#N/A</v>
          </cell>
        </row>
        <row r="66">
          <cell r="B66"/>
          <cell r="C66"/>
          <cell r="D66" t="str">
            <v>قهوه</v>
          </cell>
          <cell r="E66" t="str">
            <v>A Series</v>
          </cell>
          <cell r="F66">
            <v>150</v>
          </cell>
          <cell r="G66" t="e">
            <v>#N/A</v>
          </cell>
        </row>
        <row r="67">
          <cell r="B67"/>
          <cell r="C67"/>
          <cell r="D67" t="str">
            <v>قهوه</v>
          </cell>
          <cell r="E67" t="str">
            <v>A Series</v>
          </cell>
          <cell r="F67">
            <v>750</v>
          </cell>
          <cell r="G67" t="e">
            <v>#N/A</v>
          </cell>
        </row>
        <row r="68">
          <cell r="B68"/>
          <cell r="C68"/>
          <cell r="D68" t="str">
            <v>قهوه</v>
          </cell>
          <cell r="E68" t="str">
            <v>A Series</v>
          </cell>
          <cell r="F68">
            <v>40</v>
          </cell>
          <cell r="G68" t="e">
            <v>#N/A</v>
          </cell>
        </row>
        <row r="69">
          <cell r="B69">
            <v>5501.1</v>
          </cell>
          <cell r="C69" t="str">
            <v>ورتکس | Vortex</v>
          </cell>
          <cell r="D69" t="str">
            <v>قهوه</v>
          </cell>
          <cell r="E69" t="str">
            <v>V Series</v>
          </cell>
          <cell r="F69">
            <v>150</v>
          </cell>
          <cell r="G69">
            <v>2100000</v>
          </cell>
        </row>
        <row r="70">
          <cell r="B70">
            <v>5501.2</v>
          </cell>
          <cell r="C70" t="str">
            <v>ورتکس | Vortex</v>
          </cell>
          <cell r="D70" t="str">
            <v>قهوه</v>
          </cell>
          <cell r="E70" t="str">
            <v>V Series</v>
          </cell>
          <cell r="F70">
            <v>750</v>
          </cell>
          <cell r="G70">
            <v>9900000</v>
          </cell>
        </row>
        <row r="71">
          <cell r="B71">
            <v>5501.3</v>
          </cell>
          <cell r="C71" t="str">
            <v>ورتکس | Vortex</v>
          </cell>
          <cell r="D71" t="str">
            <v>قهوه</v>
          </cell>
          <cell r="E71" t="str">
            <v>V Series</v>
          </cell>
          <cell r="F71">
            <v>4000</v>
          </cell>
          <cell r="G71">
            <v>51200000</v>
          </cell>
        </row>
        <row r="72">
          <cell r="B72"/>
          <cell r="C72"/>
          <cell r="D72" t="str">
            <v>قهوه</v>
          </cell>
          <cell r="E72" t="str">
            <v>V Series</v>
          </cell>
          <cell r="F72"/>
          <cell r="G72" t="e">
            <v>#N/A</v>
          </cell>
        </row>
        <row r="73">
          <cell r="B73"/>
          <cell r="C73"/>
          <cell r="D73" t="str">
            <v>قهوه</v>
          </cell>
          <cell r="E73" t="str">
            <v>V Series</v>
          </cell>
          <cell r="F73">
            <v>150</v>
          </cell>
          <cell r="G73" t="e">
            <v>#N/A</v>
          </cell>
        </row>
        <row r="74">
          <cell r="B74"/>
          <cell r="C74"/>
          <cell r="D74" t="str">
            <v>قهوه</v>
          </cell>
          <cell r="E74" t="str">
            <v>V Series</v>
          </cell>
          <cell r="F74">
            <v>750</v>
          </cell>
          <cell r="G74" t="e">
            <v>#N/A</v>
          </cell>
        </row>
        <row r="75">
          <cell r="B75"/>
          <cell r="C75"/>
          <cell r="D75" t="str">
            <v>قهوه</v>
          </cell>
          <cell r="E75" t="str">
            <v>V Series</v>
          </cell>
          <cell r="F75"/>
          <cell r="G75" t="e">
            <v>#N/A</v>
          </cell>
        </row>
        <row r="76">
          <cell r="B76"/>
          <cell r="C76"/>
          <cell r="D76" t="str">
            <v>قهوه</v>
          </cell>
          <cell r="E76" t="str">
            <v>V Series</v>
          </cell>
          <cell r="F76">
            <v>150</v>
          </cell>
          <cell r="G76" t="e">
            <v>#N/A</v>
          </cell>
        </row>
        <row r="77">
          <cell r="B77"/>
          <cell r="C77"/>
          <cell r="D77" t="str">
            <v>قهوه</v>
          </cell>
          <cell r="E77" t="str">
            <v>V Series</v>
          </cell>
          <cell r="F77">
            <v>750</v>
          </cell>
          <cell r="G77" t="e">
            <v>#N/A</v>
          </cell>
        </row>
        <row r="78">
          <cell r="B78"/>
          <cell r="C78"/>
          <cell r="D78" t="str">
            <v>قهوه</v>
          </cell>
          <cell r="E78" t="str">
            <v>V Series</v>
          </cell>
          <cell r="F78">
            <v>4000</v>
          </cell>
          <cell r="G78" t="e">
            <v>#N/A</v>
          </cell>
        </row>
        <row r="79">
          <cell r="B79"/>
          <cell r="C79"/>
          <cell r="D79" t="str">
            <v>قهوه</v>
          </cell>
          <cell r="E79" t="str">
            <v>V Series</v>
          </cell>
          <cell r="F79">
            <v>150</v>
          </cell>
          <cell r="G79" t="e">
            <v>#N/A</v>
          </cell>
        </row>
        <row r="80">
          <cell r="B80"/>
          <cell r="C80"/>
          <cell r="D80" t="str">
            <v>قهوه</v>
          </cell>
          <cell r="E80" t="str">
            <v>V Series</v>
          </cell>
          <cell r="F80">
            <v>750</v>
          </cell>
          <cell r="G80" t="e">
            <v>#N/A</v>
          </cell>
        </row>
        <row r="81">
          <cell r="B81">
            <v>5519.1</v>
          </cell>
          <cell r="C81" t="str">
            <v>سرادو میناس | Brazil Cerrado de Minas</v>
          </cell>
          <cell r="D81" t="str">
            <v>قهوه</v>
          </cell>
          <cell r="E81" t="str">
            <v>V Series</v>
          </cell>
          <cell r="F81">
            <v>150</v>
          </cell>
          <cell r="G81">
            <v>2050000</v>
          </cell>
        </row>
        <row r="82">
          <cell r="B82">
            <v>5519.2</v>
          </cell>
          <cell r="C82" t="str">
            <v>سرادو میناس | Brazil Cerrado de Minas</v>
          </cell>
          <cell r="D82" t="str">
            <v>قهوه</v>
          </cell>
          <cell r="E82" t="str">
            <v>V Series</v>
          </cell>
          <cell r="F82">
            <v>750</v>
          </cell>
          <cell r="G82">
            <v>9750000</v>
          </cell>
        </row>
        <row r="83">
          <cell r="B83">
            <v>5519.3</v>
          </cell>
          <cell r="C83" t="str">
            <v>سرادو میناس | Brazil Cerrado de Minas</v>
          </cell>
          <cell r="D83" t="str">
            <v>قهوه</v>
          </cell>
          <cell r="E83" t="str">
            <v>V Series</v>
          </cell>
          <cell r="F83">
            <v>4000</v>
          </cell>
          <cell r="G83">
            <v>50400000</v>
          </cell>
        </row>
        <row r="84">
          <cell r="B84"/>
          <cell r="C84"/>
          <cell r="D84" t="str">
            <v>قهوه</v>
          </cell>
          <cell r="E84" t="str">
            <v>V Series</v>
          </cell>
          <cell r="F84"/>
          <cell r="G84" t="e">
            <v>#N/A</v>
          </cell>
        </row>
        <row r="85">
          <cell r="B85">
            <v>5511.1</v>
          </cell>
          <cell r="C85" t="str">
            <v>هامبلا | Hambella</v>
          </cell>
          <cell r="D85" t="str">
            <v>قهوه</v>
          </cell>
          <cell r="E85" t="str">
            <v>V Series</v>
          </cell>
          <cell r="F85">
            <v>150</v>
          </cell>
          <cell r="G85">
            <v>2800000</v>
          </cell>
        </row>
        <row r="86">
          <cell r="B86">
            <v>5511.2</v>
          </cell>
          <cell r="C86" t="str">
            <v>هامبلا | Hambella</v>
          </cell>
          <cell r="D86" t="str">
            <v>قهوه</v>
          </cell>
          <cell r="E86" t="str">
            <v>V Series</v>
          </cell>
          <cell r="F86">
            <v>750</v>
          </cell>
          <cell r="G86">
            <v>13350000</v>
          </cell>
        </row>
        <row r="87">
          <cell r="B87">
            <v>5511.3</v>
          </cell>
          <cell r="C87" t="str">
            <v>هامبلا | Hambella</v>
          </cell>
          <cell r="D87" t="str">
            <v>قهوه</v>
          </cell>
          <cell r="E87" t="str">
            <v>V Series</v>
          </cell>
          <cell r="F87">
            <v>4000</v>
          </cell>
          <cell r="G87">
            <v>69600000</v>
          </cell>
        </row>
        <row r="88">
          <cell r="B88"/>
          <cell r="C88"/>
          <cell r="D88" t="str">
            <v>قهوه</v>
          </cell>
          <cell r="E88" t="str">
            <v>A Series</v>
          </cell>
          <cell r="F88">
            <v>750</v>
          </cell>
          <cell r="G88" t="e">
            <v>#N/A</v>
          </cell>
        </row>
        <row r="89">
          <cell r="B89"/>
          <cell r="C89"/>
          <cell r="D89" t="str">
            <v>قهوه</v>
          </cell>
          <cell r="E89" t="str">
            <v>A Series</v>
          </cell>
          <cell r="F89">
            <v>40</v>
          </cell>
          <cell r="G89" t="e">
            <v>#N/A</v>
          </cell>
        </row>
        <row r="90">
          <cell r="B90"/>
          <cell r="C90"/>
          <cell r="D90" t="str">
            <v>قهوه</v>
          </cell>
          <cell r="E90" t="str">
            <v>V Series</v>
          </cell>
          <cell r="F90">
            <v>150</v>
          </cell>
          <cell r="G90" t="e">
            <v>#N/A</v>
          </cell>
        </row>
        <row r="91">
          <cell r="B91"/>
          <cell r="C91"/>
          <cell r="D91" t="str">
            <v>قهوه</v>
          </cell>
          <cell r="E91" t="str">
            <v>V Series</v>
          </cell>
          <cell r="F91">
            <v>750</v>
          </cell>
          <cell r="G91" t="e">
            <v>#N/A</v>
          </cell>
        </row>
        <row r="92">
          <cell r="B92">
            <v>5521.1</v>
          </cell>
          <cell r="C92" t="str">
            <v xml:space="preserve">Ethiopia Sidama |اتیوپی سیداما    </v>
          </cell>
          <cell r="D92" t="str">
            <v>قهوه</v>
          </cell>
          <cell r="E92" t="str">
            <v>V Series</v>
          </cell>
          <cell r="F92">
            <v>150</v>
          </cell>
          <cell r="G92" t="str">
            <v>تست</v>
          </cell>
        </row>
        <row r="93">
          <cell r="B93">
            <v>5521.2</v>
          </cell>
          <cell r="C93" t="str">
            <v xml:space="preserve">Ethiopia Sidama |اتیوپی سیداما    </v>
          </cell>
          <cell r="D93" t="str">
            <v>قهوه</v>
          </cell>
          <cell r="E93" t="str">
            <v>V Series</v>
          </cell>
          <cell r="F93">
            <v>750</v>
          </cell>
          <cell r="G93">
            <v>8150000</v>
          </cell>
        </row>
        <row r="94">
          <cell r="B94">
            <v>5521.3</v>
          </cell>
          <cell r="C94" t="str">
            <v xml:space="preserve">Ethiopia Sidama |اتیوپی سیداما    </v>
          </cell>
          <cell r="D94" t="str">
            <v>قهوه</v>
          </cell>
          <cell r="E94" t="str">
            <v>V Series</v>
          </cell>
          <cell r="F94">
            <v>4000</v>
          </cell>
          <cell r="G94">
            <v>41200000</v>
          </cell>
        </row>
        <row r="95">
          <cell r="B95"/>
          <cell r="C95"/>
          <cell r="D95" t="str">
            <v>قهوه</v>
          </cell>
          <cell r="E95" t="str">
            <v>V Series</v>
          </cell>
          <cell r="F95"/>
          <cell r="G95" t="e">
            <v>#N/A</v>
          </cell>
        </row>
        <row r="96">
          <cell r="B96"/>
          <cell r="C96"/>
          <cell r="D96" t="str">
            <v>قهوه</v>
          </cell>
          <cell r="E96" t="str">
            <v>V Series</v>
          </cell>
          <cell r="F96">
            <v>150</v>
          </cell>
          <cell r="G96" t="e">
            <v>#N/A</v>
          </cell>
        </row>
        <row r="97">
          <cell r="B97"/>
          <cell r="C97"/>
          <cell r="D97" t="str">
            <v>قهوه</v>
          </cell>
          <cell r="E97" t="str">
            <v>V Series</v>
          </cell>
          <cell r="F97">
            <v>750</v>
          </cell>
          <cell r="G97" t="e">
            <v>#N/A</v>
          </cell>
        </row>
        <row r="98">
          <cell r="B98"/>
          <cell r="C98"/>
          <cell r="D98" t="str">
            <v>قهوه</v>
          </cell>
          <cell r="E98" t="str">
            <v>V Series</v>
          </cell>
          <cell r="F98">
            <v>4000</v>
          </cell>
          <cell r="G98" t="e">
            <v>#N/A</v>
          </cell>
        </row>
        <row r="99">
          <cell r="B99"/>
          <cell r="C99"/>
          <cell r="D99" t="str">
            <v>قهوه</v>
          </cell>
          <cell r="E99" t="str">
            <v>V Series</v>
          </cell>
          <cell r="F99">
            <v>150</v>
          </cell>
          <cell r="G99" t="e">
            <v>#N/A</v>
          </cell>
        </row>
        <row r="100">
          <cell r="B100"/>
          <cell r="C100"/>
          <cell r="D100" t="str">
            <v>قهوه</v>
          </cell>
          <cell r="E100" t="str">
            <v>V Series</v>
          </cell>
          <cell r="F100">
            <v>750</v>
          </cell>
          <cell r="G100" t="e">
            <v>#N/A</v>
          </cell>
        </row>
        <row r="101">
          <cell r="B101">
            <v>5518.1</v>
          </cell>
          <cell r="C101" t="str">
            <v>هوآنکایو | Peru Huancayo</v>
          </cell>
          <cell r="D101" t="str">
            <v>قهوه</v>
          </cell>
          <cell r="E101" t="str">
            <v>V Series</v>
          </cell>
          <cell r="F101">
            <v>150</v>
          </cell>
          <cell r="G101">
            <v>2100000</v>
          </cell>
        </row>
        <row r="102">
          <cell r="B102">
            <v>5518.2</v>
          </cell>
          <cell r="C102" t="str">
            <v>هوآنکایو | Peru Huancayo</v>
          </cell>
          <cell r="D102" t="str">
            <v>قهوه</v>
          </cell>
          <cell r="E102" t="str">
            <v>V Series</v>
          </cell>
          <cell r="F102">
            <v>750</v>
          </cell>
          <cell r="G102">
            <v>10000000</v>
          </cell>
        </row>
        <row r="103">
          <cell r="B103">
            <v>5518.3</v>
          </cell>
          <cell r="C103" t="str">
            <v>هوآنکایو | Peru Huancayo</v>
          </cell>
          <cell r="D103" t="str">
            <v>قهوه</v>
          </cell>
          <cell r="E103" t="str">
            <v>V Series</v>
          </cell>
          <cell r="F103">
            <v>4000</v>
          </cell>
          <cell r="G103">
            <v>51600000</v>
          </cell>
        </row>
        <row r="104">
          <cell r="B104"/>
          <cell r="C104"/>
          <cell r="D104" t="str">
            <v>لوازم جانبی</v>
          </cell>
          <cell r="E104" t="str">
            <v>BrewBook</v>
          </cell>
          <cell r="F104" t="str">
            <v>-</v>
          </cell>
          <cell r="G104" t="e">
            <v>#N/A</v>
          </cell>
        </row>
        <row r="105">
          <cell r="B105"/>
          <cell r="C105"/>
          <cell r="D105" t="str">
            <v>لوازم جانبی</v>
          </cell>
          <cell r="E105" t="str">
            <v>Sensory Box</v>
          </cell>
          <cell r="F105" t="str">
            <v>-</v>
          </cell>
          <cell r="G105" t="e">
            <v>#N/A</v>
          </cell>
        </row>
        <row r="106">
          <cell r="B106">
            <v>8800</v>
          </cell>
          <cell r="C106" t="str">
            <v>دفترچه ژاو</v>
          </cell>
          <cell r="D106" t="str">
            <v>لوازم جانبی</v>
          </cell>
          <cell r="E106" t="str">
            <v>Accessory</v>
          </cell>
          <cell r="F106" t="str">
            <v>-</v>
          </cell>
          <cell r="G106" t="str">
            <v>-</v>
          </cell>
        </row>
        <row r="107">
          <cell r="B107">
            <v>8810</v>
          </cell>
          <cell r="C107" t="str">
            <v>مداد ژاو</v>
          </cell>
          <cell r="D107" t="str">
            <v>لوازم جانبی</v>
          </cell>
          <cell r="E107" t="str">
            <v>Accessory</v>
          </cell>
          <cell r="F107" t="str">
            <v>-</v>
          </cell>
          <cell r="G107" t="str">
            <v>-</v>
          </cell>
        </row>
        <row r="108">
          <cell r="B108">
            <v>8820</v>
          </cell>
          <cell r="C108" t="str">
            <v>کیسه پارچه ای</v>
          </cell>
          <cell r="D108" t="str">
            <v>لوازم جانبی</v>
          </cell>
          <cell r="E108" t="str">
            <v>Accessory</v>
          </cell>
          <cell r="F108" t="str">
            <v>-</v>
          </cell>
          <cell r="G108" t="str">
            <v>-</v>
          </cell>
        </row>
        <row r="109">
          <cell r="B109">
            <v>5511.11</v>
          </cell>
          <cell r="C109" t="str">
            <v>هامبلا(رست دمی) | Hambella( Filter Roast)</v>
          </cell>
          <cell r="D109" t="str">
            <v>قهوه</v>
          </cell>
          <cell r="E109" t="str">
            <v>V Series</v>
          </cell>
          <cell r="F109">
            <v>150</v>
          </cell>
          <cell r="G109">
            <v>2800000</v>
          </cell>
        </row>
        <row r="110">
          <cell r="B110">
            <v>5511.22</v>
          </cell>
          <cell r="C110" t="str">
            <v>هامبلا(رست دمی) | Hambella( Filter Roast)</v>
          </cell>
          <cell r="D110" t="str">
            <v>قهوه</v>
          </cell>
          <cell r="E110" t="str">
            <v>V Series</v>
          </cell>
          <cell r="F110">
            <v>750</v>
          </cell>
          <cell r="G110">
            <v>13350000</v>
          </cell>
        </row>
        <row r="111">
          <cell r="B111"/>
          <cell r="C111"/>
          <cell r="D111" t="str">
            <v>لوازم جانبی</v>
          </cell>
          <cell r="E111"/>
          <cell r="F111" t="str">
            <v>-</v>
          </cell>
          <cell r="G111" t="e">
            <v>#N/A</v>
          </cell>
        </row>
        <row r="112">
          <cell r="B112">
            <v>8840</v>
          </cell>
          <cell r="C112" t="str">
            <v>دفتر 60 برگ ژاو</v>
          </cell>
          <cell r="D112" t="str">
            <v>لوازم جانبی</v>
          </cell>
          <cell r="E112" t="str">
            <v>Accessory</v>
          </cell>
          <cell r="F112" t="str">
            <v>-</v>
          </cell>
          <cell r="G112" t="str">
            <v>-</v>
          </cell>
        </row>
        <row r="113">
          <cell r="B113">
            <v>3324.1</v>
          </cell>
          <cell r="C113" t="str">
            <v>التو کوکوزه | Elto Kokose</v>
          </cell>
          <cell r="D113" t="str">
            <v>قهوه</v>
          </cell>
          <cell r="E113" t="str">
            <v>A Series</v>
          </cell>
          <cell r="F113">
            <v>150</v>
          </cell>
          <cell r="G113" t="e">
            <v>#N/A</v>
          </cell>
        </row>
        <row r="114">
          <cell r="B114">
            <v>3324.2</v>
          </cell>
          <cell r="C114" t="str">
            <v>التو کوکوزه | Elto Kokose</v>
          </cell>
          <cell r="D114" t="str">
            <v>قهوه</v>
          </cell>
          <cell r="E114" t="str">
            <v>A Series</v>
          </cell>
          <cell r="F114">
            <v>750</v>
          </cell>
          <cell r="G114" t="e">
            <v>#N/A</v>
          </cell>
        </row>
        <row r="115">
          <cell r="B115">
            <v>3324.3</v>
          </cell>
          <cell r="C115" t="str">
            <v>التو کوکوزه | Elto Kokose</v>
          </cell>
          <cell r="D115" t="str">
            <v>قهوه</v>
          </cell>
          <cell r="E115" t="str">
            <v>A Series</v>
          </cell>
          <cell r="F115">
            <v>40</v>
          </cell>
          <cell r="G115" t="e">
            <v>#N/A</v>
          </cell>
        </row>
        <row r="116">
          <cell r="B116">
            <v>3322.1</v>
          </cell>
          <cell r="C116" t="str">
            <v>هاماشو | Hamasho</v>
          </cell>
          <cell r="D116" t="str">
            <v>قهوه</v>
          </cell>
          <cell r="E116" t="str">
            <v>A Series</v>
          </cell>
          <cell r="F116">
            <v>150</v>
          </cell>
          <cell r="G116">
            <v>5800000</v>
          </cell>
        </row>
        <row r="117">
          <cell r="B117">
            <v>3322.2</v>
          </cell>
          <cell r="C117" t="str">
            <v>هاماشو | Hamasho</v>
          </cell>
          <cell r="D117" t="str">
            <v>قهوه</v>
          </cell>
          <cell r="E117" t="str">
            <v>A Series</v>
          </cell>
          <cell r="F117">
            <v>750</v>
          </cell>
          <cell r="G117">
            <v>28350000</v>
          </cell>
        </row>
        <row r="118">
          <cell r="B118">
            <v>3322.3</v>
          </cell>
          <cell r="C118" t="str">
            <v>هاماشو | Hamasho</v>
          </cell>
          <cell r="D118" t="str">
            <v>قهوه</v>
          </cell>
          <cell r="E118" t="str">
            <v>A Series</v>
          </cell>
          <cell r="F118">
            <v>40</v>
          </cell>
          <cell r="G118">
            <v>1650000</v>
          </cell>
        </row>
        <row r="119">
          <cell r="B119">
            <v>3323.1</v>
          </cell>
          <cell r="C119" t="str">
            <v>سرزا | La Cereza</v>
          </cell>
          <cell r="D119" t="str">
            <v>قهوه</v>
          </cell>
          <cell r="E119" t="str">
            <v>A Series</v>
          </cell>
          <cell r="F119">
            <v>150</v>
          </cell>
          <cell r="G119" t="e">
            <v>#N/A</v>
          </cell>
        </row>
        <row r="120">
          <cell r="B120">
            <v>3323.2</v>
          </cell>
          <cell r="C120" t="str">
            <v>سرزا | La Cereza</v>
          </cell>
          <cell r="D120" t="str">
            <v>قهوه</v>
          </cell>
          <cell r="E120" t="str">
            <v>A Series</v>
          </cell>
          <cell r="F120">
            <v>750</v>
          </cell>
          <cell r="G120" t="e">
            <v>#N/A</v>
          </cell>
        </row>
        <row r="121">
          <cell r="B121">
            <v>3323.3</v>
          </cell>
          <cell r="C121" t="str">
            <v>سرزا | La Cereza</v>
          </cell>
          <cell r="D121" t="str">
            <v>قهوه</v>
          </cell>
          <cell r="E121" t="str">
            <v>A Series</v>
          </cell>
          <cell r="F121">
            <v>40</v>
          </cell>
          <cell r="G121" t="e">
            <v>#N/A</v>
          </cell>
        </row>
        <row r="122">
          <cell r="B122">
            <v>3321.1</v>
          </cell>
          <cell r="C122" t="str">
            <v>ال‌کورو | El Chorro</v>
          </cell>
          <cell r="D122" t="str">
            <v>قهوه</v>
          </cell>
          <cell r="E122" t="str">
            <v>A Series</v>
          </cell>
          <cell r="F122">
            <v>150</v>
          </cell>
          <cell r="G122">
            <v>4700000</v>
          </cell>
        </row>
        <row r="123">
          <cell r="B123">
            <v>3321.2</v>
          </cell>
          <cell r="C123" t="str">
            <v>ال‌کورو | El Chorro</v>
          </cell>
          <cell r="D123" t="str">
            <v>قهوه</v>
          </cell>
          <cell r="E123" t="str">
            <v>A Series</v>
          </cell>
          <cell r="F123">
            <v>750</v>
          </cell>
          <cell r="G123">
            <v>22800000</v>
          </cell>
        </row>
        <row r="124">
          <cell r="B124">
            <v>3321.3</v>
          </cell>
          <cell r="C124" t="str">
            <v>ال‌کورو | El Chorro</v>
          </cell>
          <cell r="D124" t="str">
            <v>قهوه</v>
          </cell>
          <cell r="E124" t="str">
            <v>A Series</v>
          </cell>
          <cell r="F124">
            <v>40</v>
          </cell>
          <cell r="G124">
            <v>1400000</v>
          </cell>
        </row>
        <row r="125">
          <cell r="B125">
            <v>1123.0999999999999</v>
          </cell>
          <cell r="C125" t="str">
            <v>ال‌ پارایسو ۹۲ ویلتون | El Paraiso 92 Wilton</v>
          </cell>
          <cell r="D125" t="str">
            <v>قهوه</v>
          </cell>
          <cell r="E125" t="str">
            <v>X Series</v>
          </cell>
          <cell r="F125">
            <v>80</v>
          </cell>
          <cell r="G125">
            <v>4800000</v>
          </cell>
        </row>
        <row r="126">
          <cell r="B126"/>
          <cell r="C126"/>
          <cell r="D126"/>
          <cell r="E126"/>
          <cell r="F126"/>
          <cell r="G126" t="e">
            <v>#N/A</v>
          </cell>
        </row>
        <row r="127">
          <cell r="B127">
            <v>1123.3</v>
          </cell>
          <cell r="C127" t="str">
            <v>ال‌ پارایسو ۹۲ ویلتون | El Paraiso 92 Wilton</v>
          </cell>
          <cell r="D127" t="str">
            <v>قهوه</v>
          </cell>
          <cell r="E127" t="str">
            <v>X Series</v>
          </cell>
          <cell r="F127">
            <v>40</v>
          </cell>
          <cell r="G127">
            <v>2500000</v>
          </cell>
        </row>
        <row r="128">
          <cell r="B128">
            <v>1126.0999999999999</v>
          </cell>
          <cell r="C128" t="str">
            <v>دبورا نیروانا | Deborah Nirvana</v>
          </cell>
          <cell r="D128" t="str">
            <v>قهوه</v>
          </cell>
          <cell r="E128" t="str">
            <v>X Series</v>
          </cell>
          <cell r="F128">
            <v>80</v>
          </cell>
          <cell r="G128">
            <v>16600000</v>
          </cell>
        </row>
        <row r="129">
          <cell r="B129"/>
          <cell r="C129"/>
          <cell r="D129"/>
          <cell r="E129"/>
          <cell r="F129"/>
          <cell r="G129" t="e">
            <v>#N/A</v>
          </cell>
        </row>
        <row r="130">
          <cell r="B130">
            <v>1126.3</v>
          </cell>
          <cell r="C130" t="str">
            <v>دبورا نیروانا | Deborah Nirvana</v>
          </cell>
          <cell r="D130" t="str">
            <v>قهوه</v>
          </cell>
          <cell r="E130" t="str">
            <v>X Series</v>
          </cell>
          <cell r="F130">
            <v>40</v>
          </cell>
          <cell r="G130">
            <v>8400000</v>
          </cell>
        </row>
        <row r="131">
          <cell r="B131">
            <v>1125.0999999999999</v>
          </cell>
          <cell r="C131" t="str">
            <v>بنجامین دیانوس | Benjamin De Dianous</v>
          </cell>
          <cell r="D131" t="str">
            <v>قهوه</v>
          </cell>
          <cell r="E131" t="str">
            <v>X Series</v>
          </cell>
          <cell r="F131">
            <v>80</v>
          </cell>
          <cell r="G131">
            <v>11000000</v>
          </cell>
        </row>
        <row r="132">
          <cell r="B132"/>
          <cell r="C132"/>
          <cell r="D132"/>
          <cell r="E132"/>
          <cell r="F132"/>
          <cell r="G132" t="e">
            <v>#N/A</v>
          </cell>
        </row>
        <row r="133">
          <cell r="B133">
            <v>1125.3</v>
          </cell>
          <cell r="C133" t="str">
            <v>بنجامین دیانوس | Benjamin De Dianous</v>
          </cell>
          <cell r="D133" t="str">
            <v>قهوه</v>
          </cell>
          <cell r="E133" t="str">
            <v>X Series</v>
          </cell>
          <cell r="F133">
            <v>40</v>
          </cell>
          <cell r="G133">
            <v>5600000</v>
          </cell>
        </row>
        <row r="134">
          <cell r="B134">
            <v>1124.0999999999999</v>
          </cell>
          <cell r="C134" t="str">
            <v>دهکده آلو | Alo Village</v>
          </cell>
          <cell r="D134" t="str">
            <v>قهوه</v>
          </cell>
          <cell r="E134" t="str">
            <v>X Series</v>
          </cell>
          <cell r="F134">
            <v>80</v>
          </cell>
          <cell r="G134">
            <v>6000000</v>
          </cell>
        </row>
        <row r="135">
          <cell r="B135"/>
          <cell r="C135"/>
          <cell r="D135"/>
          <cell r="E135"/>
          <cell r="F135"/>
          <cell r="G135" t="e">
            <v>#N/A</v>
          </cell>
        </row>
        <row r="136">
          <cell r="B136">
            <v>1124.3</v>
          </cell>
          <cell r="C136" t="str">
            <v>دهکده آلو | Alo Village</v>
          </cell>
          <cell r="D136" t="str">
            <v>قهوه</v>
          </cell>
          <cell r="E136" t="str">
            <v>X Series</v>
          </cell>
          <cell r="F136">
            <v>40</v>
          </cell>
          <cell r="G136">
            <v>3100000</v>
          </cell>
        </row>
        <row r="137">
          <cell r="B137">
            <v>1127.0999999999999</v>
          </cell>
          <cell r="C137" t="str">
            <v>سولداد | Soledad</v>
          </cell>
          <cell r="D137" t="str">
            <v>قهوه</v>
          </cell>
          <cell r="E137" t="str">
            <v>X Series</v>
          </cell>
          <cell r="F137">
            <v>80</v>
          </cell>
          <cell r="G137">
            <v>4900000</v>
          </cell>
        </row>
        <row r="138">
          <cell r="B138"/>
          <cell r="C138"/>
          <cell r="D138"/>
          <cell r="E138"/>
          <cell r="F138"/>
          <cell r="G138" t="e">
            <v>#N/A</v>
          </cell>
        </row>
        <row r="139">
          <cell r="B139">
            <v>1127.3</v>
          </cell>
          <cell r="C139" t="str">
            <v>سولداد | Soledad</v>
          </cell>
          <cell r="D139" t="str">
            <v>قهوه</v>
          </cell>
          <cell r="E139" t="str">
            <v>X Series</v>
          </cell>
          <cell r="F139">
            <v>40</v>
          </cell>
          <cell r="G139">
            <v>2550000</v>
          </cell>
        </row>
        <row r="140">
          <cell r="B140">
            <v>1129.0999999999999</v>
          </cell>
          <cell r="C140" t="str">
            <v>جانسون | Janson</v>
          </cell>
          <cell r="D140" t="str">
            <v>قهوه</v>
          </cell>
          <cell r="E140" t="str">
            <v>X Series</v>
          </cell>
          <cell r="F140">
            <v>80</v>
          </cell>
          <cell r="G140">
            <v>9900000</v>
          </cell>
        </row>
        <row r="141">
          <cell r="B141"/>
          <cell r="C141"/>
          <cell r="D141"/>
          <cell r="E141"/>
          <cell r="F141"/>
          <cell r="G141" t="e">
            <v>#N/A</v>
          </cell>
        </row>
        <row r="142">
          <cell r="B142">
            <v>1129.3</v>
          </cell>
          <cell r="C142" t="str">
            <v>جانسون | Janson</v>
          </cell>
          <cell r="D142" t="str">
            <v>قهوه</v>
          </cell>
          <cell r="E142" t="str">
            <v>X Series</v>
          </cell>
          <cell r="F142">
            <v>40</v>
          </cell>
          <cell r="G142">
            <v>5050000</v>
          </cell>
        </row>
        <row r="143">
          <cell r="B143">
            <v>1130.0999999999999</v>
          </cell>
          <cell r="C143" t="str">
            <v>الیدا پلانو | Elida Plano</v>
          </cell>
          <cell r="D143" t="str">
            <v>قهوه</v>
          </cell>
          <cell r="E143" t="str">
            <v>X Series</v>
          </cell>
          <cell r="F143">
            <v>80</v>
          </cell>
          <cell r="G143">
            <v>13100000</v>
          </cell>
        </row>
        <row r="144">
          <cell r="B144"/>
          <cell r="C144"/>
          <cell r="D144"/>
          <cell r="E144"/>
          <cell r="F144"/>
          <cell r="G144" t="e">
            <v>#N/A</v>
          </cell>
        </row>
        <row r="145">
          <cell r="B145">
            <v>1130.3</v>
          </cell>
          <cell r="C145" t="str">
            <v>الیدا پلانو | Elida Plano</v>
          </cell>
          <cell r="D145" t="str">
            <v>قهوه</v>
          </cell>
          <cell r="E145" t="str">
            <v>X Series</v>
          </cell>
          <cell r="F145">
            <v>40</v>
          </cell>
          <cell r="G145">
            <v>6650000</v>
          </cell>
        </row>
        <row r="146">
          <cell r="B146">
            <v>1128.0999999999999</v>
          </cell>
          <cell r="C146" t="str">
            <v>لا ناتورا | La Natura</v>
          </cell>
          <cell r="D146" t="str">
            <v>قهوه</v>
          </cell>
          <cell r="E146" t="str">
            <v>X Series</v>
          </cell>
          <cell r="F146">
            <v>80</v>
          </cell>
          <cell r="G146">
            <v>5500000</v>
          </cell>
        </row>
        <row r="147">
          <cell r="B147"/>
          <cell r="C147"/>
          <cell r="D147"/>
          <cell r="E147"/>
          <cell r="F147"/>
          <cell r="G147" t="e">
            <v>#N/A</v>
          </cell>
        </row>
        <row r="148">
          <cell r="B148">
            <v>1128.3</v>
          </cell>
          <cell r="C148" t="str">
            <v>لا ناتورا | La Natura</v>
          </cell>
          <cell r="D148" t="str">
            <v>قهوه</v>
          </cell>
          <cell r="E148" t="str">
            <v>X Series</v>
          </cell>
          <cell r="F148">
            <v>40</v>
          </cell>
          <cell r="G148">
            <v>2850000</v>
          </cell>
        </row>
        <row r="149">
          <cell r="B149">
            <v>1118.0999999999999</v>
          </cell>
          <cell r="C149" t="str">
            <v>گرانجا | Granja</v>
          </cell>
          <cell r="D149" t="str">
            <v>قهوه</v>
          </cell>
          <cell r="E149" t="str">
            <v>X Series</v>
          </cell>
          <cell r="F149">
            <v>80</v>
          </cell>
          <cell r="G149">
            <v>7500000</v>
          </cell>
        </row>
        <row r="150">
          <cell r="B150"/>
          <cell r="C150"/>
          <cell r="D150"/>
          <cell r="E150"/>
          <cell r="F150"/>
          <cell r="G150" t="e">
            <v>#N/A</v>
          </cell>
        </row>
        <row r="151">
          <cell r="B151">
            <v>1118.3</v>
          </cell>
          <cell r="C151" t="str">
            <v>گرانجا | Granja</v>
          </cell>
          <cell r="D151" t="str">
            <v>قهوه</v>
          </cell>
          <cell r="E151" t="str">
            <v>X Series</v>
          </cell>
          <cell r="F151">
            <v>40</v>
          </cell>
          <cell r="G151">
            <v>3850000</v>
          </cell>
        </row>
        <row r="152">
          <cell r="B152"/>
          <cell r="C152"/>
          <cell r="D152"/>
          <cell r="E152"/>
          <cell r="F152" t="str">
            <v>-</v>
          </cell>
          <cell r="G152" t="e">
            <v>#N/A</v>
          </cell>
        </row>
        <row r="153">
          <cell r="B153"/>
          <cell r="C153"/>
          <cell r="D153"/>
          <cell r="E153"/>
          <cell r="F153" t="str">
            <v>-</v>
          </cell>
          <cell r="G153" t="e">
            <v>#N/A</v>
          </cell>
        </row>
        <row r="154">
          <cell r="B154"/>
          <cell r="C154"/>
          <cell r="D154"/>
          <cell r="E154"/>
          <cell r="F154" t="str">
            <v>-</v>
          </cell>
          <cell r="G154" t="e">
            <v>#N/A</v>
          </cell>
        </row>
        <row r="155">
          <cell r="B155"/>
          <cell r="C155"/>
          <cell r="D155"/>
          <cell r="E155"/>
          <cell r="F155" t="str">
            <v>-</v>
          </cell>
          <cell r="G155" t="e">
            <v>#N/A</v>
          </cell>
        </row>
        <row r="156">
          <cell r="B156"/>
          <cell r="C156"/>
          <cell r="D156"/>
          <cell r="E156"/>
          <cell r="F156" t="str">
            <v>-</v>
          </cell>
          <cell r="G156" t="e">
            <v>#N/A</v>
          </cell>
        </row>
        <row r="157">
          <cell r="B157"/>
          <cell r="C157"/>
          <cell r="D157"/>
          <cell r="E157"/>
          <cell r="F157" t="str">
            <v>-</v>
          </cell>
          <cell r="G157" t="e">
            <v>#N/A</v>
          </cell>
        </row>
        <row r="158">
          <cell r="B158"/>
          <cell r="C158"/>
          <cell r="D158"/>
          <cell r="E158"/>
          <cell r="F158" t="str">
            <v>-</v>
          </cell>
          <cell r="G158" t="e">
            <v>#N/A</v>
          </cell>
        </row>
        <row r="159">
          <cell r="B159"/>
          <cell r="C159"/>
          <cell r="D159"/>
          <cell r="E159"/>
          <cell r="F159" t="str">
            <v>-</v>
          </cell>
          <cell r="G159" t="e">
            <v>#N/A</v>
          </cell>
        </row>
        <row r="160">
          <cell r="B160"/>
          <cell r="C160"/>
          <cell r="D160"/>
          <cell r="E160"/>
          <cell r="F160" t="str">
            <v>-</v>
          </cell>
          <cell r="G160" t="e">
            <v>#N/A</v>
          </cell>
        </row>
        <row r="161">
          <cell r="B161"/>
          <cell r="C161"/>
          <cell r="D161"/>
          <cell r="E161"/>
          <cell r="F161" t="str">
            <v>-</v>
          </cell>
          <cell r="G161" t="e">
            <v>#N/A</v>
          </cell>
        </row>
        <row r="162">
          <cell r="B162"/>
          <cell r="C162"/>
          <cell r="D162"/>
          <cell r="E162"/>
          <cell r="F162" t="str">
            <v>-</v>
          </cell>
          <cell r="G162" t="e">
            <v>#N/A</v>
          </cell>
        </row>
        <row r="163">
          <cell r="B163"/>
          <cell r="C163"/>
          <cell r="D163"/>
          <cell r="E163"/>
          <cell r="F163" t="str">
            <v>-</v>
          </cell>
          <cell r="G163" t="e">
            <v>#N/A</v>
          </cell>
        </row>
        <row r="164">
          <cell r="B164"/>
          <cell r="C164"/>
          <cell r="D164"/>
          <cell r="E164"/>
          <cell r="F164" t="str">
            <v>-</v>
          </cell>
          <cell r="G164" t="e">
            <v>#N/A</v>
          </cell>
        </row>
        <row r="165">
          <cell r="B165"/>
          <cell r="C165"/>
          <cell r="D165"/>
          <cell r="E165"/>
          <cell r="F165" t="str">
            <v>-</v>
          </cell>
          <cell r="G165" t="e">
            <v>#N/A</v>
          </cell>
        </row>
        <row r="166">
          <cell r="B166"/>
          <cell r="C166"/>
          <cell r="D166"/>
          <cell r="E166"/>
          <cell r="F166" t="str">
            <v>-</v>
          </cell>
          <cell r="G166" t="e">
            <v>#N/A</v>
          </cell>
        </row>
        <row r="167">
          <cell r="B167"/>
          <cell r="C167"/>
          <cell r="D167"/>
          <cell r="E167"/>
          <cell r="F167" t="str">
            <v>-</v>
          </cell>
          <cell r="G167" t="e">
            <v>#N/A</v>
          </cell>
        </row>
        <row r="168">
          <cell r="B168"/>
          <cell r="C168"/>
          <cell r="D168"/>
          <cell r="E168"/>
          <cell r="F168" t="str">
            <v>-</v>
          </cell>
          <cell r="G168" t="e">
            <v>#N/A</v>
          </cell>
        </row>
        <row r="169">
          <cell r="B169"/>
          <cell r="C169"/>
          <cell r="D169"/>
          <cell r="E169"/>
          <cell r="F169" t="str">
            <v>-</v>
          </cell>
          <cell r="G169" t="e">
            <v>#N/A</v>
          </cell>
        </row>
        <row r="170">
          <cell r="B170"/>
          <cell r="C170"/>
          <cell r="D170"/>
          <cell r="E170"/>
          <cell r="F170" t="str">
            <v>-</v>
          </cell>
          <cell r="G170" t="e">
            <v>#N/A</v>
          </cell>
        </row>
        <row r="171">
          <cell r="B171"/>
          <cell r="C171"/>
          <cell r="D171"/>
          <cell r="E171"/>
          <cell r="F171" t="str">
            <v>-</v>
          </cell>
          <cell r="G171" t="e">
            <v>#N/A</v>
          </cell>
        </row>
        <row r="172">
          <cell r="B172"/>
          <cell r="C172"/>
          <cell r="D172"/>
          <cell r="E172"/>
          <cell r="F172" t="str">
            <v>-</v>
          </cell>
          <cell r="G172" t="e">
            <v>#N/A</v>
          </cell>
        </row>
        <row r="173">
          <cell r="B173"/>
          <cell r="C173"/>
          <cell r="D173"/>
          <cell r="E173"/>
          <cell r="F173" t="str">
            <v>-</v>
          </cell>
          <cell r="G173" t="e">
            <v>#N/A</v>
          </cell>
        </row>
        <row r="174">
          <cell r="B174"/>
          <cell r="C174"/>
          <cell r="D174"/>
          <cell r="E174"/>
          <cell r="F174" t="str">
            <v>-</v>
          </cell>
          <cell r="G174" t="e">
            <v>#N/A</v>
          </cell>
        </row>
        <row r="175">
          <cell r="B175"/>
          <cell r="C175"/>
          <cell r="D175"/>
          <cell r="E175"/>
          <cell r="F175" t="str">
            <v>-</v>
          </cell>
          <cell r="G175" t="e">
            <v>#N/A</v>
          </cell>
        </row>
        <row r="176">
          <cell r="B176"/>
          <cell r="C176"/>
          <cell r="D176"/>
          <cell r="E176"/>
          <cell r="F176" t="str">
            <v>-</v>
          </cell>
          <cell r="G176" t="e">
            <v>#N/A</v>
          </cell>
        </row>
        <row r="177">
          <cell r="B177"/>
          <cell r="C177"/>
          <cell r="D177"/>
          <cell r="E177"/>
          <cell r="F177" t="str">
            <v>-</v>
          </cell>
          <cell r="G177" t="e">
            <v>#N/A</v>
          </cell>
        </row>
        <row r="178">
          <cell r="B178"/>
          <cell r="C178"/>
          <cell r="D178"/>
          <cell r="E178"/>
          <cell r="F178" t="str">
            <v>-</v>
          </cell>
          <cell r="G178" t="e">
            <v>#N/A</v>
          </cell>
        </row>
        <row r="179">
          <cell r="B179"/>
          <cell r="C179"/>
          <cell r="D179"/>
          <cell r="E179"/>
          <cell r="F179" t="str">
            <v>-</v>
          </cell>
          <cell r="G179" t="e">
            <v>#N/A</v>
          </cell>
        </row>
        <row r="180">
          <cell r="B180"/>
          <cell r="C180"/>
          <cell r="D180"/>
          <cell r="E180"/>
          <cell r="F180" t="str">
            <v>-</v>
          </cell>
          <cell r="G180" t="e">
            <v>#N/A</v>
          </cell>
        </row>
        <row r="181">
          <cell r="B181"/>
          <cell r="C181"/>
          <cell r="D181"/>
          <cell r="E181"/>
          <cell r="F181" t="str">
            <v>-</v>
          </cell>
          <cell r="G181" t="e">
            <v>#N/A</v>
          </cell>
        </row>
        <row r="182">
          <cell r="B182"/>
          <cell r="C182"/>
          <cell r="D182"/>
          <cell r="E182"/>
          <cell r="F182" t="str">
            <v>-</v>
          </cell>
          <cell r="G182" t="e">
            <v>#N/A</v>
          </cell>
        </row>
        <row r="183">
          <cell r="B183"/>
          <cell r="C183"/>
          <cell r="D183"/>
          <cell r="E183"/>
          <cell r="F183" t="str">
            <v>-</v>
          </cell>
          <cell r="G183" t="e">
            <v>#N/A</v>
          </cell>
        </row>
        <row r="184">
          <cell r="B184"/>
          <cell r="C184"/>
          <cell r="D184"/>
          <cell r="E184"/>
          <cell r="F184" t="str">
            <v>-</v>
          </cell>
          <cell r="G184" t="e">
            <v>#N/A</v>
          </cell>
        </row>
        <row r="185">
          <cell r="B185"/>
          <cell r="C185"/>
          <cell r="D185"/>
          <cell r="E185"/>
          <cell r="F185" t="str">
            <v>-</v>
          </cell>
          <cell r="G185" t="e">
            <v>#N/A</v>
          </cell>
        </row>
        <row r="186">
          <cell r="B186"/>
          <cell r="C186"/>
          <cell r="D186"/>
          <cell r="E186"/>
          <cell r="F186" t="str">
            <v>-</v>
          </cell>
          <cell r="G186" t="e">
            <v>#N/A</v>
          </cell>
        </row>
        <row r="187">
          <cell r="B187"/>
          <cell r="C187"/>
          <cell r="D187"/>
          <cell r="E187"/>
          <cell r="F187" t="str">
            <v>-</v>
          </cell>
          <cell r="G187" t="e">
            <v>#N/A</v>
          </cell>
        </row>
        <row r="188">
          <cell r="B188"/>
          <cell r="C188"/>
          <cell r="D188"/>
          <cell r="E188"/>
          <cell r="F188" t="str">
            <v>-</v>
          </cell>
          <cell r="G188" t="e">
            <v>#N/A</v>
          </cell>
        </row>
        <row r="189">
          <cell r="B189"/>
          <cell r="C189"/>
          <cell r="D189"/>
          <cell r="E189"/>
          <cell r="F189" t="str">
            <v>-</v>
          </cell>
          <cell r="G189" t="e">
            <v>#N/A</v>
          </cell>
        </row>
        <row r="190">
          <cell r="B190"/>
          <cell r="C190"/>
          <cell r="D190"/>
          <cell r="E190"/>
          <cell r="F190" t="str">
            <v>-</v>
          </cell>
          <cell r="G190" t="e">
            <v>#N/A</v>
          </cell>
        </row>
        <row r="191">
          <cell r="B191"/>
          <cell r="C191"/>
          <cell r="D191"/>
          <cell r="E191"/>
          <cell r="F191" t="str">
            <v>-</v>
          </cell>
          <cell r="G191" t="e">
            <v>#N/A</v>
          </cell>
        </row>
        <row r="192">
          <cell r="B192"/>
          <cell r="C192"/>
          <cell r="D192"/>
          <cell r="E192"/>
          <cell r="F192" t="str">
            <v>-</v>
          </cell>
          <cell r="G192" t="e">
            <v>#N/A</v>
          </cell>
        </row>
        <row r="193">
          <cell r="B193"/>
          <cell r="C193"/>
          <cell r="D193"/>
          <cell r="E193"/>
          <cell r="F193" t="str">
            <v>-</v>
          </cell>
          <cell r="G193" t="e">
            <v>#N/A</v>
          </cell>
        </row>
        <row r="194">
          <cell r="B194"/>
          <cell r="C194"/>
          <cell r="D194"/>
          <cell r="E194"/>
          <cell r="F194" t="str">
            <v>-</v>
          </cell>
          <cell r="G194" t="e">
            <v>#N/A</v>
          </cell>
        </row>
        <row r="195">
          <cell r="B195"/>
          <cell r="C195"/>
          <cell r="D195"/>
          <cell r="E195"/>
          <cell r="F195" t="str">
            <v>-</v>
          </cell>
          <cell r="G195" t="e">
            <v>#N/A</v>
          </cell>
        </row>
        <row r="196">
          <cell r="B196"/>
          <cell r="C196"/>
          <cell r="D196"/>
          <cell r="E196"/>
          <cell r="F196" t="str">
            <v>-</v>
          </cell>
          <cell r="G196" t="e">
            <v>#N/A</v>
          </cell>
        </row>
        <row r="197">
          <cell r="B197"/>
          <cell r="C197"/>
          <cell r="D197"/>
          <cell r="E197"/>
          <cell r="F197" t="str">
            <v>-</v>
          </cell>
          <cell r="G197" t="e">
            <v>#N/A</v>
          </cell>
        </row>
        <row r="198">
          <cell r="B198"/>
          <cell r="C198"/>
          <cell r="D198"/>
          <cell r="E198"/>
          <cell r="F198" t="str">
            <v>-</v>
          </cell>
          <cell r="G198" t="e">
            <v>#N/A</v>
          </cell>
        </row>
        <row r="199">
          <cell r="B199"/>
          <cell r="C199"/>
          <cell r="D199"/>
          <cell r="E199"/>
          <cell r="F199" t="str">
            <v>-</v>
          </cell>
          <cell r="G199" t="e">
            <v>#N/A</v>
          </cell>
        </row>
        <row r="200">
          <cell r="B200"/>
          <cell r="C200"/>
          <cell r="D200"/>
          <cell r="E200"/>
          <cell r="F200" t="str">
            <v>-</v>
          </cell>
          <cell r="G200" t="e">
            <v>#N/A</v>
          </cell>
        </row>
        <row r="201">
          <cell r="B201"/>
          <cell r="C201"/>
          <cell r="D201"/>
          <cell r="E201"/>
          <cell r="F201" t="str">
            <v>-</v>
          </cell>
          <cell r="G201" t="e">
            <v>#N/A</v>
          </cell>
        </row>
        <row r="202">
          <cell r="B202"/>
          <cell r="C202"/>
          <cell r="D202"/>
          <cell r="E202"/>
          <cell r="F202" t="str">
            <v>-</v>
          </cell>
          <cell r="G202" t="e">
            <v>#N/A</v>
          </cell>
        </row>
        <row r="203">
          <cell r="B203"/>
          <cell r="C203"/>
          <cell r="D203"/>
          <cell r="E203"/>
          <cell r="F203" t="str">
            <v>-</v>
          </cell>
          <cell r="G203" t="e">
            <v>#N/A</v>
          </cell>
        </row>
        <row r="204">
          <cell r="B204"/>
          <cell r="C204"/>
          <cell r="D204"/>
          <cell r="E204"/>
          <cell r="F204" t="str">
            <v>-</v>
          </cell>
          <cell r="G204" t="e">
            <v>#N/A</v>
          </cell>
        </row>
        <row r="205">
          <cell r="B205"/>
          <cell r="C205"/>
          <cell r="D205"/>
          <cell r="E205"/>
          <cell r="F205" t="str">
            <v>-</v>
          </cell>
          <cell r="G205" t="e">
            <v>#N/A</v>
          </cell>
        </row>
        <row r="206">
          <cell r="B206"/>
          <cell r="C206"/>
          <cell r="D206"/>
          <cell r="E206"/>
          <cell r="F206" t="str">
            <v>-</v>
          </cell>
          <cell r="G206" t="e">
            <v>#N/A</v>
          </cell>
        </row>
        <row r="207">
          <cell r="B207"/>
          <cell r="C207"/>
          <cell r="D207"/>
          <cell r="E207"/>
          <cell r="F207" t="str">
            <v>-</v>
          </cell>
          <cell r="G207" t="e">
            <v>#N/A</v>
          </cell>
        </row>
        <row r="208">
          <cell r="B208"/>
          <cell r="C208"/>
          <cell r="D208"/>
          <cell r="E208"/>
          <cell r="F208" t="str">
            <v>-</v>
          </cell>
          <cell r="G208" t="e">
            <v>#N/A</v>
          </cell>
        </row>
        <row r="209">
          <cell r="B209"/>
          <cell r="C209"/>
          <cell r="D209"/>
          <cell r="E209"/>
          <cell r="F209" t="str">
            <v>-</v>
          </cell>
          <cell r="G209" t="e">
            <v>#N/A</v>
          </cell>
        </row>
        <row r="210">
          <cell r="B210"/>
          <cell r="C210"/>
          <cell r="D210"/>
          <cell r="E210"/>
          <cell r="F210" t="str">
            <v>-</v>
          </cell>
          <cell r="G210" t="e">
            <v>#N/A</v>
          </cell>
        </row>
        <row r="211">
          <cell r="B211"/>
          <cell r="C211"/>
          <cell r="D211"/>
          <cell r="E211"/>
          <cell r="F211" t="str">
            <v>-</v>
          </cell>
          <cell r="G211" t="e">
            <v>#N/A</v>
          </cell>
        </row>
        <row r="212">
          <cell r="B212"/>
          <cell r="C212"/>
          <cell r="D212"/>
          <cell r="E212"/>
          <cell r="F212" t="str">
            <v>-</v>
          </cell>
          <cell r="G212" t="e">
            <v>#N/A</v>
          </cell>
        </row>
        <row r="213">
          <cell r="B213"/>
          <cell r="C213"/>
          <cell r="D213"/>
          <cell r="E213"/>
          <cell r="F213" t="str">
            <v>-</v>
          </cell>
          <cell r="G213" t="e">
            <v>#N/A</v>
          </cell>
        </row>
        <row r="214">
          <cell r="B214"/>
          <cell r="C214"/>
          <cell r="D214"/>
          <cell r="E214"/>
          <cell r="F214" t="str">
            <v>-</v>
          </cell>
          <cell r="G214" t="e">
            <v>#N/A</v>
          </cell>
        </row>
        <row r="215">
          <cell r="B215"/>
          <cell r="C215"/>
          <cell r="D215"/>
          <cell r="E215"/>
          <cell r="F215" t="str">
            <v>-</v>
          </cell>
          <cell r="G215" t="e">
            <v>#N/A</v>
          </cell>
        </row>
        <row r="216">
          <cell r="B216"/>
          <cell r="C216"/>
          <cell r="D216"/>
          <cell r="E216"/>
          <cell r="F216" t="str">
            <v>-</v>
          </cell>
          <cell r="G216" t="e">
            <v>#N/A</v>
          </cell>
        </row>
        <row r="217">
          <cell r="B217"/>
          <cell r="C217"/>
          <cell r="D217"/>
          <cell r="E217"/>
          <cell r="F217" t="str">
            <v>-</v>
          </cell>
          <cell r="G217" t="e">
            <v>#N/A</v>
          </cell>
        </row>
        <row r="218">
          <cell r="B218"/>
          <cell r="C218"/>
          <cell r="D218"/>
          <cell r="E218"/>
          <cell r="F218" t="str">
            <v>-</v>
          </cell>
          <cell r="G218" t="e">
            <v>#N/A</v>
          </cell>
        </row>
        <row r="219">
          <cell r="B219"/>
          <cell r="C219"/>
          <cell r="D219"/>
          <cell r="E219"/>
          <cell r="F219" t="str">
            <v>-</v>
          </cell>
          <cell r="G219" t="e">
            <v>#N/A</v>
          </cell>
        </row>
        <row r="220">
          <cell r="B220"/>
          <cell r="C220"/>
          <cell r="D220"/>
          <cell r="E220"/>
          <cell r="F220" t="str">
            <v>-</v>
          </cell>
          <cell r="G220" t="e">
            <v>#N/A</v>
          </cell>
        </row>
        <row r="221">
          <cell r="B221"/>
          <cell r="C221"/>
          <cell r="D221"/>
          <cell r="E221"/>
          <cell r="F221" t="str">
            <v>-</v>
          </cell>
          <cell r="G221" t="e">
            <v>#N/A</v>
          </cell>
        </row>
        <row r="222">
          <cell r="B222"/>
          <cell r="C222"/>
          <cell r="D222"/>
          <cell r="E222"/>
          <cell r="F222" t="str">
            <v>-</v>
          </cell>
          <cell r="G222" t="e">
            <v>#N/A</v>
          </cell>
        </row>
        <row r="223">
          <cell r="B223"/>
          <cell r="C223"/>
          <cell r="D223"/>
          <cell r="E223"/>
          <cell r="F223" t="str">
            <v>-</v>
          </cell>
          <cell r="G223" t="e">
            <v>#N/A</v>
          </cell>
        </row>
        <row r="224">
          <cell r="B224"/>
          <cell r="C224"/>
          <cell r="D224"/>
          <cell r="E224"/>
          <cell r="F224" t="str">
            <v>-</v>
          </cell>
          <cell r="G224" t="e">
            <v>#N/A</v>
          </cell>
        </row>
        <row r="225">
          <cell r="B225"/>
          <cell r="C225"/>
          <cell r="D225"/>
          <cell r="E225"/>
          <cell r="F225" t="str">
            <v>-</v>
          </cell>
          <cell r="G225" t="e">
            <v>#N/A</v>
          </cell>
        </row>
        <row r="226">
          <cell r="B226"/>
          <cell r="C226"/>
          <cell r="D226"/>
          <cell r="E226"/>
          <cell r="F226" t="str">
            <v>-</v>
          </cell>
          <cell r="G226" t="e">
            <v>#N/A</v>
          </cell>
        </row>
        <row r="227">
          <cell r="B227"/>
          <cell r="C227"/>
          <cell r="D227"/>
          <cell r="E227"/>
          <cell r="F227" t="str">
            <v>-</v>
          </cell>
          <cell r="G227" t="e">
            <v>#N/A</v>
          </cell>
        </row>
        <row r="228">
          <cell r="B228"/>
          <cell r="C228"/>
          <cell r="D228"/>
          <cell r="E228"/>
          <cell r="F228" t="str">
            <v>-</v>
          </cell>
          <cell r="G228" t="e">
            <v>#N/A</v>
          </cell>
        </row>
        <row r="229">
          <cell r="B229"/>
          <cell r="C229"/>
          <cell r="D229"/>
          <cell r="E229"/>
          <cell r="F229" t="str">
            <v>-</v>
          </cell>
          <cell r="G229" t="e">
            <v>#N/A</v>
          </cell>
        </row>
        <row r="230">
          <cell r="B230"/>
          <cell r="C230"/>
          <cell r="D230"/>
          <cell r="E230"/>
          <cell r="F230" t="str">
            <v>-</v>
          </cell>
          <cell r="G230" t="e">
            <v>#N/A</v>
          </cell>
        </row>
        <row r="231">
          <cell r="B231"/>
          <cell r="C231"/>
          <cell r="D231"/>
          <cell r="E231"/>
          <cell r="F231" t="str">
            <v>-</v>
          </cell>
          <cell r="G231" t="e">
            <v>#N/A</v>
          </cell>
        </row>
        <row r="232">
          <cell r="B232"/>
          <cell r="C232"/>
          <cell r="D232"/>
          <cell r="E232"/>
          <cell r="F232" t="str">
            <v>-</v>
          </cell>
          <cell r="G232" t="e">
            <v>#N/A</v>
          </cell>
        </row>
        <row r="233">
          <cell r="B233"/>
          <cell r="C233"/>
          <cell r="D233"/>
          <cell r="E233"/>
          <cell r="F233" t="str">
            <v>-</v>
          </cell>
          <cell r="G233" t="e">
            <v>#N/A</v>
          </cell>
        </row>
        <row r="234">
          <cell r="B234"/>
          <cell r="C234"/>
          <cell r="D234"/>
          <cell r="E234"/>
          <cell r="F234" t="str">
            <v>-</v>
          </cell>
          <cell r="G234" t="e">
            <v>#N/A</v>
          </cell>
        </row>
        <row r="235">
          <cell r="B235"/>
          <cell r="C235"/>
          <cell r="D235"/>
          <cell r="E235"/>
          <cell r="F235" t="str">
            <v>-</v>
          </cell>
          <cell r="G235" t="e">
            <v>#N/A</v>
          </cell>
        </row>
        <row r="236">
          <cell r="B236"/>
          <cell r="C236"/>
          <cell r="D236"/>
          <cell r="E236"/>
          <cell r="F236" t="str">
            <v>-</v>
          </cell>
          <cell r="G236" t="e">
            <v>#N/A</v>
          </cell>
        </row>
        <row r="237">
          <cell r="B237"/>
          <cell r="C237"/>
          <cell r="D237"/>
          <cell r="E237"/>
          <cell r="F237" t="str">
            <v>-</v>
          </cell>
          <cell r="G237" t="e">
            <v>#N/A</v>
          </cell>
        </row>
      </sheetData>
      <sheetData sheetId="3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محصولات"/>
      <sheetName val="Sheet1"/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13"/>
      <sheetName val="14"/>
      <sheetName val="15"/>
      <sheetName val="16"/>
      <sheetName val="17"/>
      <sheetName val="18"/>
      <sheetName val="19"/>
      <sheetName val="20"/>
      <sheetName val="21"/>
      <sheetName val="22"/>
      <sheetName val="23"/>
      <sheetName val="24"/>
      <sheetName val="25"/>
      <sheetName val="26"/>
      <sheetName val="27"/>
      <sheetName val="28"/>
      <sheetName val="29"/>
      <sheetName val="30"/>
      <sheetName val="31"/>
    </sheetNames>
    <sheetDataSet>
      <sheetData sheetId="0"/>
      <sheetData sheetId="1">
        <row r="204">
          <cell r="AH204">
            <v>0</v>
          </cell>
        </row>
        <row r="205">
          <cell r="AH205">
            <v>0</v>
          </cell>
        </row>
        <row r="207">
          <cell r="AH207">
            <v>0</v>
          </cell>
        </row>
        <row r="208">
          <cell r="AH208">
            <v>0</v>
          </cell>
        </row>
        <row r="209">
          <cell r="AH209">
            <v>0</v>
          </cell>
        </row>
        <row r="210">
          <cell r="AH210">
            <v>0</v>
          </cell>
        </row>
        <row r="211">
          <cell r="AH211">
            <v>0</v>
          </cell>
        </row>
        <row r="212">
          <cell r="AH212">
            <v>0</v>
          </cell>
        </row>
        <row r="213">
          <cell r="AH213">
            <v>0</v>
          </cell>
        </row>
        <row r="214">
          <cell r="AH214">
            <v>0</v>
          </cell>
        </row>
        <row r="215">
          <cell r="AH215">
            <v>0</v>
          </cell>
        </row>
        <row r="216">
          <cell r="AH216">
            <v>0</v>
          </cell>
        </row>
        <row r="217">
          <cell r="AH217">
            <v>0</v>
          </cell>
        </row>
        <row r="218">
          <cell r="AH218">
            <v>0</v>
          </cell>
        </row>
        <row r="219">
          <cell r="AH219">
            <v>0</v>
          </cell>
        </row>
        <row r="220">
          <cell r="AH220">
            <v>0</v>
          </cell>
        </row>
        <row r="221">
          <cell r="AH221">
            <v>0</v>
          </cell>
        </row>
        <row r="222">
          <cell r="AH222">
            <v>0</v>
          </cell>
        </row>
        <row r="223">
          <cell r="AH223">
            <v>0</v>
          </cell>
        </row>
        <row r="224">
          <cell r="AH224">
            <v>0</v>
          </cell>
        </row>
        <row r="225">
          <cell r="AH225">
            <v>0</v>
          </cell>
        </row>
        <row r="226">
          <cell r="AH226">
            <v>0</v>
          </cell>
        </row>
        <row r="227">
          <cell r="AH227">
            <v>0</v>
          </cell>
        </row>
        <row r="228">
          <cell r="AH228">
            <v>0</v>
          </cell>
        </row>
        <row r="229">
          <cell r="AH229">
            <v>0</v>
          </cell>
        </row>
        <row r="230">
          <cell r="AH230">
            <v>0</v>
          </cell>
        </row>
        <row r="231">
          <cell r="AH231">
            <v>0</v>
          </cell>
        </row>
        <row r="232">
          <cell r="AH232">
            <v>0</v>
          </cell>
        </row>
        <row r="233">
          <cell r="AH233">
            <v>0</v>
          </cell>
        </row>
        <row r="234">
          <cell r="AH234">
            <v>0</v>
          </cell>
        </row>
        <row r="235">
          <cell r="AH235">
            <v>0</v>
          </cell>
        </row>
        <row r="236">
          <cell r="AH236">
            <v>0</v>
          </cell>
        </row>
        <row r="237">
          <cell r="AH237">
            <v>0</v>
          </cell>
        </row>
        <row r="238">
          <cell r="AH238">
            <v>0</v>
          </cell>
        </row>
        <row r="239">
          <cell r="AH239">
            <v>0</v>
          </cell>
        </row>
        <row r="240">
          <cell r="AH240">
            <v>0</v>
          </cell>
        </row>
        <row r="241">
          <cell r="AH241">
            <v>0</v>
          </cell>
        </row>
        <row r="242">
          <cell r="AH242">
            <v>0</v>
          </cell>
        </row>
        <row r="243">
          <cell r="AH243">
            <v>0</v>
          </cell>
        </row>
        <row r="244">
          <cell r="AH244">
            <v>0</v>
          </cell>
        </row>
        <row r="245">
          <cell r="AH245">
            <v>0</v>
          </cell>
        </row>
        <row r="246">
          <cell r="AH246">
            <v>0</v>
          </cell>
        </row>
        <row r="247">
          <cell r="AH247">
            <v>0</v>
          </cell>
        </row>
        <row r="248">
          <cell r="AH248">
            <v>0</v>
          </cell>
        </row>
        <row r="249">
          <cell r="AH249">
            <v>0</v>
          </cell>
        </row>
        <row r="250">
          <cell r="AH250">
            <v>0</v>
          </cell>
        </row>
        <row r="251">
          <cell r="AH251">
            <v>0</v>
          </cell>
        </row>
        <row r="252">
          <cell r="AH252">
            <v>0</v>
          </cell>
        </row>
        <row r="253">
          <cell r="AH253">
            <v>0</v>
          </cell>
        </row>
        <row r="254">
          <cell r="AH254">
            <v>0</v>
          </cell>
        </row>
        <row r="255">
          <cell r="AH255">
            <v>0</v>
          </cell>
        </row>
        <row r="256">
          <cell r="AH256">
            <v>0</v>
          </cell>
        </row>
        <row r="257">
          <cell r="AH257">
            <v>0</v>
          </cell>
        </row>
        <row r="258">
          <cell r="AH258">
            <v>0</v>
          </cell>
        </row>
        <row r="259">
          <cell r="AH259">
            <v>0</v>
          </cell>
        </row>
        <row r="260">
          <cell r="AH260">
            <v>0</v>
          </cell>
        </row>
        <row r="261">
          <cell r="AH261">
            <v>0</v>
          </cell>
        </row>
        <row r="262">
          <cell r="AH262">
            <v>0</v>
          </cell>
        </row>
        <row r="263">
          <cell r="AH263">
            <v>0</v>
          </cell>
        </row>
        <row r="264">
          <cell r="AH264">
            <v>0</v>
          </cell>
        </row>
        <row r="265">
          <cell r="AH265">
            <v>0</v>
          </cell>
        </row>
        <row r="266">
          <cell r="AH266">
            <v>0</v>
          </cell>
        </row>
        <row r="267">
          <cell r="AH267">
            <v>0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A553D-88B4-43C6-999C-E6161EED2E14}">
  <dimension ref="A1:AR267"/>
  <sheetViews>
    <sheetView rightToLeft="1" topLeftCell="G1" zoomScale="70" zoomScaleNormal="70" workbookViewId="0">
      <selection activeCell="J26" sqref="J2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" style="28" bestFit="1" customWidth="1"/>
    <col min="9" max="9" width="24.66406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5.5546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7.88671875" style="24" bestFit="1" customWidth="1"/>
    <col min="29" max="29" width="15.77734375" style="31" bestFit="1" customWidth="1"/>
    <col min="30" max="30" width="13.6640625" style="32" bestFit="1" customWidth="1"/>
    <col min="31" max="31" width="40.88671875" style="24" bestFit="1" customWidth="1"/>
    <col min="32" max="32" width="28.33203125" style="24" bestFit="1" customWidth="1"/>
    <col min="33" max="33" width="13.5546875" style="24" bestFit="1" customWidth="1"/>
    <col min="34" max="34" width="124.5546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1" t="s">
        <v>0</v>
      </c>
      <c r="B1" s="152"/>
      <c r="C1" s="151" t="s">
        <v>1</v>
      </c>
      <c r="D1" s="152"/>
      <c r="E1" s="151" t="s">
        <v>2</v>
      </c>
      <c r="F1" s="152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3" t="s">
        <v>17</v>
      </c>
      <c r="V1" s="154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55">
        <v>1</v>
      </c>
      <c r="H2" s="157" t="s">
        <v>74</v>
      </c>
      <c r="I2" s="155" t="s">
        <v>75</v>
      </c>
      <c r="J2" s="132" t="s">
        <v>76</v>
      </c>
      <c r="K2" s="11" t="str">
        <f t="shared" ref="K2:K65" ca="1" si="0">IF(C2, TODAY(), "" )</f>
        <v/>
      </c>
      <c r="L2" s="142"/>
      <c r="M2" s="142" t="s">
        <v>77</v>
      </c>
      <c r="N2" s="142" t="s">
        <v>78</v>
      </c>
      <c r="O2" s="9">
        <v>5501.3</v>
      </c>
      <c r="P2" s="9">
        <v>2</v>
      </c>
      <c r="Q2" s="13" t="str">
        <f>VLOOKUP(O2, '[1]لیست محصولات اردیبهشت ۱۴۰۳'!B:C,2,0)</f>
        <v>ورتکس | Vortex</v>
      </c>
      <c r="R2" s="9"/>
      <c r="S2" s="12">
        <f>VLOOKUP(O2, '[1]لیست محصولات اردیبهشت ۱۴۰۳'!B:F,5,0)</f>
        <v>4000</v>
      </c>
      <c r="T2" s="14">
        <f>VLOOKUP(O2, '[1]لیست محصولات اردیبهشت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2</v>
      </c>
      <c r="X2" s="14">
        <f t="shared" ref="X2:X65" si="3">P2*T2</f>
        <v>102400000</v>
      </c>
      <c r="Y2" s="17"/>
      <c r="Z2" s="14">
        <f t="shared" ref="Z2:Z65" si="4">X2-Y2</f>
        <v>102400000</v>
      </c>
      <c r="AA2" s="140" t="s">
        <v>79</v>
      </c>
      <c r="AB2" s="138" t="s">
        <v>70</v>
      </c>
      <c r="AC2" s="136" t="s">
        <v>80</v>
      </c>
      <c r="AD2" s="134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56"/>
      <c r="H3" s="158"/>
      <c r="I3" s="156"/>
      <c r="J3" s="133"/>
      <c r="K3" s="11" t="str">
        <f t="shared" ca="1" si="0"/>
        <v/>
      </c>
      <c r="L3" s="143"/>
      <c r="M3" s="143"/>
      <c r="N3" s="143"/>
      <c r="O3" s="9">
        <v>5511.3</v>
      </c>
      <c r="P3" s="9">
        <v>2</v>
      </c>
      <c r="Q3" s="13" t="str">
        <f>VLOOKUP(O3, '[1]لیست محصولات اردیبهشت ۱۴۰۳'!B:C,2,0)</f>
        <v>هامبلا | Hambella</v>
      </c>
      <c r="R3" s="9"/>
      <c r="S3" s="12">
        <f>VLOOKUP(O3, '[1]لیست محصولات اردیبهشت ۱۴۰۳'!B:F,5,0)</f>
        <v>4000</v>
      </c>
      <c r="T3" s="14">
        <f>VLOOKUP(O3, '[1]لیست محصولات اردیبهشت ۱۴۰۳'!B:G,6,0)</f>
        <v>69600000</v>
      </c>
      <c r="U3" s="15"/>
      <c r="V3" s="16">
        <f t="shared" si="1"/>
        <v>0</v>
      </c>
      <c r="W3" s="12">
        <f t="shared" si="2"/>
        <v>2</v>
      </c>
      <c r="X3" s="14">
        <f t="shared" si="3"/>
        <v>139200000</v>
      </c>
      <c r="Y3" s="17"/>
      <c r="Z3" s="14">
        <f t="shared" si="4"/>
        <v>139200000</v>
      </c>
      <c r="AA3" s="141"/>
      <c r="AB3" s="139"/>
      <c r="AC3" s="137"/>
      <c r="AD3" s="135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276609509024</v>
      </c>
      <c r="I4" s="25" t="s">
        <v>75</v>
      </c>
      <c r="J4" s="9"/>
      <c r="K4" s="11" t="str">
        <f t="shared" ca="1" si="0"/>
        <v/>
      </c>
      <c r="L4" s="12" t="s">
        <v>89</v>
      </c>
      <c r="M4" s="12" t="s">
        <v>90</v>
      </c>
      <c r="N4" s="12" t="s">
        <v>91</v>
      </c>
      <c r="O4" s="9">
        <v>5523.2</v>
      </c>
      <c r="P4" s="9">
        <v>2</v>
      </c>
      <c r="Q4" s="13" t="str">
        <f>VLOOKUP(O4, '[1]لیست محصولات اردیبهشت ۱۴۰۳'!B:C,2,0)</f>
        <v>کوتوا دانکن | Kotowa Duncan</v>
      </c>
      <c r="R4" s="9"/>
      <c r="S4" s="12">
        <f>VLOOKUP(O4, '[1]لیست محصولات اردیبهشت ۱۴۰۳'!B:F,5,0)</f>
        <v>750</v>
      </c>
      <c r="T4" s="14">
        <f>VLOOKUP(O4, '[1]لیست محصولات اردیبهشت ۱۴۰۳'!B:G,6,0)</f>
        <v>12150000</v>
      </c>
      <c r="U4" s="15"/>
      <c r="V4" s="16">
        <f t="shared" si="1"/>
        <v>0</v>
      </c>
      <c r="W4" s="12">
        <f t="shared" si="2"/>
        <v>2</v>
      </c>
      <c r="X4" s="14">
        <f t="shared" si="3"/>
        <v>24300000</v>
      </c>
      <c r="Y4" s="17"/>
      <c r="Z4" s="14">
        <f t="shared" si="4"/>
        <v>24300000</v>
      </c>
      <c r="AA4" s="18" t="s">
        <v>92</v>
      </c>
      <c r="AB4" s="13" t="s">
        <v>93</v>
      </c>
      <c r="AC4" s="19" t="s">
        <v>94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تبریز ولیعصر.اعتصامی شمالی،نبش کوچه شش متری هشتم پ ۲۸ کافه گره - آرشام حیدرآبادی 09031308123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32">
        <v>3</v>
      </c>
      <c r="H5" s="130">
        <v>276618089006</v>
      </c>
      <c r="I5" s="132" t="s">
        <v>75</v>
      </c>
      <c r="J5" s="132"/>
      <c r="K5" s="11" t="str">
        <f t="shared" ca="1" si="0"/>
        <v/>
      </c>
      <c r="L5" s="142" t="s">
        <v>95</v>
      </c>
      <c r="M5" s="142" t="s">
        <v>96</v>
      </c>
      <c r="N5" s="142"/>
      <c r="O5" s="9">
        <v>5501.1</v>
      </c>
      <c r="P5" s="9">
        <v>1</v>
      </c>
      <c r="Q5" s="13" t="str">
        <f>VLOOKUP(O5, '[1]لیست محصولات اردیبهشت ۱۴۰۳'!B:C,2,0)</f>
        <v>ورتکس | Vortex</v>
      </c>
      <c r="R5" s="9"/>
      <c r="S5" s="12">
        <f>VLOOKUP(O5, '[1]لیست محصولات اردیبهشت ۱۴۰۳'!B:F,5,0)</f>
        <v>150</v>
      </c>
      <c r="T5" s="14">
        <f>VLOOKUP(O5, '[1]لیست محصولات اردیبهشت ۱۴۰۳'!B:G,6,0)</f>
        <v>2100000</v>
      </c>
      <c r="U5" s="15"/>
      <c r="V5" s="16">
        <f t="shared" si="1"/>
        <v>0</v>
      </c>
      <c r="W5" s="12">
        <f t="shared" si="2"/>
        <v>1</v>
      </c>
      <c r="X5" s="14">
        <f t="shared" si="3"/>
        <v>2100000</v>
      </c>
      <c r="Y5" s="17"/>
      <c r="Z5" s="14">
        <f t="shared" si="4"/>
        <v>2100000</v>
      </c>
      <c r="AA5" s="140" t="s">
        <v>79</v>
      </c>
      <c r="AB5" s="138" t="s">
        <v>97</v>
      </c>
      <c r="AC5" s="136" t="s">
        <v>98</v>
      </c>
      <c r="AD5" s="134" t="s">
        <v>99</v>
      </c>
      <c r="AE5" s="19"/>
      <c r="AF5" s="21"/>
      <c r="AG5" s="22" t="str">
        <f t="shared" si="5"/>
        <v>TRUE</v>
      </c>
      <c r="AH5" s="23" t="str">
        <f t="shared" si="6"/>
        <v>تهران خیابان استاد معین،خیابان هاشمی،کوچه رجب علی کریمی،پلاک51،واحد1  - بابک میرزایی 09215841746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33"/>
      <c r="H6" s="131"/>
      <c r="I6" s="133"/>
      <c r="J6" s="133"/>
      <c r="K6" s="11" t="str">
        <f t="shared" ca="1" si="0"/>
        <v/>
      </c>
      <c r="L6" s="143"/>
      <c r="M6" s="143"/>
      <c r="N6" s="143"/>
      <c r="O6" s="9">
        <v>5523.1</v>
      </c>
      <c r="P6" s="9">
        <v>1</v>
      </c>
      <c r="Q6" s="13" t="str">
        <f>VLOOKUP(O6, '[1]لیست محصولات اردیبهشت ۱۴۰۳'!B:C,2,0)</f>
        <v>کوتوا دانکن | Kotowa Duncan</v>
      </c>
      <c r="R6" s="9"/>
      <c r="S6" s="12">
        <f>VLOOKUP(O6, '[1]لیست محصولات اردیبهشت ۱۴۰۳'!B:F,5,0)</f>
        <v>150</v>
      </c>
      <c r="T6" s="14">
        <f>VLOOKUP(O6, '[1]لیست محصولات اردیبهشت ۱۴۰۳'!B:G,6,0)</f>
        <v>2550000</v>
      </c>
      <c r="U6" s="15"/>
      <c r="V6" s="16">
        <f t="shared" si="1"/>
        <v>0</v>
      </c>
      <c r="W6" s="12">
        <f t="shared" si="2"/>
        <v>1</v>
      </c>
      <c r="X6" s="14">
        <f t="shared" si="3"/>
        <v>2550000</v>
      </c>
      <c r="Y6" s="17"/>
      <c r="Z6" s="14">
        <f t="shared" si="4"/>
        <v>2550000</v>
      </c>
      <c r="AA6" s="141"/>
      <c r="AB6" s="139"/>
      <c r="AC6" s="137"/>
      <c r="AD6" s="135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276621193342</v>
      </c>
      <c r="I7" s="9" t="s">
        <v>75</v>
      </c>
      <c r="J7" s="9"/>
      <c r="K7" s="11" t="str">
        <f t="shared" ca="1" si="0"/>
        <v/>
      </c>
      <c r="L7" s="12" t="s">
        <v>100</v>
      </c>
      <c r="M7" s="12" t="s">
        <v>101</v>
      </c>
      <c r="N7" s="12"/>
      <c r="O7" s="9">
        <v>5522.1</v>
      </c>
      <c r="P7" s="9">
        <v>2</v>
      </c>
      <c r="Q7" s="13" t="str">
        <f>VLOOKUP(O7, '[1]لیست محصولات اردیبهشت ۱۴۰۳'!B:C,2,0)</f>
        <v>تامارا | Tamara</v>
      </c>
      <c r="R7" s="9" t="s">
        <v>102</v>
      </c>
      <c r="S7" s="12">
        <f>VLOOKUP(O7, '[1]لیست محصولات اردیبهشت ۱۴۰۳'!B:F,5,0)</f>
        <v>150</v>
      </c>
      <c r="T7" s="14">
        <f>VLOOKUP(O7, '[1]لیست محصولات اردیبهشت ۱۴۰۳'!B:G,6,0)</f>
        <v>2600000</v>
      </c>
      <c r="U7" s="26"/>
      <c r="V7" s="16">
        <f t="shared" si="1"/>
        <v>0</v>
      </c>
      <c r="W7" s="12">
        <f t="shared" si="2"/>
        <v>2</v>
      </c>
      <c r="X7" s="14">
        <f t="shared" si="3"/>
        <v>5200000</v>
      </c>
      <c r="Y7" s="17"/>
      <c r="Z7" s="14">
        <f t="shared" si="4"/>
        <v>5200000</v>
      </c>
      <c r="AA7" s="18" t="s">
        <v>79</v>
      </c>
      <c r="AB7" s="13" t="s">
        <v>103</v>
      </c>
      <c r="AC7" s="19" t="s">
        <v>104</v>
      </c>
      <c r="AD7" s="20" t="s">
        <v>99</v>
      </c>
      <c r="AE7" s="68" t="s">
        <v>105</v>
      </c>
      <c r="AF7" s="21"/>
      <c r="AG7" s="22" t="str">
        <f t="shared" si="5"/>
        <v>TRUE</v>
      </c>
      <c r="AH7" s="23" t="str">
        <f t="shared" si="6"/>
        <v>تهران سهروردی جنوبی، امین‌زاده ، پلاک ۲۶, واحد ۲  - کوثر رضایی 09386855070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32">
        <v>5</v>
      </c>
      <c r="H8" s="130">
        <v>276642752682</v>
      </c>
      <c r="I8" s="132" t="s">
        <v>75</v>
      </c>
      <c r="J8" s="132"/>
      <c r="K8" s="11" t="str">
        <f t="shared" ca="1" si="0"/>
        <v/>
      </c>
      <c r="L8" s="142" t="s">
        <v>106</v>
      </c>
      <c r="M8" s="142" t="s">
        <v>107</v>
      </c>
      <c r="N8" s="142" t="s">
        <v>108</v>
      </c>
      <c r="O8" s="9">
        <v>5501.3</v>
      </c>
      <c r="P8" s="9">
        <v>1</v>
      </c>
      <c r="Q8" s="13" t="str">
        <f>VLOOKUP(O8, '[1]لیست محصولات اردیبهشت ۱۴۰۳'!B:C,2,0)</f>
        <v>ورتکس | Vortex</v>
      </c>
      <c r="R8" s="9"/>
      <c r="S8" s="12">
        <f>VLOOKUP(O8, '[1]لیست محصولات اردیبهشت ۱۴۰۳'!B:F,5,0)</f>
        <v>4000</v>
      </c>
      <c r="T8" s="14">
        <f>VLOOKUP(O8, '[1]لیست محصولات اردیبهشت ۱۴۰۳'!B:G,6,0)</f>
        <v>51200000</v>
      </c>
      <c r="U8" s="15"/>
      <c r="V8" s="16">
        <f t="shared" si="1"/>
        <v>0</v>
      </c>
      <c r="W8" s="12">
        <f t="shared" si="2"/>
        <v>1</v>
      </c>
      <c r="X8" s="14">
        <f t="shared" si="3"/>
        <v>51200000</v>
      </c>
      <c r="Y8" s="17"/>
      <c r="Z8" s="14">
        <f t="shared" si="4"/>
        <v>51200000</v>
      </c>
      <c r="AA8" s="140" t="s">
        <v>109</v>
      </c>
      <c r="AB8" s="138" t="s">
        <v>110</v>
      </c>
      <c r="AC8" s="136" t="s">
        <v>111</v>
      </c>
      <c r="AD8" s="134"/>
      <c r="AE8" s="19"/>
      <c r="AF8" s="21"/>
      <c r="AG8" s="22" t="str">
        <f t="shared" si="5"/>
        <v>TRUE</v>
      </c>
      <c r="AH8" s="23" t="str">
        <f t="shared" si="6"/>
        <v>اصفهان خیابان شمس آبادی، کوچه کازرونی، نبش سه راهی، پاساژ امید،طبقه اول کافه دولت - نگار نقیه 09334075144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44"/>
      <c r="H9" s="150"/>
      <c r="I9" s="144"/>
      <c r="J9" s="144"/>
      <c r="K9" s="11" t="str">
        <f t="shared" ca="1" si="0"/>
        <v/>
      </c>
      <c r="L9" s="145"/>
      <c r="M9" s="145"/>
      <c r="N9" s="145"/>
      <c r="O9" s="9">
        <v>3325.1</v>
      </c>
      <c r="P9" s="9">
        <v>1</v>
      </c>
      <c r="Q9" s="13" t="str">
        <f>VLOOKUP(O9, '[1]لیست محصولات اردیبهشت ۱۴۰۳'!B:C,2,0)</f>
        <v>راتناگری | Ratnagiri</v>
      </c>
      <c r="R9" s="9"/>
      <c r="S9" s="12">
        <f>VLOOKUP(O9, '[1]لیست محصولات اردیبهشت ۱۴۰۳'!B:F,5,0)</f>
        <v>150</v>
      </c>
      <c r="T9" s="14">
        <f>VLOOKUP(O9, '[1]لیست محصولات اردیبهشت ۱۴۰۳'!B:G,6,0)</f>
        <v>4250000</v>
      </c>
      <c r="U9" s="15"/>
      <c r="V9" s="16">
        <f t="shared" si="1"/>
        <v>0</v>
      </c>
      <c r="W9" s="12">
        <f t="shared" si="2"/>
        <v>1</v>
      </c>
      <c r="X9" s="14">
        <f t="shared" si="3"/>
        <v>4250000</v>
      </c>
      <c r="Y9" s="17"/>
      <c r="Z9" s="14">
        <f t="shared" si="4"/>
        <v>4250000</v>
      </c>
      <c r="AA9" s="149"/>
      <c r="AB9" s="148"/>
      <c r="AC9" s="147"/>
      <c r="AD9" s="146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44"/>
      <c r="H10" s="150"/>
      <c r="I10" s="144"/>
      <c r="J10" s="144"/>
      <c r="K10" s="11" t="str">
        <f t="shared" ca="1" si="0"/>
        <v/>
      </c>
      <c r="L10" s="145"/>
      <c r="M10" s="145"/>
      <c r="N10" s="145"/>
      <c r="O10" s="9">
        <v>3326.1</v>
      </c>
      <c r="P10" s="9">
        <v>1</v>
      </c>
      <c r="Q10" s="13" t="str">
        <f>VLOOKUP(O10, '[1]لیست محصولات اردیبهشت ۱۴۰۳'!B:C,2,0)</f>
        <v>میاگروس | Milagros</v>
      </c>
      <c r="R10" s="9"/>
      <c r="S10" s="12">
        <f>VLOOKUP(O10, '[1]لیست محصولات اردیبهشت ۱۴۰۳'!B:F,5,0)</f>
        <v>150</v>
      </c>
      <c r="T10" s="14">
        <f>VLOOKUP(O10, '[1]لیست محصولات اردیبهشت ۱۴۰۳'!B:G,6,0)</f>
        <v>3750000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3750000</v>
      </c>
      <c r="Y10" s="17"/>
      <c r="Z10" s="14">
        <f t="shared" si="4"/>
        <v>3750000</v>
      </c>
      <c r="AA10" s="149"/>
      <c r="AB10" s="148"/>
      <c r="AC10" s="147"/>
      <c r="AD10" s="146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33"/>
      <c r="H11" s="131"/>
      <c r="I11" s="133"/>
      <c r="J11" s="133"/>
      <c r="K11" s="11" t="str">
        <f t="shared" ca="1" si="0"/>
        <v/>
      </c>
      <c r="L11" s="143"/>
      <c r="M11" s="143"/>
      <c r="N11" s="143"/>
      <c r="O11" s="9">
        <v>5522.1</v>
      </c>
      <c r="P11" s="9">
        <v>1</v>
      </c>
      <c r="Q11" s="13" t="str">
        <f>VLOOKUP(O11, '[1]لیست محصولات اردیبهشت ۱۴۰۳'!B:C,2,0)</f>
        <v>تامارا | Tamara</v>
      </c>
      <c r="R11" s="9"/>
      <c r="S11" s="12">
        <f>VLOOKUP(O11, '[1]لیست محصولات اردیبهشت ۱۴۰۳'!B:F,5,0)</f>
        <v>150</v>
      </c>
      <c r="T11" s="14">
        <f>VLOOKUP(O11, '[1]لیست محصولات اردیبهشت ۱۴۰۳'!B:G,6,0)</f>
        <v>2600000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2600000</v>
      </c>
      <c r="Y11" s="17"/>
      <c r="Z11" s="14">
        <f t="shared" si="4"/>
        <v>2600000</v>
      </c>
      <c r="AA11" s="141"/>
      <c r="AB11" s="139"/>
      <c r="AC11" s="137"/>
      <c r="AD11" s="135"/>
      <c r="AE11" s="19"/>
      <c r="AF11" s="21"/>
      <c r="AG11" s="22" t="str">
        <f t="shared" si="5"/>
        <v>TRUE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32">
        <v>6</v>
      </c>
      <c r="H12" s="130">
        <v>276643299394</v>
      </c>
      <c r="I12" s="132" t="s">
        <v>75</v>
      </c>
      <c r="J12" s="132"/>
      <c r="K12" s="11" t="str">
        <f t="shared" ca="1" si="0"/>
        <v/>
      </c>
      <c r="L12" s="142" t="s">
        <v>112</v>
      </c>
      <c r="M12" s="142" t="s">
        <v>113</v>
      </c>
      <c r="N12" s="142" t="s">
        <v>114</v>
      </c>
      <c r="O12" s="9">
        <v>5501.3</v>
      </c>
      <c r="P12" s="9">
        <v>1</v>
      </c>
      <c r="Q12" s="13" t="str">
        <f>VLOOKUP(O12, '[1]لیست محصولات اردیبهشت ۱۴۰۳'!B:C,2,0)</f>
        <v>ورتکس | Vortex</v>
      </c>
      <c r="R12" s="9"/>
      <c r="S12" s="12">
        <f>VLOOKUP(O12, '[1]لیست محصولات اردیبهشت ۱۴۰۳'!B:F,5,0)</f>
        <v>4000</v>
      </c>
      <c r="T12" s="14">
        <f>VLOOKUP(O12, '[1]لیست محصولات اردیبهشت ۱۴۰۳'!B:G,6,0)</f>
        <v>51200000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51200000</v>
      </c>
      <c r="Y12" s="17"/>
      <c r="Z12" s="14">
        <f t="shared" si="4"/>
        <v>51200000</v>
      </c>
      <c r="AA12" s="140" t="s">
        <v>115</v>
      </c>
      <c r="AB12" s="138" t="s">
        <v>116</v>
      </c>
      <c r="AC12" s="136" t="s">
        <v>117</v>
      </c>
      <c r="AD12" s="134"/>
      <c r="AE12" s="19"/>
      <c r="AF12" s="21"/>
      <c r="AG12" s="22" t="str">
        <f t="shared" si="5"/>
        <v>TRUE</v>
      </c>
      <c r="AH12" s="23" t="str">
        <f t="shared" si="6"/>
        <v>زنجان چهارراه سعدی به سمت دروازه ارک کوچه شادمان قهوه آفریقا - محمدرضا جلدی 09195241245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44"/>
      <c r="H13" s="150"/>
      <c r="I13" s="144"/>
      <c r="J13" s="144"/>
      <c r="K13" s="11" t="str">
        <f t="shared" ca="1" si="0"/>
        <v/>
      </c>
      <c r="L13" s="145"/>
      <c r="M13" s="145"/>
      <c r="N13" s="145"/>
      <c r="O13" s="9">
        <v>5522.2</v>
      </c>
      <c r="P13" s="9">
        <v>2</v>
      </c>
      <c r="Q13" s="13" t="str">
        <f>VLOOKUP(O13, '[1]لیست محصولات اردیبهشت ۱۴۰۳'!B:C,2,0)</f>
        <v>تامارا | Tamara</v>
      </c>
      <c r="R13" s="9"/>
      <c r="S13" s="12">
        <f>VLOOKUP(O13, '[1]لیست محصولات اردیبهشت ۱۴۰۳'!B:F,5,0)</f>
        <v>750</v>
      </c>
      <c r="T13" s="14">
        <f>VLOOKUP(O13, '[1]لیست محصولات اردیبهشت ۱۴۰۳'!B:G,6,0)</f>
        <v>12450000</v>
      </c>
      <c r="U13" s="26"/>
      <c r="V13" s="16">
        <f t="shared" si="1"/>
        <v>0</v>
      </c>
      <c r="W13" s="12">
        <f t="shared" si="2"/>
        <v>2</v>
      </c>
      <c r="X13" s="14">
        <f t="shared" si="3"/>
        <v>24900000</v>
      </c>
      <c r="Y13" s="17"/>
      <c r="Z13" s="14">
        <f t="shared" si="4"/>
        <v>24900000</v>
      </c>
      <c r="AA13" s="149"/>
      <c r="AB13" s="148"/>
      <c r="AC13" s="147"/>
      <c r="AD13" s="146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44"/>
      <c r="H14" s="150"/>
      <c r="I14" s="144"/>
      <c r="J14" s="144"/>
      <c r="K14" s="11" t="str">
        <f t="shared" ca="1" si="0"/>
        <v/>
      </c>
      <c r="L14" s="145"/>
      <c r="M14" s="145"/>
      <c r="N14" s="145"/>
      <c r="O14" s="9">
        <v>5511.22</v>
      </c>
      <c r="P14" s="9">
        <v>3</v>
      </c>
      <c r="Q14" s="69" t="str">
        <f>VLOOKUP(O14, '[1]لیست محصولات اردیبهشت ۱۴۰۳'!B:C,2,0)</f>
        <v>هامبلا(رست دمی) | Hambella( Filter Roast)</v>
      </c>
      <c r="R14" s="9"/>
      <c r="S14" s="12">
        <f>VLOOKUP(O14, '[1]لیست محصولات اردیبهشت ۱۴۰۳'!B:F,5,0)</f>
        <v>750</v>
      </c>
      <c r="T14" s="14">
        <f>VLOOKUP(O14, '[1]لیست محصولات اردیبهشت ۱۴۰۳'!B:G,6,0)</f>
        <v>13350000</v>
      </c>
      <c r="U14" s="15"/>
      <c r="V14" s="16">
        <f t="shared" si="1"/>
        <v>0</v>
      </c>
      <c r="W14" s="12">
        <f t="shared" si="2"/>
        <v>3</v>
      </c>
      <c r="X14" s="14">
        <f t="shared" si="3"/>
        <v>40050000</v>
      </c>
      <c r="Y14" s="17"/>
      <c r="Z14" s="14">
        <f t="shared" si="4"/>
        <v>40050000</v>
      </c>
      <c r="AA14" s="149"/>
      <c r="AB14" s="148"/>
      <c r="AC14" s="147"/>
      <c r="AD14" s="146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33"/>
      <c r="H15" s="131"/>
      <c r="I15" s="133"/>
      <c r="J15" s="133"/>
      <c r="K15" s="11" t="str">
        <f t="shared" ca="1" si="0"/>
        <v/>
      </c>
      <c r="L15" s="143"/>
      <c r="M15" s="143"/>
      <c r="N15" s="143"/>
      <c r="O15" s="9">
        <v>1130.0999999999999</v>
      </c>
      <c r="P15" s="9">
        <v>1</v>
      </c>
      <c r="Q15" s="13" t="str">
        <f>VLOOKUP(O15, '[1]لیست محصولات اردیبهشت ۱۴۰۳'!B:C,2,0)</f>
        <v>الیدا پلانو | Elida Plano</v>
      </c>
      <c r="R15" s="9"/>
      <c r="S15" s="12">
        <f>VLOOKUP(O15, '[1]لیست محصولات اردیبهشت ۱۴۰۳'!B:F,5,0)</f>
        <v>80</v>
      </c>
      <c r="T15" s="14">
        <f>VLOOKUP(O15, '[1]لیست محصولات اردیبهشت ۱۴۰۳'!B:G,6,0)</f>
        <v>13100000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13100000</v>
      </c>
      <c r="Y15" s="17"/>
      <c r="Z15" s="14">
        <f t="shared" si="4"/>
        <v>13100000</v>
      </c>
      <c r="AA15" s="141"/>
      <c r="AB15" s="139"/>
      <c r="AC15" s="137"/>
      <c r="AD15" s="135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32">
        <v>7</v>
      </c>
      <c r="H16" s="130">
        <v>276652708220</v>
      </c>
      <c r="I16" s="132" t="s">
        <v>118</v>
      </c>
      <c r="J16" s="132"/>
      <c r="K16" s="11" t="str">
        <f t="shared" ca="1" si="0"/>
        <v/>
      </c>
      <c r="L16" s="142" t="s">
        <v>119</v>
      </c>
      <c r="M16" s="142" t="s">
        <v>120</v>
      </c>
      <c r="N16" s="142"/>
      <c r="O16" s="9">
        <v>3326.1</v>
      </c>
      <c r="P16" s="9">
        <v>1</v>
      </c>
      <c r="Q16" s="13" t="str">
        <f>VLOOKUP(O16, '[1]لیست محصولات اردیبهشت ۱۴۰۳'!B:C,2,0)</f>
        <v>میاگروس | Milagros</v>
      </c>
      <c r="R16" s="9"/>
      <c r="S16" s="12">
        <f>VLOOKUP(O16, '[1]لیست محصولات اردیبهشت ۱۴۰۳'!B:F,5,0)</f>
        <v>150</v>
      </c>
      <c r="T16" s="14">
        <f>VLOOKUP(O16, '[1]لیست محصولات اردیبهشت ۱۴۰۳'!B:G,6,0)</f>
        <v>3750000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3750000</v>
      </c>
      <c r="Y16" s="17"/>
      <c r="Z16" s="14">
        <f t="shared" si="4"/>
        <v>3750000</v>
      </c>
      <c r="AA16" s="140" t="s">
        <v>92</v>
      </c>
      <c r="AB16" s="138" t="s">
        <v>121</v>
      </c>
      <c r="AC16" s="136" t="s">
        <v>122</v>
      </c>
      <c r="AD16" s="134"/>
      <c r="AE16" s="19"/>
      <c r="AF16" s="21"/>
      <c r="AG16" s="22" t="str">
        <f t="shared" si="5"/>
        <v>TRUE</v>
      </c>
      <c r="AH16" s="23" t="str">
        <f t="shared" si="6"/>
        <v>تبریز میرداماد خیابان بینش ۱ کوچه هشت متری ششم پلاک ۷ طبقه دوم  - محمد فیروزنده 09025861502</v>
      </c>
    </row>
    <row r="17" spans="1:34" ht="22.35" customHeight="1">
      <c r="A17" s="7"/>
      <c r="B17" s="7"/>
      <c r="C17" s="7"/>
      <c r="D17" s="7"/>
      <c r="E17" s="7"/>
      <c r="F17" s="8"/>
      <c r="G17" s="144"/>
      <c r="H17" s="150"/>
      <c r="I17" s="144"/>
      <c r="J17" s="144"/>
      <c r="K17" s="11" t="str">
        <f t="shared" ca="1" si="0"/>
        <v/>
      </c>
      <c r="L17" s="145"/>
      <c r="M17" s="145"/>
      <c r="N17" s="145"/>
      <c r="O17" s="9">
        <v>5522.1</v>
      </c>
      <c r="P17" s="9">
        <v>1</v>
      </c>
      <c r="Q17" s="13" t="str">
        <f>VLOOKUP(O17, '[1]لیست محصولات اردیبهشت ۱۴۰۳'!B:C,2,0)</f>
        <v>تامارا | Tamara</v>
      </c>
      <c r="R17" s="9"/>
      <c r="S17" s="12">
        <f>VLOOKUP(O17, '[1]لیست محصولات اردیبهشت ۱۴۰۳'!B:F,5,0)</f>
        <v>150</v>
      </c>
      <c r="T17" s="14">
        <f>VLOOKUP(O17, '[1]لیست محصولات اردیبهشت ۱۴۰۳'!B:G,6,0)</f>
        <v>2600000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2600000</v>
      </c>
      <c r="Y17" s="17"/>
      <c r="Z17" s="14">
        <f t="shared" si="4"/>
        <v>2600000</v>
      </c>
      <c r="AA17" s="149"/>
      <c r="AB17" s="148"/>
      <c r="AC17" s="147"/>
      <c r="AD17" s="146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44"/>
      <c r="H18" s="150"/>
      <c r="I18" s="144"/>
      <c r="J18" s="144"/>
      <c r="K18" s="11" t="str">
        <f t="shared" ca="1" si="0"/>
        <v/>
      </c>
      <c r="L18" s="145"/>
      <c r="M18" s="145"/>
      <c r="N18" s="145"/>
      <c r="O18" s="9">
        <v>5523.1</v>
      </c>
      <c r="P18" s="9">
        <v>1</v>
      </c>
      <c r="Q18" s="13" t="str">
        <f>VLOOKUP(O18, '[1]لیست محصولات اردیبهشت ۱۴۰۳'!B:C,2,0)</f>
        <v>کوتوا دانکن | Kotowa Duncan</v>
      </c>
      <c r="R18" s="9"/>
      <c r="S18" s="12">
        <f>VLOOKUP(O18, '[1]لیست محصولات اردیبهشت ۱۴۰۳'!B:F,5,0)</f>
        <v>150</v>
      </c>
      <c r="T18" s="14">
        <f>VLOOKUP(O18, '[1]لیست محصولات اردیبهشت ۱۴۰۳'!B:G,6,0)</f>
        <v>2550000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2550000</v>
      </c>
      <c r="Y18" s="17"/>
      <c r="Z18" s="14">
        <f t="shared" si="4"/>
        <v>2550000</v>
      </c>
      <c r="AA18" s="149"/>
      <c r="AB18" s="148"/>
      <c r="AC18" s="147"/>
      <c r="AD18" s="146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44"/>
      <c r="H19" s="150"/>
      <c r="I19" s="144"/>
      <c r="J19" s="144"/>
      <c r="K19" s="11" t="str">
        <f t="shared" ca="1" si="0"/>
        <v/>
      </c>
      <c r="L19" s="145"/>
      <c r="M19" s="145"/>
      <c r="N19" s="145"/>
      <c r="O19" s="9">
        <v>5511.1</v>
      </c>
      <c r="P19" s="9">
        <v>1</v>
      </c>
      <c r="Q19" s="13" t="str">
        <f>VLOOKUP(O19, '[1]لیست محصولات اردیبهشت ۱۴۰۳'!B:C,2,0)</f>
        <v>هامبلا | Hambella</v>
      </c>
      <c r="R19" s="9"/>
      <c r="S19" s="12">
        <f>VLOOKUP(O19, '[1]لیست محصولات اردیبهشت ۱۴۰۳'!B:F,5,0)</f>
        <v>150</v>
      </c>
      <c r="T19" s="14">
        <f>VLOOKUP(O19, '[1]لیست محصولات اردیبهشت ۱۴۰۳'!B:G,6,0)</f>
        <v>2800000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2800000</v>
      </c>
      <c r="Y19" s="17"/>
      <c r="Z19" s="14">
        <f t="shared" si="4"/>
        <v>2800000</v>
      </c>
      <c r="AA19" s="149"/>
      <c r="AB19" s="148"/>
      <c r="AC19" s="147"/>
      <c r="AD19" s="146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33"/>
      <c r="H20" s="131"/>
      <c r="I20" s="133"/>
      <c r="J20" s="133"/>
      <c r="K20" s="11" t="str">
        <f t="shared" ca="1" si="0"/>
        <v/>
      </c>
      <c r="L20" s="143"/>
      <c r="M20" s="143"/>
      <c r="N20" s="143"/>
      <c r="O20" s="9">
        <v>5501.1</v>
      </c>
      <c r="P20" s="9">
        <v>1</v>
      </c>
      <c r="Q20" s="13" t="str">
        <f>VLOOKUP(O20, '[1]لیست محصولات اردیبهشت ۱۴۰۳'!B:C,2,0)</f>
        <v>ورتکس | Vortex</v>
      </c>
      <c r="R20" s="9"/>
      <c r="S20" s="12">
        <f>VLOOKUP(O20, '[1]لیست محصولات اردیبهشت ۱۴۰۳'!B:F,5,0)</f>
        <v>150</v>
      </c>
      <c r="T20" s="14">
        <f>VLOOKUP(O20, '[1]لیست محصولات اردیبهشت ۱۴۰۳'!B:G,6,0)</f>
        <v>2100000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2100000</v>
      </c>
      <c r="Y20" s="17"/>
      <c r="Z20" s="14">
        <f t="shared" si="4"/>
        <v>2100000</v>
      </c>
      <c r="AA20" s="141"/>
      <c r="AB20" s="139"/>
      <c r="AC20" s="137"/>
      <c r="AD20" s="135"/>
      <c r="AE20" s="19"/>
      <c r="AF20" s="21"/>
      <c r="AG20" s="22" t="str">
        <f t="shared" si="5"/>
        <v>TRUE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32">
        <v>8</v>
      </c>
      <c r="H21" s="130">
        <v>276660760355</v>
      </c>
      <c r="I21" s="132" t="s">
        <v>118</v>
      </c>
      <c r="J21" s="132"/>
      <c r="K21" s="11" t="str">
        <f t="shared" ca="1" si="0"/>
        <v/>
      </c>
      <c r="L21" s="142" t="s">
        <v>123</v>
      </c>
      <c r="M21" s="142" t="s">
        <v>124</v>
      </c>
      <c r="N21" s="142"/>
      <c r="O21" s="9">
        <v>5523.1</v>
      </c>
      <c r="P21" s="9">
        <v>1</v>
      </c>
      <c r="Q21" s="13" t="str">
        <f>VLOOKUP(O21, '[1]لیست محصولات اردیبهشت ۱۴۰۳'!B:C,2,0)</f>
        <v>کوتوا دانکن | Kotowa Duncan</v>
      </c>
      <c r="R21" s="9" t="s">
        <v>125</v>
      </c>
      <c r="S21" s="12">
        <f>VLOOKUP(O21, '[1]لیست محصولات اردیبهشت ۱۴۰۳'!B:F,5,0)</f>
        <v>150</v>
      </c>
      <c r="T21" s="14">
        <f>VLOOKUP(O21, '[1]لیست محصولات اردیبهشت ۱۴۰۳'!B:G,6,0)</f>
        <v>2550000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2550000</v>
      </c>
      <c r="Y21" s="17"/>
      <c r="Z21" s="14">
        <f t="shared" si="4"/>
        <v>2550000</v>
      </c>
      <c r="AA21" s="140" t="s">
        <v>79</v>
      </c>
      <c r="AB21" s="138" t="s">
        <v>126</v>
      </c>
      <c r="AC21" s="136" t="s">
        <v>127</v>
      </c>
      <c r="AD21" s="134" t="s">
        <v>99</v>
      </c>
      <c r="AE21" s="19"/>
      <c r="AF21" s="21"/>
      <c r="AG21" s="22" t="str">
        <f t="shared" si="5"/>
        <v>TRUE</v>
      </c>
      <c r="AH21" s="23" t="str">
        <f t="shared" si="6"/>
        <v>تهران فرمانیه شرقی - دیباجی شمالی - ارغوان غربی - نبش خویی - پلاک ۹ - مجتمع گل یاس - واحد ۱۲۱ - (تحویل نگهبانی شود)  - آرمین سجادیان 09379701707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33"/>
      <c r="H22" s="131"/>
      <c r="I22" s="133"/>
      <c r="J22" s="133"/>
      <c r="K22" s="11" t="str">
        <f t="shared" ca="1" si="0"/>
        <v/>
      </c>
      <c r="L22" s="143"/>
      <c r="M22" s="143"/>
      <c r="N22" s="143"/>
      <c r="O22" s="9">
        <v>5522.1</v>
      </c>
      <c r="P22" s="9">
        <v>1</v>
      </c>
      <c r="Q22" s="13" t="str">
        <f>VLOOKUP(O22, '[1]لیست محصولات اردیبهشت ۱۴۰۳'!B:C,2,0)</f>
        <v>تامارا | Tamara</v>
      </c>
      <c r="R22" s="9" t="s">
        <v>125</v>
      </c>
      <c r="S22" s="12">
        <f>VLOOKUP(O22, '[1]لیست محصولات اردیبهشت ۱۴۰۳'!B:F,5,0)</f>
        <v>150</v>
      </c>
      <c r="T22" s="14">
        <f>VLOOKUP(O22, '[1]لیست محصولات اردیبهشت ۱۴۰۳'!B:G,6,0)</f>
        <v>2600000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2600000</v>
      </c>
      <c r="Y22" s="17"/>
      <c r="Z22" s="14">
        <f t="shared" si="4"/>
        <v>2600000</v>
      </c>
      <c r="AA22" s="141"/>
      <c r="AB22" s="139"/>
      <c r="AC22" s="137"/>
      <c r="AD22" s="135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6">
        <v>9</v>
      </c>
      <c r="H23" s="67"/>
      <c r="I23" s="66" t="s">
        <v>118</v>
      </c>
      <c r="J23" s="9" t="s">
        <v>76</v>
      </c>
      <c r="K23" s="11" t="str">
        <f t="shared" ca="1" si="0"/>
        <v/>
      </c>
      <c r="L23" s="12" t="s">
        <v>130</v>
      </c>
      <c r="M23" s="12" t="s">
        <v>131</v>
      </c>
      <c r="N23" s="12" t="s">
        <v>132</v>
      </c>
      <c r="O23" s="9">
        <v>5523.2</v>
      </c>
      <c r="P23" s="9">
        <v>7</v>
      </c>
      <c r="Q23" s="13" t="str">
        <f>VLOOKUP(O23, '[1]لیست محصولات اردیبهشت ۱۴۰۳'!B:C,2,0)</f>
        <v>کوتوا دانکن | Kotowa Duncan</v>
      </c>
      <c r="R23" s="9"/>
      <c r="S23" s="12">
        <f>VLOOKUP(O23, '[1]لیست محصولات اردیبهشت ۱۴۰۳'!B:F,5,0)</f>
        <v>750</v>
      </c>
      <c r="T23" s="14">
        <f>VLOOKUP(O23, '[1]لیست محصولات اردیبهشت ۱۴۰۳'!B:G,6,0)</f>
        <v>12150000</v>
      </c>
      <c r="U23" s="15"/>
      <c r="V23" s="16">
        <f t="shared" si="1"/>
        <v>0</v>
      </c>
      <c r="W23" s="12">
        <f t="shared" si="2"/>
        <v>7</v>
      </c>
      <c r="X23" s="14">
        <f t="shared" si="3"/>
        <v>85050000</v>
      </c>
      <c r="Y23" s="17"/>
      <c r="Z23" s="14">
        <f t="shared" si="4"/>
        <v>85050000</v>
      </c>
      <c r="AA23" s="18" t="s">
        <v>129</v>
      </c>
      <c r="AB23" s="13" t="s">
        <v>133</v>
      </c>
      <c r="AC23" s="19" t="s">
        <v>134</v>
      </c>
      <c r="AD23" s="20"/>
      <c r="AE23" s="19"/>
      <c r="AF23" s="21"/>
      <c r="AG23" s="22" t="str">
        <f t="shared" si="5"/>
        <v>TRUE</v>
      </c>
      <c r="AH23" s="23" t="str">
        <f t="shared" si="6"/>
        <v>مشهد کوهسنگی برج مهر کوهسنگی طبقه 6 کافه رستوران ویولانج - آرش مقبلی 09352219349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6">
        <v>10</v>
      </c>
      <c r="H24" s="67" t="s">
        <v>135</v>
      </c>
      <c r="I24" s="66" t="s">
        <v>136</v>
      </c>
      <c r="J24" s="9" t="s">
        <v>76</v>
      </c>
      <c r="K24" s="11"/>
      <c r="L24" s="12" t="s">
        <v>137</v>
      </c>
      <c r="M24" s="12" t="s">
        <v>138</v>
      </c>
      <c r="N24" s="12" t="s">
        <v>139</v>
      </c>
      <c r="O24" s="9">
        <v>5501.3</v>
      </c>
      <c r="P24" s="9">
        <v>2</v>
      </c>
      <c r="Q24" s="13" t="str">
        <f>VLOOKUP(O24, '[1]لیست محصولات اردیبهشت ۱۴۰۳'!B:C,2,0)</f>
        <v>ورتکس | Vortex</v>
      </c>
      <c r="R24" s="9"/>
      <c r="S24" s="12">
        <f>VLOOKUP(O24, '[1]لیست محصولات اردیبهشت ۱۴۰۳'!B:F,5,0)</f>
        <v>4000</v>
      </c>
      <c r="T24" s="14">
        <f>VLOOKUP(O24, '[1]لیست محصولات اردیبهشت ۱۴۰۳'!B:G,6,0)</f>
        <v>51200000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102400000</v>
      </c>
      <c r="Y24" s="17"/>
      <c r="Z24" s="14">
        <f t="shared" si="4"/>
        <v>102400000</v>
      </c>
      <c r="AA24" s="18" t="s">
        <v>79</v>
      </c>
      <c r="AB24" s="13" t="s">
        <v>147</v>
      </c>
      <c r="AC24" s="19" t="s">
        <v>140</v>
      </c>
      <c r="AD24" s="20"/>
      <c r="AE24" s="19"/>
      <c r="AF24" s="21"/>
      <c r="AG24" s="22" t="str">
        <f t="shared" si="5"/>
        <v>TRUE</v>
      </c>
      <c r="AH24" s="23" t="str">
        <f t="shared" si="6"/>
        <v>تهران تجريش خيابان نياوران -دزاشيب(كبيري) -خيابان رمضاني-نبش كوچه حسيني -پلاك ۷ کافه مدام - امیرحسین صدیقی 09123401445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66">
        <v>11</v>
      </c>
      <c r="H25" s="67" t="s">
        <v>145</v>
      </c>
      <c r="I25" s="66" t="s">
        <v>136</v>
      </c>
      <c r="J25" s="9" t="s">
        <v>76</v>
      </c>
      <c r="K25" s="11" t="str">
        <f t="shared" ca="1" si="0"/>
        <v/>
      </c>
      <c r="L25" s="12" t="s">
        <v>141</v>
      </c>
      <c r="M25" s="12" t="s">
        <v>142</v>
      </c>
      <c r="N25" s="12" t="s">
        <v>143</v>
      </c>
      <c r="O25" s="9">
        <v>5523.2</v>
      </c>
      <c r="P25" s="9">
        <v>8</v>
      </c>
      <c r="Q25" s="13" t="str">
        <f>VLOOKUP(O25, '[1]لیست محصولات اردیبهشت ۱۴۰۳'!B:C,2,0)</f>
        <v>کوتوا دانکن | Kotowa Duncan</v>
      </c>
      <c r="R25" s="9"/>
      <c r="S25" s="12">
        <f>VLOOKUP(O25, '[1]لیست محصولات اردیبهشت ۱۴۰۳'!B:F,5,0)</f>
        <v>750</v>
      </c>
      <c r="T25" s="14">
        <f>VLOOKUP(O25, '[1]لیست محصولات اردیبهشت ۱۴۰۳'!B:G,6,0)</f>
        <v>12150000</v>
      </c>
      <c r="U25" s="15"/>
      <c r="V25" s="16">
        <f t="shared" si="1"/>
        <v>0</v>
      </c>
      <c r="W25" s="12">
        <f t="shared" si="2"/>
        <v>8</v>
      </c>
      <c r="X25" s="14">
        <f t="shared" si="3"/>
        <v>97200000</v>
      </c>
      <c r="Y25" s="17"/>
      <c r="Z25" s="14">
        <f t="shared" si="4"/>
        <v>97200000</v>
      </c>
      <c r="AA25" s="18" t="s">
        <v>79</v>
      </c>
      <c r="AB25" s="13" t="s">
        <v>146</v>
      </c>
      <c r="AC25" s="19" t="s">
        <v>144</v>
      </c>
      <c r="AD25" s="20"/>
      <c r="AE25" s="19"/>
      <c r="AF25" s="21"/>
      <c r="AG25" s="22" t="str">
        <f t="shared" si="5"/>
        <v>TRUE</v>
      </c>
      <c r="AH25" s="23" t="str">
        <f t="shared" si="6"/>
        <v>تهران نياوران،خيابان عمار،نرسيده به سه راه ياسر، پلاك ۲۴ کافه بیکری رولن - محمد حسن شمیرانی 09126221305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2</v>
      </c>
      <c r="AI240" s="56">
        <f t="shared" si="19"/>
        <v>0</v>
      </c>
      <c r="AJ240" s="57">
        <f>AH240-AI240</f>
        <v>2</v>
      </c>
      <c r="AK240" s="58">
        <f t="shared" si="23"/>
        <v>0.3</v>
      </c>
      <c r="AL240" s="59">
        <f>AO240+AQ240-[2]Sheet1!$AH241</f>
        <v>0</v>
      </c>
      <c r="AM240" s="59">
        <f t="shared" si="25"/>
        <v>-2</v>
      </c>
      <c r="AN240" s="58">
        <f t="shared" si="21"/>
        <v>0</v>
      </c>
      <c r="AO240" s="59"/>
      <c r="AP240" s="58">
        <f t="shared" si="22"/>
        <v>-0.3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6</v>
      </c>
      <c r="AI242" s="56">
        <f t="shared" si="19"/>
        <v>0</v>
      </c>
      <c r="AJ242" s="57">
        <f t="shared" si="27"/>
        <v>6</v>
      </c>
      <c r="AK242" s="58">
        <f t="shared" ref="AK242:AK267" si="28">AH242*AG242/1000</f>
        <v>24</v>
      </c>
      <c r="AL242" s="59">
        <f>AO242+AQ242-[2]Sheet1!$AH243</f>
        <v>0</v>
      </c>
      <c r="AM242" s="59">
        <f t="shared" si="25"/>
        <v>-6</v>
      </c>
      <c r="AN242" s="58">
        <f t="shared" si="21"/>
        <v>0</v>
      </c>
      <c r="AO242" s="59"/>
      <c r="AP242" s="58">
        <f t="shared" si="22"/>
        <v>-24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</v>
      </c>
      <c r="AI251" s="56">
        <f t="shared" si="19"/>
        <v>0</v>
      </c>
      <c r="AJ251" s="57">
        <f t="shared" si="27"/>
        <v>1</v>
      </c>
      <c r="AK251" s="58">
        <f t="shared" si="28"/>
        <v>0.15</v>
      </c>
      <c r="AL251" s="59">
        <f>AO251+AQ251-[2]Sheet1!$AH252</f>
        <v>0</v>
      </c>
      <c r="AM251" s="59">
        <f t="shared" si="25"/>
        <v>-1</v>
      </c>
      <c r="AN251" s="58">
        <f t="shared" si="21"/>
        <v>0</v>
      </c>
      <c r="AO251" s="59"/>
      <c r="AP251" s="58">
        <f t="shared" si="22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3</v>
      </c>
      <c r="AI254" s="56">
        <f t="shared" si="19"/>
        <v>0</v>
      </c>
      <c r="AJ254" s="57">
        <f t="shared" si="27"/>
        <v>3</v>
      </c>
      <c r="AK254" s="58">
        <f t="shared" si="28"/>
        <v>2.25</v>
      </c>
      <c r="AL254" s="59">
        <f>AO254+AQ254-[2]Sheet1!$AH255</f>
        <v>0</v>
      </c>
      <c r="AM254" s="59">
        <f t="shared" si="25"/>
        <v>-3</v>
      </c>
      <c r="AN254" s="58">
        <f t="shared" si="21"/>
        <v>0</v>
      </c>
      <c r="AO254" s="59"/>
      <c r="AP254" s="58">
        <f t="shared" si="22"/>
        <v>-2.25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70"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  <mergeCell ref="AD2:AD3"/>
    <mergeCell ref="AC2:AC3"/>
    <mergeCell ref="AB2:AB3"/>
    <mergeCell ref="AA2:AA3"/>
    <mergeCell ref="N5:N6"/>
    <mergeCell ref="G5:G6"/>
    <mergeCell ref="AD5:AD6"/>
    <mergeCell ref="AC5:AC6"/>
    <mergeCell ref="AB5:AB6"/>
    <mergeCell ref="AA5:AA6"/>
    <mergeCell ref="M5:M6"/>
    <mergeCell ref="L5:L6"/>
    <mergeCell ref="J5:J6"/>
    <mergeCell ref="I5:I6"/>
    <mergeCell ref="H5:H6"/>
    <mergeCell ref="AD8:AD11"/>
    <mergeCell ref="AC8:AC11"/>
    <mergeCell ref="AB8:AB11"/>
    <mergeCell ref="AA8:AA11"/>
    <mergeCell ref="G8:G11"/>
    <mergeCell ref="H8:H11"/>
    <mergeCell ref="I8:I11"/>
    <mergeCell ref="J8:J11"/>
    <mergeCell ref="L8:L11"/>
    <mergeCell ref="M8:M11"/>
    <mergeCell ref="N8:N11"/>
    <mergeCell ref="AD12:AD15"/>
    <mergeCell ref="AC12:AC15"/>
    <mergeCell ref="AB12:AB15"/>
    <mergeCell ref="AA12:AA15"/>
    <mergeCell ref="G12:G15"/>
    <mergeCell ref="H12:H15"/>
    <mergeCell ref="I12:I15"/>
    <mergeCell ref="J12:J15"/>
    <mergeCell ref="L12:L15"/>
    <mergeCell ref="M12:M15"/>
    <mergeCell ref="N12:N15"/>
    <mergeCell ref="AD16:AD20"/>
    <mergeCell ref="AC16:AC20"/>
    <mergeCell ref="AB16:AB20"/>
    <mergeCell ref="AA16:AA20"/>
    <mergeCell ref="H16:H20"/>
    <mergeCell ref="N16:N20"/>
    <mergeCell ref="G16:G20"/>
    <mergeCell ref="I16:I20"/>
    <mergeCell ref="J16:J20"/>
    <mergeCell ref="L16:L20"/>
    <mergeCell ref="M16:M20"/>
    <mergeCell ref="H21:H22"/>
    <mergeCell ref="G21:G22"/>
    <mergeCell ref="AD21:AD22"/>
    <mergeCell ref="AC21:AC22"/>
    <mergeCell ref="AB21:AB22"/>
    <mergeCell ref="AA21:AA22"/>
    <mergeCell ref="N21:N22"/>
    <mergeCell ref="M21:M22"/>
    <mergeCell ref="L21:L22"/>
    <mergeCell ref="J21:J22"/>
    <mergeCell ref="I21:I22"/>
  </mergeCells>
  <conditionalFormatting sqref="G2:J2 AD2 Z2:Z200 J4:J5 AD4:AD5 J7:J8 AD7:AD8 G12:J12 AD12 G16:J16 AD16 G21:J21 AD21 G23:J200 AD23:AD200">
    <cfRule type="expression" dxfId="66" priority="63">
      <formula>$A2</formula>
    </cfRule>
    <cfRule type="expression" dxfId="65" priority="65">
      <formula>$E2</formula>
    </cfRule>
  </conditionalFormatting>
  <conditionalFormatting sqref="G2:AF2 Q3:Z200 J4:J5 AA4:AF5 J7:J8 AA7:AF8 G12:P12 AA12:AF12 G16:P16 AA16:AF16 G21:P21 AA21:AF21 G23:P200 AA23:AF200 AE3:AF3 K3:K11 O3:P11 H4:H5 AE6:AF6 H7:H8 AE9:AF11 K13:K15 O13:P15 AE13:AF15 K17:K20 O17:P20 AE17:AF20 K22 O22:P22 AE22:AF22">
    <cfRule type="expression" dxfId="64" priority="64">
      <formula>$C2</formula>
    </cfRule>
  </conditionalFormatting>
  <conditionalFormatting sqref="W2:W200">
    <cfRule type="expression" dxfId="63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{1FB21DE2-9994-4AF5-AEF5-ADCADE081626}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{2B53BADA-9C45-4519-824A-7E5330355E2A}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{55CEA991-97EB-4C8B-8687-131856A58043}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{ABAAF7AF-417D-4E72-AE00-CD1419E80D69}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{A8E6AF77-EE96-481E-AEF8-30A89519B42D}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{A8C43E2D-2E3D-42C2-A227-560C17AFC301}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{9ABAAB1D-2BED-44BC-9B3E-BC927CD9607F}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{0F5A822D-2503-4D41-9957-F8EF12ED76DF}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{78EAF1B5-0A9E-47A9-8198-21393AD4EE61}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{E7B34771-0598-4D7A-9348-5D3754C9E2C9}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{2098CDAF-6EE7-41C5-863A-FFE0BA74D4EA}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{7D3C4F1A-42EB-45F2-A3BA-F424D1B11DA6}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{D2F3252F-C0F0-47DA-BBCD-73DA366F199B}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{A6B4C663-608D-4E92-B31A-CC22DE220187}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{5FF50337-AB78-4A27-8898-FED96B110DAE}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{1341C2BF-E1CA-45D2-961F-FECD31A5C068}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{3921A687-73E9-4929-90AE-5C8EAD1ACBF5}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{C3411167-C675-40C9-8432-0B2F1947AC14}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{CE498397-CF5A-4A28-B096-E34A09150B5F}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{0C848E47-0396-4524-9884-44E68A99AE27}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{417FBE3B-AE3F-4EE3-9FF7-1731C27B57FC}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{2622DA4B-A9A7-44F7-A6EF-23FB3B9CF10E}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{244CE9EA-936D-4D10-A171-9AF31938D892}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{BE933F37-B04C-450E-A2E8-4D8A6CF39D23}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{4FC52FD6-E4DE-45F3-8528-B33BA5122954}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{D69F84E6-CF78-4FCC-B6A8-4573D7C7A0BB}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{018A9A02-7FBD-4D4D-8718-F962338F6E13}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{11D7AC9F-9ADC-4603-8320-6AC4A6B594CE}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{DDA64FBB-0DC8-4D24-8A1B-342593F1BC76}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{67470615-70D3-40FB-B5DC-660915FC3308}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{F166DAA5-140E-4DCB-BDEC-7EDB4B2CBE85}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{2AB59614-19B0-4FE9-B2FF-A52AE4C08802}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{DA45AEA6-78F4-4E6E-B21E-B76B16EF32E8}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{BE6A12E4-4226-4B22-B380-6BBD2E6105C0}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{3C4CB152-22D5-46CF-BBCA-9721F7EEFCB3}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{5018AA04-4118-410A-9FEF-6A7E10E7B42E}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{5995A144-06E7-4329-8E0A-DCB35400F9FA}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{4ACD1893-679C-4B4F-AAA7-FDEBFF6DA666}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{8F0F320E-205F-4545-94FF-C97CCFC84DC3}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{6DF452B8-6FA3-438A-A295-EEDE808B13D5}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{29E78506-B56E-4C9F-ACFD-FF8FE9B79E88}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{00C31AAB-6C13-44FC-ABC9-745562464025}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{1F345DA2-98B1-4300-B93E-AC65FA561FC7}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{11F6B755-DBE5-43EF-A01B-D81B408017C9}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{A4D4DA6F-D3EF-4C48-955B-FC0A62074FE0}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{53A006BB-A765-49AC-B883-A9D252423F3B}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{F74DE591-B1EE-4DCD-9DFF-C975F0F01D83}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{B3336A2D-C914-40F0-A432-044BEB26A819}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{18BE93A9-991B-4262-9DE0-78140DEC3A01}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{FC1483A4-1A56-4B7C-B6D3-F2E330CB861C}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{F92B3A82-3B5F-4170-B844-447697A2CC83}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{096471C7-FA73-423B-A942-B8989C98B31B}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{5439C9F7-372D-4A50-B856-A1BAD993F9FF}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{17BDDD3D-D7F8-42E5-B57A-403BA69731E4}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{BB808C26-0457-4225-9A0B-008D319F10F6}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{C1F94343-4823-4FCE-A09F-8BBDCE62EA38}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{956BAC13-06B7-4851-94CB-625BAF8DFA43}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{B3579544-B2DE-48E5-B02B-08FEE3755759}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{9E5F662E-FD26-4184-A998-C2265F7A955F}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{EAE866B3-0BCD-473A-88AC-0FC294318E95}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{C9E12503-8857-4A88-A066-DDE514157EBE}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FB21DE2-9994-4AF5-AEF5-ADCADE08162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2B53BADA-9C45-4519-824A-7E5330355E2A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55CEA991-97EB-4C8B-8687-131856A5804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ABAAF7AF-417D-4E72-AE00-CD1419E80D69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A8E6AF77-EE96-481E-AEF8-30A89519B42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A8C43E2D-2E3D-42C2-A227-560C17AFC301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ABAAB1D-2BED-44BC-9B3E-BC927CD9607F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0F5A822D-2503-4D41-9957-F8EF12ED76D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8EAF1B5-0A9E-47A9-8198-21393AD4EE61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E7B34771-0598-4D7A-9348-5D3754C9E2C9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2098CDAF-6EE7-41C5-863A-FFE0BA74D4EA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7D3C4F1A-42EB-45F2-A3BA-F424D1B11DA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D2F3252F-C0F0-47DA-BBCD-73DA366F199B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A6B4C663-608D-4E92-B31A-CC22DE220187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FF50337-AB78-4A27-8898-FED96B110DAE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1341C2BF-E1CA-45D2-961F-FECD31A5C06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3921A687-73E9-4929-90AE-5C8EAD1ACBF5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C3411167-C675-40C9-8432-0B2F1947AC14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CE498397-CF5A-4A28-B096-E34A09150B5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0C848E47-0396-4524-9884-44E68A99AE2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17FBE3B-AE3F-4EE3-9FF7-1731C27B57FC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622DA4B-A9A7-44F7-A6EF-23FB3B9CF10E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44CE9EA-936D-4D10-A171-9AF31938D892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E933F37-B04C-450E-A2E8-4D8A6CF39D2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4FC52FD6-E4DE-45F3-8528-B33BA512295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D69F84E6-CF78-4FCC-B6A8-4573D7C7A0B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018A9A02-7FBD-4D4D-8718-F962338F6E13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1D7AC9F-9ADC-4603-8320-6AC4A6B594CE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DDA64FBB-0DC8-4D24-8A1B-342593F1BC76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67470615-70D3-40FB-B5DC-660915FC3308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F166DAA5-140E-4DCB-BDEC-7EDB4B2CBE8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2AB59614-19B0-4FE9-B2FF-A52AE4C08802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DA45AEA6-78F4-4E6E-B21E-B76B16EF32E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E6A12E4-4226-4B22-B380-6BBD2E6105C0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3C4CB152-22D5-46CF-BBCA-9721F7EEFCB3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5018AA04-4118-410A-9FEF-6A7E10E7B42E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5995A144-06E7-4329-8E0A-DCB35400F9FA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4ACD1893-679C-4B4F-AAA7-FDEBFF6DA666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8F0F320E-205F-4545-94FF-C97CCFC84DC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6DF452B8-6FA3-438A-A295-EEDE808B13D5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29E78506-B56E-4C9F-ACFD-FF8FE9B79E88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00C31AAB-6C13-44FC-ABC9-745562464025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1F345DA2-98B1-4300-B93E-AC65FA561FC7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11F6B755-DBE5-43EF-A01B-D81B408017C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4D4DA6F-D3EF-4C48-955B-FC0A62074FE0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53A006BB-A765-49AC-B883-A9D252423F3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F74DE591-B1EE-4DCD-9DFF-C975F0F01D83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B3336A2D-C914-40F0-A432-044BEB26A81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18BE93A9-991B-4262-9DE0-78140DEC3A01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FC1483A4-1A56-4B7C-B6D3-F2E330CB861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F92B3A82-3B5F-4170-B844-447697A2CC8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096471C7-FA73-423B-A942-B8989C98B31B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439C9F7-372D-4A50-B856-A1BAD993F9FF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17BDDD3D-D7F8-42E5-B57A-403BA69731E4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BB808C26-0457-4225-9A0B-008D319F10F6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C1F94343-4823-4FCE-A09F-8BBDCE62EA3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956BAC13-06B7-4851-94CB-625BAF8DFA43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B3579544-B2DE-48E5-B02B-08FEE3755759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E5F662E-FD26-4184-A998-C2265F7A955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AE866B3-0BCD-473A-88AC-0FC294318E9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C9E12503-8857-4A88-A066-DDE514157EB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32CF6-2E71-4648-B335-95D9CBAED603}">
  <dimension ref="A1:AR267"/>
  <sheetViews>
    <sheetView rightToLeft="1" topLeftCell="G64" zoomScale="70" zoomScaleNormal="70" workbookViewId="0">
      <selection activeCell="G79" sqref="A79:XFD79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24.66406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3.441406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78" style="24" bestFit="1" customWidth="1"/>
    <col min="29" max="29" width="15.77734375" style="31" bestFit="1" customWidth="1"/>
    <col min="30" max="30" width="13.6640625" style="32" bestFit="1" customWidth="1"/>
    <col min="31" max="31" width="38.88671875" style="24" bestFit="1" customWidth="1"/>
    <col min="32" max="32" width="28.33203125" style="24" bestFit="1" customWidth="1"/>
    <col min="33" max="33" width="13.5546875" style="24" bestFit="1" customWidth="1"/>
    <col min="34" max="34" width="101.1093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1" t="s">
        <v>0</v>
      </c>
      <c r="B1" s="152"/>
      <c r="C1" s="151" t="s">
        <v>1</v>
      </c>
      <c r="D1" s="152"/>
      <c r="E1" s="151" t="s">
        <v>2</v>
      </c>
      <c r="F1" s="152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3" t="s">
        <v>17</v>
      </c>
      <c r="V1" s="154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55">
        <v>1</v>
      </c>
      <c r="H2" s="157" t="s">
        <v>83</v>
      </c>
      <c r="I2" s="155" t="s">
        <v>75</v>
      </c>
      <c r="J2" s="132" t="s">
        <v>76</v>
      </c>
      <c r="K2" s="11" t="str">
        <f t="shared" ref="K2:K65" ca="1" si="0">IF(C2, TODAY(), "" )</f>
        <v/>
      </c>
      <c r="L2" s="142" t="s">
        <v>84</v>
      </c>
      <c r="M2" s="142" t="s">
        <v>85</v>
      </c>
      <c r="N2" s="142" t="s">
        <v>86</v>
      </c>
      <c r="O2" s="9">
        <v>5511.2</v>
      </c>
      <c r="P2" s="9">
        <v>10</v>
      </c>
      <c r="Q2" s="13" t="str">
        <f>VLOOKUP(O2, '[1]لیست محصولات اردیبهشت ۱۴۰۳'!B:C,2,0)</f>
        <v>هامبلا | Hambella</v>
      </c>
      <c r="R2" s="9"/>
      <c r="S2" s="12">
        <f>VLOOKUP(O2, '[1]لیست محصولات اردیبهشت ۱۴۰۳'!B:F,5,0)</f>
        <v>750</v>
      </c>
      <c r="T2" s="14">
        <f>VLOOKUP(O2, '[1]لیست محصولات اردیبهشت ۱۴۰۳'!B:G,6,0)</f>
        <v>13350000</v>
      </c>
      <c r="U2" s="15"/>
      <c r="V2" s="16">
        <f t="shared" ref="V2:V65" si="1">IF(C2, P2, U2 )</f>
        <v>0</v>
      </c>
      <c r="W2" s="12">
        <f t="shared" ref="W2:W65" si="2">P2-V2</f>
        <v>10</v>
      </c>
      <c r="X2" s="14">
        <f t="shared" ref="X2:X65" si="3">P2*T2</f>
        <v>133500000</v>
      </c>
      <c r="Y2" s="17"/>
      <c r="Z2" s="14">
        <f t="shared" ref="Z2:Z65" si="4">X2-Y2</f>
        <v>133500000</v>
      </c>
      <c r="AA2" s="140" t="s">
        <v>79</v>
      </c>
      <c r="AB2" s="138" t="s">
        <v>87</v>
      </c>
      <c r="AC2" s="136" t="s">
        <v>88</v>
      </c>
      <c r="AD2" s="134"/>
      <c r="AE2" s="159" t="s">
        <v>128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خ فرشته نبش خ بوسنى مركز خريد ملل طبقه همكف  کافه پرا - افشین امیری 09123060890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56"/>
      <c r="H3" s="158"/>
      <c r="I3" s="156"/>
      <c r="J3" s="133"/>
      <c r="K3" s="11" t="str">
        <f t="shared" ca="1" si="0"/>
        <v/>
      </c>
      <c r="L3" s="143"/>
      <c r="M3" s="143"/>
      <c r="N3" s="143"/>
      <c r="O3" s="9">
        <v>3326.1</v>
      </c>
      <c r="P3" s="9">
        <v>2</v>
      </c>
      <c r="Q3" s="13" t="str">
        <f>VLOOKUP(O3, '[1]لیست محصولات اردیبهشت ۱۴۰۳'!B:C,2,0)</f>
        <v>میاگروس | Milagros</v>
      </c>
      <c r="R3" s="9"/>
      <c r="S3" s="12">
        <f>VLOOKUP(O3, '[1]لیست محصولات اردیبهشت ۱۴۰۳'!B:F,5,0)</f>
        <v>150</v>
      </c>
      <c r="T3" s="14">
        <f>VLOOKUP(O3, '[1]لیست محصولات اردیبهشت ۱۴۰۳'!B:G,6,0)</f>
        <v>3750000</v>
      </c>
      <c r="U3" s="15"/>
      <c r="V3" s="16">
        <f t="shared" si="1"/>
        <v>0</v>
      </c>
      <c r="W3" s="12">
        <f t="shared" si="2"/>
        <v>2</v>
      </c>
      <c r="X3" s="14">
        <f t="shared" si="3"/>
        <v>7500000</v>
      </c>
      <c r="Y3" s="17"/>
      <c r="Z3" s="14">
        <f t="shared" si="4"/>
        <v>7500000</v>
      </c>
      <c r="AA3" s="141"/>
      <c r="AB3" s="139"/>
      <c r="AC3" s="137"/>
      <c r="AD3" s="135"/>
      <c r="AE3" s="160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2</v>
      </c>
      <c r="H4" s="10">
        <v>276690968616</v>
      </c>
      <c r="I4" s="25" t="s">
        <v>118</v>
      </c>
      <c r="J4" s="9"/>
      <c r="K4" s="11" t="str">
        <f t="shared" ca="1" si="0"/>
        <v/>
      </c>
      <c r="L4" s="12" t="s">
        <v>148</v>
      </c>
      <c r="M4" s="12" t="s">
        <v>149</v>
      </c>
      <c r="N4" s="12" t="s">
        <v>150</v>
      </c>
      <c r="O4" s="9">
        <v>3326.1</v>
      </c>
      <c r="P4" s="9">
        <v>2</v>
      </c>
      <c r="Q4" s="13" t="str">
        <f>VLOOKUP(O4, '[1]لیست محصولات اردیبهشت ۱۴۰۳'!B:C,2,0)</f>
        <v>میاگروس | Milagros</v>
      </c>
      <c r="R4" s="9"/>
      <c r="S4" s="12">
        <f>VLOOKUP(O4, '[1]لیست محصولات اردیبهشت ۱۴۰۳'!B:F,5,0)</f>
        <v>150</v>
      </c>
      <c r="T4" s="14">
        <f>VLOOKUP(O4, '[1]لیست محصولات اردیبهشت ۱۴۰۳'!B:G,6,0)</f>
        <v>3750000</v>
      </c>
      <c r="U4" s="15"/>
      <c r="V4" s="16">
        <f t="shared" si="1"/>
        <v>0</v>
      </c>
      <c r="W4" s="12">
        <f t="shared" si="2"/>
        <v>2</v>
      </c>
      <c r="X4" s="14">
        <f t="shared" si="3"/>
        <v>7500000</v>
      </c>
      <c r="Y4" s="17"/>
      <c r="Z4" s="14">
        <f t="shared" si="4"/>
        <v>7500000</v>
      </c>
      <c r="AA4" s="18" t="s">
        <v>151</v>
      </c>
      <c r="AB4" s="13" t="s">
        <v>152</v>
      </c>
      <c r="AC4" s="19" t="s">
        <v>153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بندرعباس خیابان دانشگاه ، بلوار پرفسور خشنودی کافه بهار - شاهرخ مرتضوی راد 09303039025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32">
        <v>3</v>
      </c>
      <c r="H5" s="130">
        <v>276700442998</v>
      </c>
      <c r="I5" s="132" t="s">
        <v>118</v>
      </c>
      <c r="J5" s="132"/>
      <c r="K5" s="11" t="str">
        <f t="shared" ca="1" si="0"/>
        <v/>
      </c>
      <c r="L5" s="142" t="s">
        <v>154</v>
      </c>
      <c r="M5" s="142" t="s">
        <v>155</v>
      </c>
      <c r="N5" s="142"/>
      <c r="O5" s="9">
        <v>3325.2</v>
      </c>
      <c r="P5" s="9">
        <v>1</v>
      </c>
      <c r="Q5" s="13" t="str">
        <f>VLOOKUP(O5, '[1]لیست محصولات اردیبهشت ۱۴۰۳'!B:C,2,0)</f>
        <v>راتناگری | Ratnagiri</v>
      </c>
      <c r="R5" s="9"/>
      <c r="S5" s="12">
        <f>VLOOKUP(O5, '[1]لیست محصولات اردیبهشت ۱۴۰۳'!B:F,5,0)</f>
        <v>750</v>
      </c>
      <c r="T5" s="14">
        <f>VLOOKUP(O5, '[1]لیست محصولات اردیبهشت ۱۴۰۳'!B:G,6,0)</f>
        <v>20700000</v>
      </c>
      <c r="U5" s="15"/>
      <c r="V5" s="16">
        <f t="shared" si="1"/>
        <v>0</v>
      </c>
      <c r="W5" s="12">
        <f t="shared" si="2"/>
        <v>1</v>
      </c>
      <c r="X5" s="14">
        <f t="shared" si="3"/>
        <v>20700000</v>
      </c>
      <c r="Y5" s="17"/>
      <c r="Z5" s="14">
        <f t="shared" si="4"/>
        <v>20700000</v>
      </c>
      <c r="AA5" s="140" t="s">
        <v>156</v>
      </c>
      <c r="AB5" s="138" t="s">
        <v>157</v>
      </c>
      <c r="AC5" s="136" t="s">
        <v>158</v>
      </c>
      <c r="AD5" s="134"/>
      <c r="AE5" s="19"/>
      <c r="AF5" s="21"/>
      <c r="AG5" s="22" t="str">
        <f t="shared" si="5"/>
        <v>TRUE</v>
      </c>
      <c r="AH5" s="23" t="str">
        <f t="shared" si="6"/>
        <v>هرمزگان پارسیان - خيابان امام - نبش ميدان شهردارى - سوپرماركت فواد  - فواد لوری 09173629951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33"/>
      <c r="H6" s="131"/>
      <c r="I6" s="133"/>
      <c r="J6" s="133"/>
      <c r="K6" s="11" t="str">
        <f t="shared" ca="1" si="0"/>
        <v/>
      </c>
      <c r="L6" s="143"/>
      <c r="M6" s="143"/>
      <c r="N6" s="143"/>
      <c r="O6" s="9">
        <v>5523.2</v>
      </c>
      <c r="P6" s="9">
        <v>2</v>
      </c>
      <c r="Q6" s="13" t="str">
        <f>VLOOKUP(O6, '[1]لیست محصولات اردیبهشت ۱۴۰۳'!B:C,2,0)</f>
        <v>کوتوا دانکن | Kotowa Duncan</v>
      </c>
      <c r="R6" s="9"/>
      <c r="S6" s="12">
        <f>VLOOKUP(O6, '[1]لیست محصولات اردیبهشت ۱۴۰۳'!B:F,5,0)</f>
        <v>750</v>
      </c>
      <c r="T6" s="14">
        <f>VLOOKUP(O6, '[1]لیست محصولات اردیبهشت ۱۴۰۳'!B:G,6,0)</f>
        <v>12150000</v>
      </c>
      <c r="U6" s="15"/>
      <c r="V6" s="16">
        <f t="shared" si="1"/>
        <v>0</v>
      </c>
      <c r="W6" s="12">
        <f t="shared" si="2"/>
        <v>2</v>
      </c>
      <c r="X6" s="14">
        <f t="shared" si="3"/>
        <v>24300000</v>
      </c>
      <c r="Y6" s="17"/>
      <c r="Z6" s="14">
        <f t="shared" si="4"/>
        <v>24300000</v>
      </c>
      <c r="AA6" s="141"/>
      <c r="AB6" s="139"/>
      <c r="AC6" s="137"/>
      <c r="AD6" s="135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276706876085</v>
      </c>
      <c r="I7" s="9" t="s">
        <v>118</v>
      </c>
      <c r="J7" s="9"/>
      <c r="K7" s="11" t="str">
        <f t="shared" ca="1" si="0"/>
        <v/>
      </c>
      <c r="L7" s="12" t="s">
        <v>159</v>
      </c>
      <c r="M7" s="12" t="s">
        <v>160</v>
      </c>
      <c r="N7" s="12"/>
      <c r="O7" s="9">
        <v>5501.1</v>
      </c>
      <c r="P7" s="9">
        <v>1</v>
      </c>
      <c r="Q7" s="13" t="str">
        <f>VLOOKUP(O7, '[1]لیست محصولات اردیبهشت ۱۴۰۳'!B:C,2,0)</f>
        <v>ورتکس | Vortex</v>
      </c>
      <c r="R7" s="9"/>
      <c r="S7" s="12">
        <f>VLOOKUP(O7, '[1]لیست محصولات اردیبهشت ۱۴۰۳'!B:F,5,0)</f>
        <v>150</v>
      </c>
      <c r="T7" s="14">
        <f>VLOOKUP(O7, '[1]لیست محصولات اردیبهشت ۱۴۰۳'!B:G,6,0)</f>
        <v>2100000</v>
      </c>
      <c r="U7" s="26"/>
      <c r="V7" s="16">
        <f t="shared" si="1"/>
        <v>0</v>
      </c>
      <c r="W7" s="12">
        <f t="shared" si="2"/>
        <v>1</v>
      </c>
      <c r="X7" s="14">
        <f t="shared" si="3"/>
        <v>2100000</v>
      </c>
      <c r="Y7" s="17"/>
      <c r="Z7" s="14">
        <f t="shared" si="4"/>
        <v>2100000</v>
      </c>
      <c r="AA7" s="18" t="s">
        <v>79</v>
      </c>
      <c r="AB7" s="13" t="s">
        <v>161</v>
      </c>
      <c r="AC7" s="19" t="s">
        <v>162</v>
      </c>
      <c r="AD7" s="20" t="s">
        <v>99</v>
      </c>
      <c r="AE7" s="19"/>
      <c r="AF7" s="21"/>
      <c r="AG7" s="22" t="str">
        <f t="shared" si="5"/>
        <v>TRUE</v>
      </c>
      <c r="AH7" s="23" t="str">
        <f t="shared" si="6"/>
        <v>تهران خیابان شریعتی خیابان یخچال خیابان کی نژاد خیابان جلایی‌پور پلاک ۲۵ واحد ۴  - سیامک کارخیران 09109030659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32">
        <v>5</v>
      </c>
      <c r="H8" s="130">
        <v>276750083338</v>
      </c>
      <c r="I8" s="132" t="s">
        <v>118</v>
      </c>
      <c r="J8" s="132"/>
      <c r="K8" s="11" t="str">
        <f t="shared" ca="1" si="0"/>
        <v/>
      </c>
      <c r="L8" s="142" t="s">
        <v>163</v>
      </c>
      <c r="M8" s="142" t="s">
        <v>164</v>
      </c>
      <c r="N8" s="142" t="s">
        <v>165</v>
      </c>
      <c r="O8" s="9">
        <v>3326.2</v>
      </c>
      <c r="P8" s="9">
        <v>1</v>
      </c>
      <c r="Q8" s="13" t="str">
        <f>VLOOKUP(O8, '[1]لیست محصولات اردیبهشت ۱۴۰۳'!B:C,2,0)</f>
        <v>میاگروس | Milagros</v>
      </c>
      <c r="R8" s="9"/>
      <c r="S8" s="12">
        <f>VLOOKUP(O8, '[1]لیست محصولات اردیبهشت ۱۴۰۳'!B:F,5,0)</f>
        <v>750</v>
      </c>
      <c r="T8" s="14">
        <f>VLOOKUP(O8, '[1]لیست محصولات اردیبهشت ۱۴۰۳'!B:G,6,0)</f>
        <v>18150000</v>
      </c>
      <c r="U8" s="15"/>
      <c r="V8" s="16">
        <f t="shared" si="1"/>
        <v>0</v>
      </c>
      <c r="W8" s="12">
        <f t="shared" si="2"/>
        <v>1</v>
      </c>
      <c r="X8" s="14">
        <f t="shared" si="3"/>
        <v>18150000</v>
      </c>
      <c r="Y8" s="17"/>
      <c r="Z8" s="14">
        <f t="shared" si="4"/>
        <v>18150000</v>
      </c>
      <c r="AA8" s="140" t="s">
        <v>166</v>
      </c>
      <c r="AB8" s="138" t="s">
        <v>167</v>
      </c>
      <c r="AC8" s="136" t="s">
        <v>168</v>
      </c>
      <c r="AD8" s="134"/>
      <c r="AE8" s="19"/>
      <c r="AF8" s="21"/>
      <c r="AG8" s="22" t="str">
        <f t="shared" si="5"/>
        <v>TRUE</v>
      </c>
      <c r="AH8" s="23" t="str">
        <f t="shared" si="6"/>
        <v>آمل خیابان هراز.بلوار طبری.طبری ۵ .نبش دماوند ۲۰ کافه دریپ - ابوالفضل حیدری 09396547014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44"/>
      <c r="H9" s="150"/>
      <c r="I9" s="144"/>
      <c r="J9" s="144"/>
      <c r="K9" s="11" t="str">
        <f t="shared" ca="1" si="0"/>
        <v/>
      </c>
      <c r="L9" s="145"/>
      <c r="M9" s="145"/>
      <c r="N9" s="145"/>
      <c r="O9" s="9">
        <v>3325.1</v>
      </c>
      <c r="P9" s="9">
        <v>1</v>
      </c>
      <c r="Q9" s="13" t="str">
        <f>VLOOKUP(O9, '[1]لیست محصولات اردیبهشت ۱۴۰۳'!B:C,2,0)</f>
        <v>راتناگری | Ratnagiri</v>
      </c>
      <c r="R9" s="9"/>
      <c r="S9" s="12">
        <f>VLOOKUP(O9, '[1]لیست محصولات اردیبهشت ۱۴۰۳'!B:F,5,0)</f>
        <v>150</v>
      </c>
      <c r="T9" s="14">
        <f>VLOOKUP(O9, '[1]لیست محصولات اردیبهشت ۱۴۰۳'!B:G,6,0)</f>
        <v>4250000</v>
      </c>
      <c r="U9" s="15"/>
      <c r="V9" s="16">
        <f t="shared" si="1"/>
        <v>0</v>
      </c>
      <c r="W9" s="12">
        <f t="shared" si="2"/>
        <v>1</v>
      </c>
      <c r="X9" s="14">
        <f t="shared" si="3"/>
        <v>4250000</v>
      </c>
      <c r="Y9" s="17"/>
      <c r="Z9" s="14">
        <f t="shared" si="4"/>
        <v>4250000</v>
      </c>
      <c r="AA9" s="149"/>
      <c r="AB9" s="148"/>
      <c r="AC9" s="147"/>
      <c r="AD9" s="146"/>
      <c r="AE9" s="19"/>
      <c r="AF9" s="21"/>
      <c r="AG9" s="22" t="str">
        <f t="shared" si="5"/>
        <v>TRUE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33"/>
      <c r="H10" s="131"/>
      <c r="I10" s="133"/>
      <c r="J10" s="133"/>
      <c r="K10" s="11" t="str">
        <f t="shared" ca="1" si="0"/>
        <v/>
      </c>
      <c r="L10" s="143"/>
      <c r="M10" s="143"/>
      <c r="N10" s="143"/>
      <c r="O10" s="9">
        <v>5522.1</v>
      </c>
      <c r="P10" s="9">
        <v>1</v>
      </c>
      <c r="Q10" s="13" t="str">
        <f>VLOOKUP(O10, '[1]لیست محصولات اردیبهشت ۱۴۰۳'!B:C,2,0)</f>
        <v>تامارا | Tamara</v>
      </c>
      <c r="R10" s="9"/>
      <c r="S10" s="12">
        <f>VLOOKUP(O10, '[1]لیست محصولات اردیبهشت ۱۴۰۳'!B:F,5,0)</f>
        <v>150</v>
      </c>
      <c r="T10" s="14">
        <f>VLOOKUP(O10, '[1]لیست محصولات اردیبهشت ۱۴۰۳'!B:G,6,0)</f>
        <v>2600000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2600000</v>
      </c>
      <c r="Y10" s="17"/>
      <c r="Z10" s="14">
        <f t="shared" si="4"/>
        <v>2600000</v>
      </c>
      <c r="AA10" s="141"/>
      <c r="AB10" s="139"/>
      <c r="AC10" s="137"/>
      <c r="AD10" s="135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32">
        <v>6</v>
      </c>
      <c r="H11" s="130">
        <v>54896652601</v>
      </c>
      <c r="I11" s="132" t="s">
        <v>169</v>
      </c>
      <c r="J11" s="132"/>
      <c r="K11" s="11" t="str">
        <f t="shared" ca="1" si="0"/>
        <v/>
      </c>
      <c r="L11" s="142" t="s">
        <v>170</v>
      </c>
      <c r="M11" s="142" t="s">
        <v>171</v>
      </c>
      <c r="N11" s="142" t="s">
        <v>172</v>
      </c>
      <c r="O11" s="9">
        <v>3326.1</v>
      </c>
      <c r="P11" s="9">
        <v>1</v>
      </c>
      <c r="Q11" s="13" t="str">
        <f>VLOOKUP(O11, '[1]لیست محصولات اردیبهشت ۱۴۰۳'!B:C,2,0)</f>
        <v>میاگروس | Milagros</v>
      </c>
      <c r="R11" s="9"/>
      <c r="S11" s="12">
        <f>VLOOKUP(O11, '[1]لیست محصولات اردیبهشت ۱۴۰۳'!B:F,5,0)</f>
        <v>150</v>
      </c>
      <c r="T11" s="14">
        <f>VLOOKUP(O11, '[1]لیست محصولات اردیبهشت ۱۴۰۳'!B:G,6,0)</f>
        <v>3750000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3750000</v>
      </c>
      <c r="Y11" s="17"/>
      <c r="Z11" s="14">
        <f t="shared" si="4"/>
        <v>3750000</v>
      </c>
      <c r="AA11" s="140" t="s">
        <v>173</v>
      </c>
      <c r="AB11" s="138" t="s">
        <v>174</v>
      </c>
      <c r="AC11" s="136" t="s">
        <v>175</v>
      </c>
      <c r="AD11" s="134"/>
      <c r="AE11" s="19"/>
      <c r="AF11" s="21"/>
      <c r="AG11" s="22" t="str">
        <f t="shared" si="5"/>
        <v>TRUE</v>
      </c>
      <c r="AH11" s="23" t="str">
        <f t="shared" si="6"/>
        <v>نوشهر خیابان چمران،نبش شاهد  کافه وایو - حسام کریمیان 09394151121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44"/>
      <c r="H12" s="150"/>
      <c r="I12" s="144"/>
      <c r="J12" s="144"/>
      <c r="K12" s="11" t="str">
        <f t="shared" ca="1" si="0"/>
        <v/>
      </c>
      <c r="L12" s="145"/>
      <c r="M12" s="145"/>
      <c r="N12" s="145"/>
      <c r="O12" s="9">
        <v>5511.11</v>
      </c>
      <c r="P12" s="9">
        <v>1</v>
      </c>
      <c r="Q12" s="69" t="str">
        <f>VLOOKUP(O12, '[1]لیست محصولات اردیبهشت ۱۴۰۳'!B:C,2,0)</f>
        <v>هامبلا(رست دمی) | Hambella( Filter Roast)</v>
      </c>
      <c r="R12" s="9"/>
      <c r="S12" s="12">
        <f>VLOOKUP(O12, '[1]لیست محصولات اردیبهشت ۱۴۰۳'!B:F,5,0)</f>
        <v>150</v>
      </c>
      <c r="T12" s="14">
        <f>VLOOKUP(O12, '[1]لیست محصولات اردیبهشت ۱۴۰۳'!B:G,6,0)</f>
        <v>2800000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2800000</v>
      </c>
      <c r="Y12" s="17"/>
      <c r="Z12" s="14">
        <f t="shared" si="4"/>
        <v>2800000</v>
      </c>
      <c r="AA12" s="149"/>
      <c r="AB12" s="148"/>
      <c r="AC12" s="147"/>
      <c r="AD12" s="146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33"/>
      <c r="H13" s="131"/>
      <c r="I13" s="133"/>
      <c r="J13" s="133"/>
      <c r="K13" s="11" t="str">
        <f t="shared" ca="1" si="0"/>
        <v/>
      </c>
      <c r="L13" s="143"/>
      <c r="M13" s="143"/>
      <c r="N13" s="143"/>
      <c r="O13" s="9">
        <v>3325.1</v>
      </c>
      <c r="P13" s="9">
        <v>1</v>
      </c>
      <c r="Q13" s="13" t="str">
        <f>VLOOKUP(O13, '[1]لیست محصولات اردیبهشت ۱۴۰۳'!B:C,2,0)</f>
        <v>راتناگری | Ratnagiri</v>
      </c>
      <c r="R13" s="9"/>
      <c r="S13" s="12">
        <f>VLOOKUP(O13, '[1]لیست محصولات اردیبهشت ۱۴۰۳'!B:F,5,0)</f>
        <v>150</v>
      </c>
      <c r="T13" s="14">
        <f>VLOOKUP(O13, '[1]لیست محصولات اردیبهشت ۱۴۰۳'!B:G,6,0)</f>
        <v>4250000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4250000</v>
      </c>
      <c r="Y13" s="17"/>
      <c r="Z13" s="14">
        <f t="shared" si="4"/>
        <v>4250000</v>
      </c>
      <c r="AA13" s="141"/>
      <c r="AB13" s="139"/>
      <c r="AC13" s="137"/>
      <c r="AD13" s="135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32">
        <v>7</v>
      </c>
      <c r="H14" s="130">
        <v>54899420201</v>
      </c>
      <c r="I14" s="132" t="s">
        <v>169</v>
      </c>
      <c r="J14" s="132" t="s">
        <v>76</v>
      </c>
      <c r="K14" s="11" t="str">
        <f t="shared" ca="1" si="0"/>
        <v/>
      </c>
      <c r="L14" s="142" t="s">
        <v>176</v>
      </c>
      <c r="M14" s="142" t="s">
        <v>177</v>
      </c>
      <c r="N14" s="142" t="s">
        <v>178</v>
      </c>
      <c r="O14" s="9">
        <v>5501.3</v>
      </c>
      <c r="P14" s="9">
        <v>1</v>
      </c>
      <c r="Q14" s="13" t="str">
        <f>VLOOKUP(O14, '[1]لیست محصولات اردیبهشت ۱۴۰۳'!B:C,2,0)</f>
        <v>ورتکس | Vortex</v>
      </c>
      <c r="R14" s="9"/>
      <c r="S14" s="12">
        <f>VLOOKUP(O14, '[1]لیست محصولات اردیبهشت ۱۴۰۳'!B:F,5,0)</f>
        <v>4000</v>
      </c>
      <c r="T14" s="14">
        <f>VLOOKUP(O14, '[1]لیست محصولات اردیبهشت ۱۴۰۳'!B:G,6,0)</f>
        <v>51200000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51200000</v>
      </c>
      <c r="Y14" s="17"/>
      <c r="Z14" s="14">
        <f t="shared" si="4"/>
        <v>51200000</v>
      </c>
      <c r="AA14" s="140" t="s">
        <v>179</v>
      </c>
      <c r="AB14" s="138" t="s">
        <v>180</v>
      </c>
      <c r="AC14" s="136" t="s">
        <v>181</v>
      </c>
      <c r="AD14" s="134"/>
      <c r="AE14" s="19"/>
      <c r="AF14" s="21"/>
      <c r="AG14" s="22" t="str">
        <f t="shared" si="5"/>
        <v>TRUE</v>
      </c>
      <c r="AH14" s="23" t="str">
        <f t="shared" si="6"/>
        <v>بیرجند خیابان معلم، نبش معلم 39 کافه رستوران نوفه - معین اسماعیلی 09155229671</v>
      </c>
    </row>
    <row r="15" spans="1:34" ht="22.35" customHeight="1">
      <c r="A15" s="7"/>
      <c r="B15" s="7"/>
      <c r="C15" s="7"/>
      <c r="D15" s="7"/>
      <c r="E15" s="7"/>
      <c r="F15" s="8"/>
      <c r="G15" s="133"/>
      <c r="H15" s="131"/>
      <c r="I15" s="133"/>
      <c r="J15" s="133"/>
      <c r="K15" s="11" t="str">
        <f t="shared" ca="1" si="0"/>
        <v/>
      </c>
      <c r="L15" s="143"/>
      <c r="M15" s="143"/>
      <c r="N15" s="143"/>
      <c r="O15" s="9">
        <v>5511.1</v>
      </c>
      <c r="P15" s="9">
        <v>1</v>
      </c>
      <c r="Q15" s="13" t="str">
        <f>VLOOKUP(O15, '[1]لیست محصولات اردیبهشت ۱۴۰۳'!B:C,2,0)</f>
        <v>هامبلا | Hambella</v>
      </c>
      <c r="R15" s="9"/>
      <c r="S15" s="12">
        <f>VLOOKUP(O15, '[1]لیست محصولات اردیبهشت ۱۴۰۳'!B:F,5,0)</f>
        <v>150</v>
      </c>
      <c r="T15" s="14">
        <f>VLOOKUP(O15, '[1]لیست محصولات اردیبهشت ۱۴۰۳'!B:G,6,0)</f>
        <v>2800000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2800000</v>
      </c>
      <c r="Y15" s="17"/>
      <c r="Z15" s="14">
        <f t="shared" si="4"/>
        <v>2800000</v>
      </c>
      <c r="AA15" s="141"/>
      <c r="AB15" s="139"/>
      <c r="AC15" s="137"/>
      <c r="AD15" s="135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8</v>
      </c>
      <c r="H16" s="10">
        <v>276776818479</v>
      </c>
      <c r="I16" s="9" t="s">
        <v>169</v>
      </c>
      <c r="J16" s="9"/>
      <c r="K16" s="11" t="str">
        <f t="shared" ca="1" si="0"/>
        <v/>
      </c>
      <c r="L16" s="12" t="s">
        <v>112</v>
      </c>
      <c r="M16" s="12" t="s">
        <v>182</v>
      </c>
      <c r="N16" s="12"/>
      <c r="O16" s="9">
        <v>5501.2</v>
      </c>
      <c r="P16" s="9">
        <v>1</v>
      </c>
      <c r="Q16" s="13" t="str">
        <f>VLOOKUP(O16, '[1]لیست محصولات اردیبهشت ۱۴۰۳'!B:C,2,0)</f>
        <v>ورتکس | Vortex</v>
      </c>
      <c r="R16" s="9"/>
      <c r="S16" s="12">
        <f>VLOOKUP(O16, '[1]لیست محصولات اردیبهشت ۱۴۰۳'!B:F,5,0)</f>
        <v>750</v>
      </c>
      <c r="T16" s="14">
        <f>VLOOKUP(O16, '[1]لیست محصولات اردیبهشت ۱۴۰۳'!B:G,6,0)</f>
        <v>9900000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9900000</v>
      </c>
      <c r="Y16" s="17"/>
      <c r="Z16" s="14">
        <f t="shared" si="4"/>
        <v>9900000</v>
      </c>
      <c r="AA16" s="18" t="s">
        <v>79</v>
      </c>
      <c r="AB16" s="13" t="s">
        <v>183</v>
      </c>
      <c r="AC16" s="19" t="s">
        <v>184</v>
      </c>
      <c r="AD16" s="20" t="s">
        <v>99</v>
      </c>
      <c r="AE16" s="19"/>
      <c r="AF16" s="21"/>
      <c r="AG16" s="22" t="str">
        <f t="shared" si="5"/>
        <v>TRUE</v>
      </c>
      <c r="AH16" s="23" t="str">
        <f t="shared" si="6"/>
        <v>تهران شمیران خیابان باهنر جماران خیابان حسن پور کوچه ششم کوچه قنات پلاک ۹ واحد ۱  - محمدرضا عرفاتی 09122176886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276797004008</v>
      </c>
      <c r="I17" s="9" t="s">
        <v>169</v>
      </c>
      <c r="J17" s="9"/>
      <c r="K17" s="11" t="str">
        <f t="shared" ca="1" si="0"/>
        <v/>
      </c>
      <c r="L17" s="12" t="s">
        <v>185</v>
      </c>
      <c r="M17" s="12" t="s">
        <v>186</v>
      </c>
      <c r="N17" s="12"/>
      <c r="O17" s="9">
        <v>5511.11</v>
      </c>
      <c r="P17" s="9">
        <v>1</v>
      </c>
      <c r="Q17" s="69" t="str">
        <f>VLOOKUP(O17, '[1]لیست محصولات اردیبهشت ۱۴۰۳'!B:C,2,0)</f>
        <v>هامبلا(رست دمی) | Hambella( Filter Roast)</v>
      </c>
      <c r="R17" s="9"/>
      <c r="S17" s="12">
        <f>VLOOKUP(O17, '[1]لیست محصولات اردیبهشت ۱۴۰۳'!B:F,5,0)</f>
        <v>150</v>
      </c>
      <c r="T17" s="14">
        <f>VLOOKUP(O17, '[1]لیست محصولات اردیبهشت ۱۴۰۳'!B:G,6,0)</f>
        <v>2800000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2800000</v>
      </c>
      <c r="Y17" s="17"/>
      <c r="Z17" s="14">
        <f t="shared" si="4"/>
        <v>2800000</v>
      </c>
      <c r="AA17" s="18" t="s">
        <v>187</v>
      </c>
      <c r="AB17" s="13" t="s">
        <v>188</v>
      </c>
      <c r="AC17" s="19" t="s">
        <v>189</v>
      </c>
      <c r="AD17" s="20"/>
      <c r="AE17" s="19"/>
      <c r="AF17" s="21"/>
      <c r="AG17" s="22" t="str">
        <f t="shared" si="5"/>
        <v>TRUE</v>
      </c>
      <c r="AH17" s="23" t="str">
        <f t="shared" si="6"/>
        <v>کرمان خیابان گلدشت کوچه ۵۰ پلاک ۱۵  - مجتبی محمودی 09131977558</v>
      </c>
    </row>
    <row r="18" spans="1:34" ht="22.35" customHeight="1">
      <c r="A18" s="7"/>
      <c r="B18" s="7"/>
      <c r="C18" s="7"/>
      <c r="D18" s="7"/>
      <c r="E18" s="7"/>
      <c r="F18" s="8"/>
      <c r="G18" s="132">
        <v>10</v>
      </c>
      <c r="H18" s="130">
        <v>276807592240</v>
      </c>
      <c r="I18" s="132" t="s">
        <v>169</v>
      </c>
      <c r="J18" s="132"/>
      <c r="K18" s="11" t="str">
        <f t="shared" ca="1" si="0"/>
        <v/>
      </c>
      <c r="L18" s="142" t="s">
        <v>190</v>
      </c>
      <c r="M18" s="142" t="s">
        <v>191</v>
      </c>
      <c r="N18" s="142"/>
      <c r="O18" s="9">
        <v>5523.1</v>
      </c>
      <c r="P18" s="9">
        <v>4</v>
      </c>
      <c r="Q18" s="13" t="str">
        <f>VLOOKUP(O18, '[1]لیست محصولات اردیبهشت ۱۴۰۳'!B:C,2,0)</f>
        <v>کوتوا دانکن | Kotowa Duncan</v>
      </c>
      <c r="R18" s="9" t="s">
        <v>102</v>
      </c>
      <c r="S18" s="12">
        <f>VLOOKUP(O18, '[1]لیست محصولات اردیبهشت ۱۴۰۳'!B:F,5,0)</f>
        <v>150</v>
      </c>
      <c r="T18" s="14">
        <f>VLOOKUP(O18, '[1]لیست محصولات اردیبهشت ۱۴۰۳'!B:G,6,0)</f>
        <v>2550000</v>
      </c>
      <c r="U18" s="15"/>
      <c r="V18" s="16">
        <f t="shared" si="1"/>
        <v>0</v>
      </c>
      <c r="W18" s="12">
        <f t="shared" si="2"/>
        <v>4</v>
      </c>
      <c r="X18" s="14">
        <f t="shared" si="3"/>
        <v>10200000</v>
      </c>
      <c r="Y18" s="17"/>
      <c r="Z18" s="14">
        <f t="shared" si="4"/>
        <v>10200000</v>
      </c>
      <c r="AA18" s="140" t="s">
        <v>79</v>
      </c>
      <c r="AB18" s="138" t="s">
        <v>192</v>
      </c>
      <c r="AC18" s="136" t="s">
        <v>193</v>
      </c>
      <c r="AD18" s="134" t="s">
        <v>99</v>
      </c>
      <c r="AE18" s="19"/>
      <c r="AF18" s="21"/>
      <c r="AG18" s="22" t="str">
        <f t="shared" si="5"/>
        <v>TRUE</v>
      </c>
      <c r="AH18" s="23" t="str">
        <f t="shared" si="6"/>
        <v>تهران میدان فلسطین طالقانی غربی پلاک۴۰۱ هتل اتانا  - هادی کمایستانی 09367331661</v>
      </c>
    </row>
    <row r="19" spans="1:34" ht="22.35" customHeight="1">
      <c r="A19" s="7"/>
      <c r="B19" s="7"/>
      <c r="C19" s="7"/>
      <c r="D19" s="7"/>
      <c r="E19" s="7"/>
      <c r="F19" s="8"/>
      <c r="G19" s="133"/>
      <c r="H19" s="131"/>
      <c r="I19" s="133"/>
      <c r="J19" s="133"/>
      <c r="K19" s="11" t="str">
        <f t="shared" ca="1" si="0"/>
        <v/>
      </c>
      <c r="L19" s="143"/>
      <c r="M19" s="143"/>
      <c r="N19" s="143"/>
      <c r="O19" s="9">
        <v>5523.1</v>
      </c>
      <c r="P19" s="9">
        <v>4</v>
      </c>
      <c r="Q19" s="13" t="str">
        <f>VLOOKUP(O19, '[1]لیست محصولات اردیبهشت ۱۴۰۳'!B:C,2,0)</f>
        <v>کوتوا دانکن | Kotowa Duncan</v>
      </c>
      <c r="R19" s="9"/>
      <c r="S19" s="12">
        <f>VLOOKUP(O19, '[1]لیست محصولات اردیبهشت ۱۴۰۳'!B:F,5,0)</f>
        <v>150</v>
      </c>
      <c r="T19" s="14">
        <f>VLOOKUP(O19, '[1]لیست محصولات اردیبهشت ۱۴۰۳'!B:G,6,0)</f>
        <v>2550000</v>
      </c>
      <c r="U19" s="15"/>
      <c r="V19" s="16">
        <f t="shared" si="1"/>
        <v>0</v>
      </c>
      <c r="W19" s="12">
        <f t="shared" si="2"/>
        <v>4</v>
      </c>
      <c r="X19" s="14">
        <f t="shared" si="3"/>
        <v>10200000</v>
      </c>
      <c r="Y19" s="17"/>
      <c r="Z19" s="14">
        <f t="shared" si="4"/>
        <v>10200000</v>
      </c>
      <c r="AA19" s="141"/>
      <c r="AB19" s="139"/>
      <c r="AC19" s="137"/>
      <c r="AD19" s="135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32">
        <v>11</v>
      </c>
      <c r="H20" s="130">
        <v>276819202336</v>
      </c>
      <c r="I20" s="132" t="s">
        <v>169</v>
      </c>
      <c r="J20" s="132"/>
      <c r="K20" s="11" t="str">
        <f t="shared" ca="1" si="0"/>
        <v/>
      </c>
      <c r="L20" s="142" t="s">
        <v>194</v>
      </c>
      <c r="M20" s="142" t="s">
        <v>195</v>
      </c>
      <c r="N20" s="142" t="s">
        <v>196</v>
      </c>
      <c r="O20" s="9">
        <v>3326.1</v>
      </c>
      <c r="P20" s="9">
        <v>2</v>
      </c>
      <c r="Q20" s="13" t="str">
        <f>VLOOKUP(O20, '[1]لیست محصولات اردیبهشت ۱۴۰۳'!B:C,2,0)</f>
        <v>میاگروس | Milagros</v>
      </c>
      <c r="R20" s="9"/>
      <c r="S20" s="12">
        <f>VLOOKUP(O20, '[1]لیست محصولات اردیبهشت ۱۴۰۳'!B:F,5,0)</f>
        <v>150</v>
      </c>
      <c r="T20" s="14">
        <f>VLOOKUP(O20, '[1]لیست محصولات اردیبهشت ۱۴۰۳'!B:G,6,0)</f>
        <v>3750000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7500000</v>
      </c>
      <c r="Y20" s="17"/>
      <c r="Z20" s="14">
        <f t="shared" si="4"/>
        <v>7500000</v>
      </c>
      <c r="AA20" s="140" t="s">
        <v>197</v>
      </c>
      <c r="AB20" s="138" t="s">
        <v>198</v>
      </c>
      <c r="AC20" s="136" t="s">
        <v>199</v>
      </c>
      <c r="AD20" s="134"/>
      <c r="AE20" s="19"/>
      <c r="AF20" s="21"/>
      <c r="AG20" s="22" t="str">
        <f t="shared" si="5"/>
        <v>TRUE</v>
      </c>
      <c r="AH20" s="23" t="str">
        <f t="shared" si="6"/>
        <v>نیشابور خیابان فرحبخش غربی - بین فرحبخش غربی 20 و فیاض بخش شمالی کافه گراف - رکسانا رضاییان 09127908226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33"/>
      <c r="H21" s="131"/>
      <c r="I21" s="133"/>
      <c r="J21" s="133"/>
      <c r="K21" s="11" t="str">
        <f t="shared" ca="1" si="0"/>
        <v/>
      </c>
      <c r="L21" s="143"/>
      <c r="M21" s="143"/>
      <c r="N21" s="143"/>
      <c r="O21" s="9">
        <v>5523.1</v>
      </c>
      <c r="P21" s="9">
        <v>1</v>
      </c>
      <c r="Q21" s="13" t="str">
        <f>VLOOKUP(O21, '[1]لیست محصولات اردیبهشت ۱۴۰۳'!B:C,2,0)</f>
        <v>کوتوا دانکن | Kotowa Duncan</v>
      </c>
      <c r="R21" s="9"/>
      <c r="S21" s="12">
        <f>VLOOKUP(O21, '[1]لیست محصولات اردیبهشت ۱۴۰۳'!B:F,5,0)</f>
        <v>150</v>
      </c>
      <c r="T21" s="14">
        <f>VLOOKUP(O21, '[1]لیست محصولات اردیبهشت ۱۴۰۳'!B:G,6,0)</f>
        <v>2550000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2550000</v>
      </c>
      <c r="Y21" s="17"/>
      <c r="Z21" s="14">
        <f t="shared" si="4"/>
        <v>2550000</v>
      </c>
      <c r="AA21" s="141"/>
      <c r="AB21" s="139"/>
      <c r="AC21" s="137"/>
      <c r="AD21" s="135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>
        <v>12</v>
      </c>
      <c r="H22" s="10">
        <v>276824955059</v>
      </c>
      <c r="I22" s="9" t="s">
        <v>169</v>
      </c>
      <c r="J22" s="9"/>
      <c r="K22" s="11" t="str">
        <f t="shared" ca="1" si="0"/>
        <v/>
      </c>
      <c r="L22" s="12" t="s">
        <v>200</v>
      </c>
      <c r="M22" s="12" t="s">
        <v>201</v>
      </c>
      <c r="N22" s="12"/>
      <c r="O22" s="9">
        <v>5511.11</v>
      </c>
      <c r="P22" s="9">
        <v>1</v>
      </c>
      <c r="Q22" s="69" t="str">
        <f>VLOOKUP(O22, '[1]لیست محصولات اردیبهشت ۱۴۰۳'!B:C,2,0)</f>
        <v>هامبلا(رست دمی) | Hambella( Filter Roast)</v>
      </c>
      <c r="R22" s="9"/>
      <c r="S22" s="12">
        <f>VLOOKUP(O22, '[1]لیست محصولات اردیبهشت ۱۴۰۳'!B:F,5,0)</f>
        <v>150</v>
      </c>
      <c r="T22" s="14">
        <f>VLOOKUP(O22, '[1]لیست محصولات اردیبهشت ۱۴۰۳'!B:G,6,0)</f>
        <v>2800000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2800000</v>
      </c>
      <c r="Y22" s="17"/>
      <c r="Z22" s="14">
        <f t="shared" si="4"/>
        <v>2800000</v>
      </c>
      <c r="AA22" s="18" t="s">
        <v>109</v>
      </c>
      <c r="AB22" s="13" t="s">
        <v>202</v>
      </c>
      <c r="AC22" s="19" t="s">
        <v>203</v>
      </c>
      <c r="AD22" s="20"/>
      <c r="AE22" s="19"/>
      <c r="AF22" s="21"/>
      <c r="AG22" s="22" t="str">
        <f t="shared" si="5"/>
        <v>TRUE</v>
      </c>
      <c r="AH22" s="23" t="str">
        <f t="shared" si="6"/>
        <v>اصفهان خ نظر غربی ک قینان ک شهید اصغر نجفی مجتمع توحید واحد ۳  - فدا نجمه 09131029445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13</v>
      </c>
      <c r="H23" s="10">
        <v>116984</v>
      </c>
      <c r="I23" s="9" t="s">
        <v>169</v>
      </c>
      <c r="J23" s="9"/>
      <c r="K23" s="11" t="str">
        <f t="shared" ca="1" si="0"/>
        <v/>
      </c>
      <c r="L23" s="12" t="s">
        <v>204</v>
      </c>
      <c r="M23" s="12" t="s">
        <v>205</v>
      </c>
      <c r="N23" s="12"/>
      <c r="O23" s="9">
        <v>3325.1</v>
      </c>
      <c r="P23" s="9">
        <v>1</v>
      </c>
      <c r="Q23" s="13" t="str">
        <f>VLOOKUP(O23, '[1]لیست محصولات اردیبهشت ۱۴۰۳'!B:C,2,0)</f>
        <v>راتناگری | Ratnagiri</v>
      </c>
      <c r="R23" s="9"/>
      <c r="S23" s="12">
        <f>VLOOKUP(O23, '[1]لیست محصولات اردیبهشت ۱۴۰۳'!B:F,5,0)</f>
        <v>150</v>
      </c>
      <c r="T23" s="14">
        <f>VLOOKUP(O23, '[1]لیست محصولات اردیبهشت ۱۴۰۳'!B:G,6,0)</f>
        <v>4250000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4250000</v>
      </c>
      <c r="Y23" s="17"/>
      <c r="Z23" s="14">
        <f t="shared" si="4"/>
        <v>4250000</v>
      </c>
      <c r="AA23" s="18" t="s">
        <v>206</v>
      </c>
      <c r="AB23" s="13" t="s">
        <v>207</v>
      </c>
      <c r="AC23" s="19" t="s">
        <v>208</v>
      </c>
      <c r="AD23" s="20"/>
      <c r="AE23" s="19"/>
      <c r="AF23" s="21"/>
      <c r="AG23" s="22" t="str">
        <f t="shared" si="5"/>
        <v>TRUE</v>
      </c>
      <c r="AH23" s="23" t="str">
        <f t="shared" si="6"/>
        <v>ساری کوی لسانی کوچه ملل۷ پلاک ۱۰۳  - محمدمهدی فلاحتی 09361634734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66">
        <v>14</v>
      </c>
      <c r="H24" s="67"/>
      <c r="I24" s="66" t="s">
        <v>136</v>
      </c>
      <c r="J24" s="9" t="s">
        <v>76</v>
      </c>
      <c r="K24" s="11" t="str">
        <f t="shared" ca="1" si="0"/>
        <v/>
      </c>
      <c r="L24" s="12" t="s">
        <v>209</v>
      </c>
      <c r="M24" s="12" t="s">
        <v>210</v>
      </c>
      <c r="N24" s="12" t="s">
        <v>211</v>
      </c>
      <c r="O24" s="9">
        <v>5501.3</v>
      </c>
      <c r="P24" s="9">
        <v>4</v>
      </c>
      <c r="Q24" s="13" t="str">
        <f>VLOOKUP(O24, '[1]لیست محصولات اردیبهشت ۱۴۰۳'!B:C,2,0)</f>
        <v>ورتکس | Vortex</v>
      </c>
      <c r="R24" s="9"/>
      <c r="S24" s="12">
        <f>VLOOKUP(O24, '[1]لیست محصولات اردیبهشت ۱۴۰۳'!B:F,5,0)</f>
        <v>4000</v>
      </c>
      <c r="T24" s="14">
        <f>VLOOKUP(O24, '[1]لیست محصولات اردیبهشت ۱۴۰۳'!B:G,6,0)</f>
        <v>51200000</v>
      </c>
      <c r="U24" s="15"/>
      <c r="V24" s="16">
        <f t="shared" si="1"/>
        <v>0</v>
      </c>
      <c r="W24" s="12">
        <f t="shared" si="2"/>
        <v>4</v>
      </c>
      <c r="X24" s="14">
        <f t="shared" si="3"/>
        <v>204800000</v>
      </c>
      <c r="Y24" s="17"/>
      <c r="Z24" s="14">
        <f t="shared" si="4"/>
        <v>204800000</v>
      </c>
      <c r="AA24" s="18" t="s">
        <v>212</v>
      </c>
      <c r="AB24" s="13" t="s">
        <v>213</v>
      </c>
      <c r="AC24" s="19" t="s">
        <v>214</v>
      </c>
      <c r="AD24" s="20"/>
      <c r="AE24" s="70" t="s">
        <v>215</v>
      </c>
      <c r="AF24" s="21"/>
      <c r="AG24" s="22" t="str">
        <f t="shared" si="5"/>
        <v>TRUE</v>
      </c>
      <c r="AH24" s="23" t="str">
        <f t="shared" si="6"/>
        <v>قم خيابان اقاقيا نبش سجاد شرقي  کافه احسان - احسان روح افزا 09124520454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>
        <v>15</v>
      </c>
      <c r="H25" s="10">
        <v>276843060227</v>
      </c>
      <c r="I25" s="9" t="s">
        <v>136</v>
      </c>
      <c r="J25" s="9"/>
      <c r="K25" s="11" t="str">
        <f t="shared" ca="1" si="0"/>
        <v/>
      </c>
      <c r="L25" s="12" t="s">
        <v>216</v>
      </c>
      <c r="M25" s="12" t="s">
        <v>217</v>
      </c>
      <c r="N25" s="12" t="s">
        <v>218</v>
      </c>
      <c r="O25" s="9">
        <v>5511.3</v>
      </c>
      <c r="P25" s="9">
        <v>1</v>
      </c>
      <c r="Q25" s="13" t="str">
        <f>VLOOKUP(O25, '[1]لیست محصولات اردیبهشت ۱۴۰۳'!B:C,2,0)</f>
        <v>هامبلا | Hambella</v>
      </c>
      <c r="R25" s="9"/>
      <c r="S25" s="12">
        <f>VLOOKUP(O25, '[1]لیست محصولات اردیبهشت ۱۴۰۳'!B:F,5,0)</f>
        <v>4000</v>
      </c>
      <c r="T25" s="14">
        <f>VLOOKUP(O25, '[1]لیست محصولات اردیبهشت ۱۴۰۳'!B:G,6,0)</f>
        <v>69600000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69600000</v>
      </c>
      <c r="Y25" s="17"/>
      <c r="Z25" s="14">
        <f t="shared" si="4"/>
        <v>69600000</v>
      </c>
      <c r="AA25" s="18" t="s">
        <v>219</v>
      </c>
      <c r="AB25" s="13" t="s">
        <v>220</v>
      </c>
      <c r="AC25" s="19" t="s">
        <v>221</v>
      </c>
      <c r="AD25" s="20"/>
      <c r="AE25" s="19"/>
      <c r="AF25" s="21"/>
      <c r="AG25" s="22" t="str">
        <f t="shared" si="5"/>
        <v>TRUE</v>
      </c>
      <c r="AH25" s="23" t="str">
        <f t="shared" si="6"/>
        <v>قائم شهر خ ساری نبش نیما یاس ۴۱ کافه تین - کمیل صفرپور 09901072353</v>
      </c>
    </row>
    <row r="26" spans="1:34" ht="22.35" customHeight="1">
      <c r="A26" s="7"/>
      <c r="B26" s="7"/>
      <c r="C26" s="7"/>
      <c r="D26" s="7"/>
      <c r="E26" s="7"/>
      <c r="F26" s="8"/>
      <c r="G26" s="132">
        <v>16</v>
      </c>
      <c r="H26" s="130">
        <v>276843161900</v>
      </c>
      <c r="I26" s="132" t="s">
        <v>136</v>
      </c>
      <c r="J26" s="132"/>
      <c r="K26" s="11" t="str">
        <f t="shared" ca="1" si="0"/>
        <v/>
      </c>
      <c r="L26" s="142" t="s">
        <v>222</v>
      </c>
      <c r="M26" s="142" t="s">
        <v>223</v>
      </c>
      <c r="N26" s="142" t="s">
        <v>224</v>
      </c>
      <c r="O26" s="9">
        <v>5522.1</v>
      </c>
      <c r="P26" s="9">
        <v>1</v>
      </c>
      <c r="Q26" s="13" t="str">
        <f>VLOOKUP(O26, '[1]لیست محصولات اردیبهشت ۱۴۰۳'!B:C,2,0)</f>
        <v>تامارا | Tamara</v>
      </c>
      <c r="R26" s="9"/>
      <c r="S26" s="12">
        <f>VLOOKUP(O26, '[1]لیست محصولات اردیبهشت ۱۴۰۳'!B:F,5,0)</f>
        <v>150</v>
      </c>
      <c r="T26" s="14">
        <f>VLOOKUP(O26, '[1]لیست محصولات اردیبهشت ۱۴۰۳'!B:G,6,0)</f>
        <v>2600000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2600000</v>
      </c>
      <c r="Y26" s="17"/>
      <c r="Z26" s="14">
        <f t="shared" si="4"/>
        <v>2600000</v>
      </c>
      <c r="AA26" s="140" t="s">
        <v>212</v>
      </c>
      <c r="AB26" s="138" t="s">
        <v>225</v>
      </c>
      <c r="AC26" s="136" t="s">
        <v>226</v>
      </c>
      <c r="AD26" s="134"/>
      <c r="AE26" s="19"/>
      <c r="AF26" s="21"/>
      <c r="AG26" s="22" t="str">
        <f t="shared" si="5"/>
        <v>TRUE</v>
      </c>
      <c r="AH26" s="23" t="str">
        <f t="shared" si="6"/>
        <v>قم انسجام کوچه ۱۶ فرعی آخر خیابان آرمیده پلاک ۷۴ کافه ماک - عرفان عطوفی 09195756651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33"/>
      <c r="H27" s="131"/>
      <c r="I27" s="133"/>
      <c r="J27" s="133"/>
      <c r="K27" s="11" t="str">
        <f t="shared" ca="1" si="0"/>
        <v/>
      </c>
      <c r="L27" s="143"/>
      <c r="M27" s="143"/>
      <c r="N27" s="143"/>
      <c r="O27" s="9">
        <v>3326.1</v>
      </c>
      <c r="P27" s="9">
        <v>1</v>
      </c>
      <c r="Q27" s="13" t="str">
        <f>VLOOKUP(O27, '[1]لیست محصولات اردیبهشت ۱۴۰۳'!B:C,2,0)</f>
        <v>میاگروس | Milagros</v>
      </c>
      <c r="R27" s="9"/>
      <c r="S27" s="12">
        <f>VLOOKUP(O27, '[1]لیست محصولات اردیبهشت ۱۴۰۳'!B:F,5,0)</f>
        <v>150</v>
      </c>
      <c r="T27" s="14">
        <f>VLOOKUP(O27, '[1]لیست محصولات اردیبهشت ۱۴۰۳'!B:G,6,0)</f>
        <v>3750000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3750000</v>
      </c>
      <c r="Y27" s="17"/>
      <c r="Z27" s="14">
        <f t="shared" si="4"/>
        <v>3750000</v>
      </c>
      <c r="AA27" s="141"/>
      <c r="AB27" s="139"/>
      <c r="AC27" s="137"/>
      <c r="AD27" s="135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66">
        <v>17</v>
      </c>
      <c r="H28" s="67"/>
      <c r="I28" s="66" t="s">
        <v>136</v>
      </c>
      <c r="J28" s="9" t="s">
        <v>76</v>
      </c>
      <c r="K28" s="11" t="str">
        <f t="shared" ca="1" si="0"/>
        <v/>
      </c>
      <c r="L28" s="12"/>
      <c r="M28" s="12" t="s">
        <v>227</v>
      </c>
      <c r="N28" s="12" t="s">
        <v>228</v>
      </c>
      <c r="O28" s="9">
        <v>5501.3</v>
      </c>
      <c r="P28" s="9">
        <v>2</v>
      </c>
      <c r="Q28" s="13" t="str">
        <f>VLOOKUP(O28, '[1]لیست محصولات اردیبهشت ۱۴۰۳'!B:C,2,0)</f>
        <v>ورتکس | Vortex</v>
      </c>
      <c r="R28" s="9"/>
      <c r="S28" s="12">
        <f>VLOOKUP(O28, '[1]لیست محصولات اردیبهشت ۱۴۰۳'!B:F,5,0)</f>
        <v>4000</v>
      </c>
      <c r="T28" s="14">
        <f>VLOOKUP(O28, '[1]لیست محصولات اردیبهشت ۱۴۰۳'!B:G,6,0)</f>
        <v>51200000</v>
      </c>
      <c r="U28" s="15"/>
      <c r="V28" s="16">
        <f t="shared" si="1"/>
        <v>0</v>
      </c>
      <c r="W28" s="12">
        <f t="shared" si="2"/>
        <v>2</v>
      </c>
      <c r="X28" s="14">
        <f t="shared" si="3"/>
        <v>102400000</v>
      </c>
      <c r="Y28" s="17"/>
      <c r="Z28" s="14">
        <f t="shared" si="4"/>
        <v>102400000</v>
      </c>
      <c r="AA28" s="18" t="s">
        <v>79</v>
      </c>
      <c r="AB28" s="13" t="s">
        <v>229</v>
      </c>
      <c r="AC28" s="19" t="s">
        <v>230</v>
      </c>
      <c r="AD28" s="20"/>
      <c r="AE28" s="19"/>
      <c r="AF28" s="21"/>
      <c r="AG28" s="22" t="str">
        <f t="shared" si="5"/>
        <v>TRUE</v>
      </c>
      <c r="AH28" s="23" t="str">
        <f t="shared" si="6"/>
        <v>تهران خيابان حافظ، خيابان نوفل لوشاتو، خيابان لولاگر، پلاك ۲ کافه بوتیک هتل حنا -  مالیان 09371071711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18</v>
      </c>
      <c r="H29" s="10">
        <v>276853896873</v>
      </c>
      <c r="I29" s="9" t="s">
        <v>136</v>
      </c>
      <c r="J29" s="9"/>
      <c r="K29" s="11" t="str">
        <f t="shared" ca="1" si="0"/>
        <v/>
      </c>
      <c r="L29" s="12" t="s">
        <v>231</v>
      </c>
      <c r="M29" s="12" t="s">
        <v>232</v>
      </c>
      <c r="N29" s="12" t="s">
        <v>233</v>
      </c>
      <c r="O29" s="9">
        <v>5501.3</v>
      </c>
      <c r="P29" s="9">
        <v>1</v>
      </c>
      <c r="Q29" s="13" t="str">
        <f>VLOOKUP(O29, '[1]لیست محصولات اردیبهشت ۱۴۰۳'!B:C,2,0)</f>
        <v>ورتکس | Vortex</v>
      </c>
      <c r="R29" s="9"/>
      <c r="S29" s="12">
        <f>VLOOKUP(O29, '[1]لیست محصولات اردیبهشت ۱۴۰۳'!B:F,5,0)</f>
        <v>4000</v>
      </c>
      <c r="T29" s="14">
        <f>VLOOKUP(O29, '[1]لیست محصولات اردیبهشت ۱۴۰۳'!B:G,6,0)</f>
        <v>51200000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51200000</v>
      </c>
      <c r="Y29" s="17"/>
      <c r="Z29" s="14">
        <f t="shared" si="4"/>
        <v>51200000</v>
      </c>
      <c r="AA29" s="18" t="s">
        <v>234</v>
      </c>
      <c r="AB29" s="13" t="s">
        <v>235</v>
      </c>
      <c r="AC29" s="19" t="s">
        <v>236</v>
      </c>
      <c r="AD29" s="20"/>
      <c r="AE29" s="71" t="s">
        <v>237</v>
      </c>
      <c r="AF29" s="21"/>
      <c r="AG29" s="22" t="str">
        <f t="shared" si="5"/>
        <v>TRUE</v>
      </c>
      <c r="AH29" s="23" t="str">
        <f t="shared" si="6"/>
        <v>بابلسر دریاکنار خیابان ششم سر کوچه یکم کافه زین - زینب دولتی 09123513718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55">
        <v>19</v>
      </c>
      <c r="H30" s="157"/>
      <c r="I30" s="155" t="s">
        <v>136</v>
      </c>
      <c r="J30" s="132" t="s">
        <v>76</v>
      </c>
      <c r="K30" s="11" t="str">
        <f t="shared" ca="1" si="0"/>
        <v/>
      </c>
      <c r="L30" s="142" t="s">
        <v>141</v>
      </c>
      <c r="M30" s="142" t="s">
        <v>142</v>
      </c>
      <c r="N30" s="142" t="s">
        <v>143</v>
      </c>
      <c r="O30" s="9">
        <v>5523.2</v>
      </c>
      <c r="P30" s="9">
        <v>30</v>
      </c>
      <c r="Q30" s="13" t="str">
        <f>VLOOKUP(O30, '[1]لیست محصولات اردیبهشت ۱۴۰۳'!B:C,2,0)</f>
        <v>کوتوا دانکن | Kotowa Duncan</v>
      </c>
      <c r="R30" s="9"/>
      <c r="S30" s="12">
        <f>VLOOKUP(O30, '[1]لیست محصولات اردیبهشت ۱۴۰۳'!B:F,5,0)</f>
        <v>750</v>
      </c>
      <c r="T30" s="14">
        <f>VLOOKUP(O30, '[1]لیست محصولات اردیبهشت ۱۴۰۳'!B:G,6,0)</f>
        <v>12150000</v>
      </c>
      <c r="U30" s="15"/>
      <c r="V30" s="16">
        <f t="shared" si="1"/>
        <v>0</v>
      </c>
      <c r="W30" s="12">
        <f t="shared" si="2"/>
        <v>30</v>
      </c>
      <c r="X30" s="14">
        <f t="shared" si="3"/>
        <v>364500000</v>
      </c>
      <c r="Y30" s="17"/>
      <c r="Z30" s="14">
        <f t="shared" si="4"/>
        <v>364500000</v>
      </c>
      <c r="AA30" s="140" t="s">
        <v>79</v>
      </c>
      <c r="AB30" s="138" t="s">
        <v>146</v>
      </c>
      <c r="AC30" s="136" t="s">
        <v>144</v>
      </c>
      <c r="AD30" s="134"/>
      <c r="AE30" s="19"/>
      <c r="AF30" s="21"/>
      <c r="AG30" s="22" t="str">
        <f t="shared" si="5"/>
        <v>TRUE</v>
      </c>
      <c r="AH30" s="23" t="str">
        <f t="shared" si="6"/>
        <v>تهران نياوران،خيابان عمار،نرسيده به سه راه ياسر، پلاك ۲۴ کافه بیکری رولن - محمد حسن شمیرانی 09126221305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6"/>
      <c r="H31" s="158"/>
      <c r="I31" s="156"/>
      <c r="J31" s="133"/>
      <c r="K31" s="11" t="str">
        <f t="shared" ca="1" si="0"/>
        <v/>
      </c>
      <c r="L31" s="143"/>
      <c r="M31" s="143"/>
      <c r="N31" s="143"/>
      <c r="O31" s="9">
        <v>3326.1</v>
      </c>
      <c r="P31" s="9">
        <v>2</v>
      </c>
      <c r="Q31" s="13" t="str">
        <f>VLOOKUP(O31, '[1]لیست محصولات اردیبهشت ۱۴۰۳'!B:C,2,0)</f>
        <v>میاگروس | Milagros</v>
      </c>
      <c r="R31" s="9"/>
      <c r="S31" s="12">
        <f>VLOOKUP(O31, '[1]لیست محصولات اردیبهشت ۱۴۰۳'!B:F,5,0)</f>
        <v>150</v>
      </c>
      <c r="T31" s="14">
        <f>VLOOKUP(O31, '[1]لیست محصولات اردیبهشت ۱۴۰۳'!B:G,6,0)</f>
        <v>3750000</v>
      </c>
      <c r="U31" s="15"/>
      <c r="V31" s="16">
        <f t="shared" si="1"/>
        <v>0</v>
      </c>
      <c r="W31" s="12">
        <f t="shared" si="2"/>
        <v>2</v>
      </c>
      <c r="X31" s="14">
        <f t="shared" si="3"/>
        <v>7500000</v>
      </c>
      <c r="Y31" s="17"/>
      <c r="Z31" s="14">
        <f t="shared" si="4"/>
        <v>7500000</v>
      </c>
      <c r="AA31" s="141"/>
      <c r="AB31" s="139"/>
      <c r="AC31" s="137"/>
      <c r="AD31" s="135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32">
        <v>20</v>
      </c>
      <c r="H32" s="130">
        <v>276854628674</v>
      </c>
      <c r="I32" s="132" t="s">
        <v>136</v>
      </c>
      <c r="J32" s="132"/>
      <c r="K32" s="11" t="str">
        <f t="shared" ca="1" si="0"/>
        <v/>
      </c>
      <c r="L32" s="142" t="s">
        <v>238</v>
      </c>
      <c r="M32" s="142" t="s">
        <v>239</v>
      </c>
      <c r="N32" s="142"/>
      <c r="O32" s="9">
        <v>3326.1</v>
      </c>
      <c r="P32" s="9">
        <v>1</v>
      </c>
      <c r="Q32" s="13" t="str">
        <f>VLOOKUP(O32, '[1]لیست محصولات اردیبهشت ۱۴۰۳'!B:C,2,0)</f>
        <v>میاگروس | Milagros</v>
      </c>
      <c r="R32" s="9"/>
      <c r="S32" s="12">
        <f>VLOOKUP(O32, '[1]لیست محصولات اردیبهشت ۱۴۰۳'!B:F,5,0)</f>
        <v>150</v>
      </c>
      <c r="T32" s="14">
        <f>VLOOKUP(O32, '[1]لیست محصولات اردیبهشت ۱۴۰۳'!B:G,6,0)</f>
        <v>3750000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3750000</v>
      </c>
      <c r="Y32" s="17"/>
      <c r="Z32" s="14">
        <f t="shared" si="4"/>
        <v>3750000</v>
      </c>
      <c r="AA32" s="140" t="s">
        <v>79</v>
      </c>
      <c r="AB32" s="138" t="s">
        <v>240</v>
      </c>
      <c r="AC32" s="136" t="s">
        <v>241</v>
      </c>
      <c r="AD32" s="134" t="s">
        <v>99</v>
      </c>
      <c r="AE32" s="19"/>
      <c r="AF32" s="21"/>
      <c r="AG32" s="22" t="str">
        <f t="shared" si="5"/>
        <v>TRUE</v>
      </c>
      <c r="AH32" s="23" t="str">
        <f t="shared" si="6"/>
        <v>تهران خیابان جردن بالاتر از 4 راه اسفندیار بن بست ایرج پلاک 8 طبقه 7  - سید مهدی  اصغری فرد 09122586870</v>
      </c>
    </row>
    <row r="33" spans="1:34" ht="22.35" customHeight="1">
      <c r="A33" s="7"/>
      <c r="B33" s="7"/>
      <c r="C33" s="7"/>
      <c r="D33" s="7"/>
      <c r="E33" s="7"/>
      <c r="F33" s="8"/>
      <c r="G33" s="133"/>
      <c r="H33" s="131"/>
      <c r="I33" s="133"/>
      <c r="J33" s="133"/>
      <c r="K33" s="11" t="str">
        <f t="shared" ca="1" si="0"/>
        <v/>
      </c>
      <c r="L33" s="143"/>
      <c r="M33" s="143"/>
      <c r="N33" s="143"/>
      <c r="O33" s="9">
        <v>5501.2</v>
      </c>
      <c r="P33" s="9">
        <v>1</v>
      </c>
      <c r="Q33" s="13" t="str">
        <f>VLOOKUP(O33, '[1]لیست محصولات اردیبهشت ۱۴۰۳'!B:C,2,0)</f>
        <v>ورتکس | Vortex</v>
      </c>
      <c r="R33" s="9"/>
      <c r="S33" s="12">
        <f>VLOOKUP(O33, '[1]لیست محصولات اردیبهشت ۱۴۰۳'!B:F,5,0)</f>
        <v>750</v>
      </c>
      <c r="T33" s="14">
        <f>VLOOKUP(O33, '[1]لیست محصولات اردیبهشت ۱۴۰۳'!B:G,6,0)</f>
        <v>9900000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9900000</v>
      </c>
      <c r="Y33" s="17"/>
      <c r="Z33" s="14">
        <f t="shared" si="4"/>
        <v>9900000</v>
      </c>
      <c r="AA33" s="141"/>
      <c r="AB33" s="139"/>
      <c r="AC33" s="137"/>
      <c r="AD33" s="135"/>
      <c r="AE33" s="19"/>
      <c r="AF33" s="21"/>
      <c r="AG33" s="22" t="str">
        <f t="shared" si="5"/>
        <v>TRUE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132">
        <v>21</v>
      </c>
      <c r="H34" s="130">
        <v>276856193925</v>
      </c>
      <c r="I34" s="132" t="s">
        <v>136</v>
      </c>
      <c r="J34" s="132" t="s">
        <v>76</v>
      </c>
      <c r="K34" s="11" t="str">
        <f t="shared" ca="1" si="0"/>
        <v/>
      </c>
      <c r="L34" s="142" t="s">
        <v>242</v>
      </c>
      <c r="M34" s="142" t="s">
        <v>243</v>
      </c>
      <c r="N34" s="142" t="s">
        <v>244</v>
      </c>
      <c r="O34" s="9">
        <v>5501.3</v>
      </c>
      <c r="P34" s="9">
        <v>2</v>
      </c>
      <c r="Q34" s="13" t="str">
        <f>VLOOKUP(O34, '[1]لیست محصولات اردیبهشت ۱۴۰۳'!B:C,2,0)</f>
        <v>ورتکس | Vortex</v>
      </c>
      <c r="R34" s="9"/>
      <c r="S34" s="12">
        <f>VLOOKUP(O34, '[1]لیست محصولات اردیبهشت ۱۴۰۳'!B:F,5,0)</f>
        <v>4000</v>
      </c>
      <c r="T34" s="14">
        <f>VLOOKUP(O34, '[1]لیست محصولات اردیبهشت ۱۴۰۳'!B:G,6,0)</f>
        <v>51200000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102400000</v>
      </c>
      <c r="Y34" s="17"/>
      <c r="Z34" s="14">
        <f t="shared" si="4"/>
        <v>102400000</v>
      </c>
      <c r="AA34" s="140" t="s">
        <v>79</v>
      </c>
      <c r="AB34" s="138" t="s">
        <v>245</v>
      </c>
      <c r="AC34" s="136" t="s">
        <v>246</v>
      </c>
      <c r="AD34" s="134"/>
      <c r="AE34" s="19"/>
      <c r="AF34" s="21"/>
      <c r="AG34" s="22" t="str">
        <f t="shared" si="5"/>
        <v>TRUE</v>
      </c>
      <c r="AH34" s="23" t="str">
        <f t="shared" si="6"/>
        <v>تهران دزاشیب کوچه افشار کافه پاز - ملیکا بیات 09102110518</v>
      </c>
    </row>
    <row r="35" spans="1:34" ht="22.35" customHeight="1">
      <c r="A35" s="7"/>
      <c r="B35" s="7"/>
      <c r="C35" s="7"/>
      <c r="D35" s="7"/>
      <c r="E35" s="7"/>
      <c r="F35" s="8"/>
      <c r="G35" s="133"/>
      <c r="H35" s="131"/>
      <c r="I35" s="133"/>
      <c r="J35" s="133"/>
      <c r="K35" s="11" t="str">
        <f t="shared" ca="1" si="0"/>
        <v/>
      </c>
      <c r="L35" s="143"/>
      <c r="M35" s="143"/>
      <c r="N35" s="143"/>
      <c r="O35" s="9">
        <v>5511.2</v>
      </c>
      <c r="P35" s="9">
        <v>1</v>
      </c>
      <c r="Q35" s="13" t="str">
        <f>VLOOKUP(O35, '[1]لیست محصولات اردیبهشت ۱۴۰۳'!B:C,2,0)</f>
        <v>هامبلا | Hambella</v>
      </c>
      <c r="R35" s="9"/>
      <c r="S35" s="12">
        <f>VLOOKUP(O35, '[1]لیست محصولات اردیبهشت ۱۴۰۳'!B:F,5,0)</f>
        <v>750</v>
      </c>
      <c r="T35" s="14">
        <f>VLOOKUP(O35, '[1]لیست محصولات اردیبهشت ۱۴۰۳'!B:G,6,0)</f>
        <v>13350000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13350000</v>
      </c>
      <c r="Y35" s="17"/>
      <c r="Z35" s="14">
        <f t="shared" si="4"/>
        <v>13350000</v>
      </c>
      <c r="AA35" s="141"/>
      <c r="AB35" s="139"/>
      <c r="AC35" s="137"/>
      <c r="AD35" s="135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55">
        <v>22</v>
      </c>
      <c r="H36" s="157"/>
      <c r="I36" s="155" t="s">
        <v>136</v>
      </c>
      <c r="J36" s="132" t="s">
        <v>76</v>
      </c>
      <c r="K36" s="11" t="str">
        <f t="shared" ca="1" si="0"/>
        <v/>
      </c>
      <c r="L36" s="142" t="s">
        <v>247</v>
      </c>
      <c r="M36" s="142" t="s">
        <v>248</v>
      </c>
      <c r="N36" s="142" t="s">
        <v>249</v>
      </c>
      <c r="O36" s="9">
        <v>5501.3</v>
      </c>
      <c r="P36" s="9">
        <v>12</v>
      </c>
      <c r="Q36" s="13" t="str">
        <f>VLOOKUP(O36, '[1]لیست محصولات اردیبهشت ۱۴۰۳'!B:C,2,0)</f>
        <v>ورتکس | Vortex</v>
      </c>
      <c r="R36" s="9"/>
      <c r="S36" s="12">
        <f>VLOOKUP(O36, '[1]لیست محصولات اردیبهشت ۱۴۰۳'!B:F,5,0)</f>
        <v>4000</v>
      </c>
      <c r="T36" s="14">
        <f>VLOOKUP(O36, '[1]لیست محصولات اردیبهشت ۱۴۰۳'!B:G,6,0)</f>
        <v>51200000</v>
      </c>
      <c r="U36" s="15"/>
      <c r="V36" s="16">
        <f t="shared" si="1"/>
        <v>0</v>
      </c>
      <c r="W36" s="12">
        <f t="shared" si="2"/>
        <v>12</v>
      </c>
      <c r="X36" s="14">
        <f t="shared" si="3"/>
        <v>614400000</v>
      </c>
      <c r="Y36" s="17"/>
      <c r="Z36" s="14">
        <f t="shared" si="4"/>
        <v>614400000</v>
      </c>
      <c r="AA36" s="140" t="s">
        <v>250</v>
      </c>
      <c r="AB36" s="138" t="s">
        <v>251</v>
      </c>
      <c r="AC36" s="136" t="s">
        <v>252</v>
      </c>
      <c r="AD36" s="134"/>
      <c r="AE36" s="19"/>
      <c r="AF36" s="21"/>
      <c r="AG36" s="22" t="str">
        <f t="shared" si="5"/>
        <v>TRUE</v>
      </c>
      <c r="AH36" s="23" t="str">
        <f t="shared" si="6"/>
        <v>کرج جهانشهر - ميدان هلال احمر - خ هلال احمر - نبش كوچه سنبل  کافه دارچین - کیان کاوه 09124620107</v>
      </c>
    </row>
    <row r="37" spans="1:34" ht="22.35" customHeight="1">
      <c r="A37" s="7"/>
      <c r="B37" s="7"/>
      <c r="C37" s="7"/>
      <c r="D37" s="7"/>
      <c r="E37" s="7"/>
      <c r="F37" s="8"/>
      <c r="G37" s="156"/>
      <c r="H37" s="158"/>
      <c r="I37" s="156"/>
      <c r="J37" s="133"/>
      <c r="K37" s="11" t="str">
        <f t="shared" ca="1" si="0"/>
        <v/>
      </c>
      <c r="L37" s="143"/>
      <c r="M37" s="143"/>
      <c r="N37" s="143"/>
      <c r="O37" s="9">
        <v>5522.2</v>
      </c>
      <c r="P37" s="9">
        <v>12</v>
      </c>
      <c r="Q37" s="13" t="str">
        <f>VLOOKUP(O37, '[1]لیست محصولات اردیبهشت ۱۴۰۳'!B:C,2,0)</f>
        <v>تامارا | Tamara</v>
      </c>
      <c r="R37" s="9"/>
      <c r="S37" s="12">
        <f>VLOOKUP(O37, '[1]لیست محصولات اردیبهشت ۱۴۰۳'!B:F,5,0)</f>
        <v>750</v>
      </c>
      <c r="T37" s="14">
        <f>VLOOKUP(O37, '[1]لیست محصولات اردیبهشت ۱۴۰۳'!B:G,6,0)</f>
        <v>12450000</v>
      </c>
      <c r="U37" s="15"/>
      <c r="V37" s="16">
        <f t="shared" si="1"/>
        <v>0</v>
      </c>
      <c r="W37" s="12">
        <f t="shared" si="2"/>
        <v>12</v>
      </c>
      <c r="X37" s="14">
        <f t="shared" si="3"/>
        <v>149400000</v>
      </c>
      <c r="Y37" s="17"/>
      <c r="Z37" s="14">
        <f t="shared" si="4"/>
        <v>149400000</v>
      </c>
      <c r="AA37" s="141"/>
      <c r="AB37" s="139"/>
      <c r="AC37" s="137"/>
      <c r="AD37" s="135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132">
        <v>23</v>
      </c>
      <c r="H38" s="130">
        <v>54941963701</v>
      </c>
      <c r="I38" s="132" t="s">
        <v>136</v>
      </c>
      <c r="J38" s="132"/>
      <c r="K38" s="11" t="str">
        <f t="shared" ca="1" si="0"/>
        <v/>
      </c>
      <c r="L38" s="142" t="s">
        <v>253</v>
      </c>
      <c r="M38" s="142" t="s">
        <v>254</v>
      </c>
      <c r="N38" s="142"/>
      <c r="O38" s="9">
        <v>5523.1</v>
      </c>
      <c r="P38" s="9">
        <v>1</v>
      </c>
      <c r="Q38" s="13" t="str">
        <f>VLOOKUP(O38, '[1]لیست محصولات اردیبهشت ۱۴۰۳'!B:C,2,0)</f>
        <v>کوتوا دانکن | Kotowa Duncan</v>
      </c>
      <c r="R38" s="9"/>
      <c r="S38" s="12">
        <f>VLOOKUP(O38, '[1]لیست محصولات اردیبهشت ۱۴۰۳'!B:F,5,0)</f>
        <v>150</v>
      </c>
      <c r="T38" s="14">
        <f>VLOOKUP(O38, '[1]لیست محصولات اردیبهشت ۱۴۰۳'!B:G,6,0)</f>
        <v>2550000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2550000</v>
      </c>
      <c r="Y38" s="17"/>
      <c r="Z38" s="14">
        <f t="shared" si="4"/>
        <v>2550000</v>
      </c>
      <c r="AA38" s="140" t="s">
        <v>79</v>
      </c>
      <c r="AB38" s="138" t="s">
        <v>317</v>
      </c>
      <c r="AC38" s="136" t="s">
        <v>256</v>
      </c>
      <c r="AD38" s="134" t="s">
        <v>99</v>
      </c>
      <c r="AE38" s="19"/>
      <c r="AF38" s="21"/>
      <c r="AG38" s="22" t="str">
        <f t="shared" si="5"/>
        <v>TRUE</v>
      </c>
      <c r="AH38" s="23" t="str">
        <f t="shared" si="6"/>
        <v>تهران نارمک. خ آیت . خ قاسم‌زاده. خ برادران صادقی. پلاک ۹ . واحد ۳  - فهیمه صافی 09192727642</v>
      </c>
    </row>
    <row r="39" spans="1:34" ht="22.35" customHeight="1">
      <c r="A39" s="7"/>
      <c r="B39" s="7"/>
      <c r="C39" s="7"/>
      <c r="D39" s="7"/>
      <c r="E39" s="7"/>
      <c r="F39" s="8"/>
      <c r="G39" s="133"/>
      <c r="H39" s="131"/>
      <c r="I39" s="133"/>
      <c r="J39" s="133"/>
      <c r="K39" s="11" t="str">
        <f t="shared" ca="1" si="0"/>
        <v/>
      </c>
      <c r="L39" s="143"/>
      <c r="M39" s="143"/>
      <c r="N39" s="143"/>
      <c r="O39" s="9">
        <v>5523.1</v>
      </c>
      <c r="P39" s="9">
        <v>1</v>
      </c>
      <c r="Q39" s="13" t="str">
        <f>VLOOKUP(O39, '[1]لیست محصولات اردیبهشت ۱۴۰۳'!B:C,2,0)</f>
        <v>کوتوا دانکن | Kotowa Duncan</v>
      </c>
      <c r="R39" s="9" t="s">
        <v>255</v>
      </c>
      <c r="S39" s="12">
        <f>VLOOKUP(O39, '[1]لیست محصولات اردیبهشت ۱۴۰۳'!B:F,5,0)</f>
        <v>150</v>
      </c>
      <c r="T39" s="14">
        <f>VLOOKUP(O39, '[1]لیست محصولات اردیبهشت ۱۴۰۳'!B:G,6,0)</f>
        <v>2550000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2550000</v>
      </c>
      <c r="Y39" s="17"/>
      <c r="Z39" s="14">
        <f t="shared" si="4"/>
        <v>2550000</v>
      </c>
      <c r="AA39" s="141"/>
      <c r="AB39" s="139"/>
      <c r="AC39" s="137"/>
      <c r="AD39" s="135"/>
      <c r="AE39" s="1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155">
        <v>24</v>
      </c>
      <c r="H40" s="157"/>
      <c r="I40" s="155" t="s">
        <v>136</v>
      </c>
      <c r="J40" s="132" t="s">
        <v>76</v>
      </c>
      <c r="K40" s="11" t="str">
        <f t="shared" ca="1" si="0"/>
        <v/>
      </c>
      <c r="L40" s="142"/>
      <c r="M40" s="142" t="s">
        <v>77</v>
      </c>
      <c r="N40" s="142" t="s">
        <v>257</v>
      </c>
      <c r="O40" s="9">
        <v>5501.3</v>
      </c>
      <c r="P40" s="9">
        <v>4</v>
      </c>
      <c r="Q40" s="13" t="str">
        <f>VLOOKUP(O40, '[1]لیست محصولات اردیبهشت ۱۴۰۳'!B:C,2,0)</f>
        <v>ورتکس | Vortex</v>
      </c>
      <c r="R40" s="9"/>
      <c r="S40" s="12">
        <f>VLOOKUP(O40, '[1]لیست محصولات اردیبهشت ۱۴۰۳'!B:F,5,0)</f>
        <v>4000</v>
      </c>
      <c r="T40" s="14">
        <f>VLOOKUP(O40, '[1]لیست محصولات اردیبهشت ۱۴۰۳'!B:G,6,0)</f>
        <v>51200000</v>
      </c>
      <c r="U40" s="15"/>
      <c r="V40" s="16">
        <f t="shared" si="1"/>
        <v>0</v>
      </c>
      <c r="W40" s="12">
        <f t="shared" si="2"/>
        <v>4</v>
      </c>
      <c r="X40" s="14">
        <f t="shared" si="3"/>
        <v>204800000</v>
      </c>
      <c r="Y40" s="17"/>
      <c r="Z40" s="14">
        <f t="shared" si="4"/>
        <v>204800000</v>
      </c>
      <c r="AA40" s="140" t="s">
        <v>79</v>
      </c>
      <c r="AB40" s="138" t="s">
        <v>70</v>
      </c>
      <c r="AC40" s="136" t="s">
        <v>80</v>
      </c>
      <c r="AD40" s="134"/>
      <c r="AE40" s="19"/>
      <c r="AF40" s="21"/>
      <c r="AG40" s="22" t="str">
        <f t="shared" si="5"/>
        <v>TRUE</v>
      </c>
      <c r="AH40" s="23" t="str">
        <f t="shared" si="6"/>
        <v>تهران - کافه بیکری کروسان روشا -  حجتی 09373955769</v>
      </c>
    </row>
    <row r="41" spans="1:34" ht="22.35" customHeight="1">
      <c r="A41" s="7"/>
      <c r="B41" s="7"/>
      <c r="C41" s="7"/>
      <c r="D41" s="7"/>
      <c r="E41" s="7"/>
      <c r="F41" s="8"/>
      <c r="G41" s="156"/>
      <c r="H41" s="158"/>
      <c r="I41" s="156"/>
      <c r="J41" s="133"/>
      <c r="K41" s="11" t="str">
        <f t="shared" ca="1" si="0"/>
        <v/>
      </c>
      <c r="L41" s="143"/>
      <c r="M41" s="143"/>
      <c r="N41" s="143"/>
      <c r="O41" s="9">
        <v>5511.3</v>
      </c>
      <c r="P41" s="9">
        <v>1</v>
      </c>
      <c r="Q41" s="13" t="str">
        <f>VLOOKUP(O41, '[1]لیست محصولات اردیبهشت ۱۴۰۳'!B:C,2,0)</f>
        <v>هامبلا | Hambella</v>
      </c>
      <c r="R41" s="9"/>
      <c r="S41" s="12">
        <f>VLOOKUP(O41, '[1]لیست محصولات اردیبهشت ۱۴۰۳'!B:F,5,0)</f>
        <v>4000</v>
      </c>
      <c r="T41" s="14">
        <f>VLOOKUP(O41, '[1]لیست محصولات اردیبهشت ۱۴۰۳'!B:G,6,0)</f>
        <v>69600000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69600000</v>
      </c>
      <c r="Y41" s="17"/>
      <c r="Z41" s="14">
        <f t="shared" si="4"/>
        <v>69600000</v>
      </c>
      <c r="AA41" s="141"/>
      <c r="AB41" s="139"/>
      <c r="AC41" s="137"/>
      <c r="AD41" s="135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32">
        <v>25</v>
      </c>
      <c r="H42" s="130">
        <v>276865334189</v>
      </c>
      <c r="I42" s="132" t="s">
        <v>136</v>
      </c>
      <c r="J42" s="132" t="s">
        <v>76</v>
      </c>
      <c r="K42" s="11" t="str">
        <f t="shared" ca="1" si="0"/>
        <v/>
      </c>
      <c r="L42" s="142" t="s">
        <v>258</v>
      </c>
      <c r="M42" s="142" t="s">
        <v>259</v>
      </c>
      <c r="N42" s="142" t="s">
        <v>260</v>
      </c>
      <c r="O42" s="9">
        <v>5523.2</v>
      </c>
      <c r="P42" s="9">
        <v>1</v>
      </c>
      <c r="Q42" s="13" t="str">
        <f>VLOOKUP(O42, '[1]لیست محصولات اردیبهشت ۱۴۰۳'!B:C,2,0)</f>
        <v>کوتوا دانکن | Kotowa Duncan</v>
      </c>
      <c r="R42" s="9"/>
      <c r="S42" s="12">
        <f>VLOOKUP(O42, '[1]لیست محصولات اردیبهشت ۱۴۰۳'!B:F,5,0)</f>
        <v>750</v>
      </c>
      <c r="T42" s="14">
        <f>VLOOKUP(O42, '[1]لیست محصولات اردیبهشت ۱۴۰۳'!B:G,6,0)</f>
        <v>12150000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12150000</v>
      </c>
      <c r="Y42" s="17"/>
      <c r="Z42" s="14">
        <f t="shared" si="4"/>
        <v>12150000</v>
      </c>
      <c r="AA42" s="140" t="s">
        <v>129</v>
      </c>
      <c r="AB42" s="138" t="s">
        <v>261</v>
      </c>
      <c r="AC42" s="136" t="s">
        <v>262</v>
      </c>
      <c r="AD42" s="134"/>
      <c r="AE42" s="19"/>
      <c r="AF42" s="21"/>
      <c r="AG42" s="22" t="str">
        <f t="shared" si="5"/>
        <v>TRUE</v>
      </c>
      <c r="AH42" s="23" t="str">
        <f t="shared" si="6"/>
        <v>مشهد چهارراه شهدا - بهجت 1 - هتل الغدیر - موسسه خیریه امام صادق هتل الغدیر - شروین خلیلی 09172608227</v>
      </c>
    </row>
    <row r="43" spans="1:34" ht="22.35" customHeight="1">
      <c r="A43" s="7"/>
      <c r="B43" s="7"/>
      <c r="C43" s="7"/>
      <c r="D43" s="7"/>
      <c r="E43" s="7"/>
      <c r="F43" s="8"/>
      <c r="G43" s="144"/>
      <c r="H43" s="150"/>
      <c r="I43" s="144"/>
      <c r="J43" s="144"/>
      <c r="K43" s="11" t="str">
        <f t="shared" ca="1" si="0"/>
        <v/>
      </c>
      <c r="L43" s="145"/>
      <c r="M43" s="145"/>
      <c r="N43" s="145"/>
      <c r="O43" s="9">
        <v>5522.2</v>
      </c>
      <c r="P43" s="9">
        <v>1</v>
      </c>
      <c r="Q43" s="13" t="str">
        <f>VLOOKUP(O43, '[1]لیست محصولات اردیبهشت ۱۴۰۳'!B:C,2,0)</f>
        <v>تامارا | Tamara</v>
      </c>
      <c r="R43" s="9"/>
      <c r="S43" s="12">
        <f>VLOOKUP(O43, '[1]لیست محصولات اردیبهشت ۱۴۰۳'!B:F,5,0)</f>
        <v>750</v>
      </c>
      <c r="T43" s="14">
        <f>VLOOKUP(O43, '[1]لیست محصولات اردیبهشت ۱۴۰۳'!B:G,6,0)</f>
        <v>12450000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12450000</v>
      </c>
      <c r="Y43" s="17"/>
      <c r="Z43" s="14">
        <f t="shared" si="4"/>
        <v>12450000</v>
      </c>
      <c r="AA43" s="149"/>
      <c r="AB43" s="148"/>
      <c r="AC43" s="147"/>
      <c r="AD43" s="146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44"/>
      <c r="H44" s="150"/>
      <c r="I44" s="144"/>
      <c r="J44" s="144"/>
      <c r="K44" s="11" t="str">
        <f t="shared" ca="1" si="0"/>
        <v/>
      </c>
      <c r="L44" s="145"/>
      <c r="M44" s="145"/>
      <c r="N44" s="145"/>
      <c r="O44" s="9">
        <v>5511.3</v>
      </c>
      <c r="P44" s="9">
        <v>1</v>
      </c>
      <c r="Q44" s="13" t="str">
        <f>VLOOKUP(O44, '[1]لیست محصولات اردیبهشت ۱۴۰۳'!B:C,2,0)</f>
        <v>هامبلا | Hambella</v>
      </c>
      <c r="R44" s="9"/>
      <c r="S44" s="12">
        <f>VLOOKUP(O44, '[1]لیست محصولات اردیبهشت ۱۴۰۳'!B:F,5,0)</f>
        <v>4000</v>
      </c>
      <c r="T44" s="14">
        <f>VLOOKUP(O44, '[1]لیست محصولات اردیبهشت ۱۴۰۳'!B:G,6,0)</f>
        <v>69600000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69600000</v>
      </c>
      <c r="Y44" s="17"/>
      <c r="Z44" s="14">
        <f t="shared" si="4"/>
        <v>69600000</v>
      </c>
      <c r="AA44" s="149"/>
      <c r="AB44" s="148"/>
      <c r="AC44" s="147"/>
      <c r="AD44" s="146"/>
      <c r="AE44" s="19"/>
      <c r="AF44" s="21"/>
      <c r="AG44" s="22" t="str">
        <f t="shared" si="5"/>
        <v>TRUE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44"/>
      <c r="H45" s="150"/>
      <c r="I45" s="144"/>
      <c r="J45" s="144"/>
      <c r="K45" s="11" t="str">
        <f t="shared" ca="1" si="0"/>
        <v/>
      </c>
      <c r="L45" s="145"/>
      <c r="M45" s="145"/>
      <c r="N45" s="145"/>
      <c r="O45" s="9">
        <v>5501.3</v>
      </c>
      <c r="P45" s="9">
        <v>1</v>
      </c>
      <c r="Q45" s="13" t="str">
        <f>VLOOKUP(O45, '[1]لیست محصولات اردیبهشت ۱۴۰۳'!B:C,2,0)</f>
        <v>ورتکس | Vortex</v>
      </c>
      <c r="R45" s="9"/>
      <c r="S45" s="12">
        <f>VLOOKUP(O45, '[1]لیست محصولات اردیبهشت ۱۴۰۳'!B:F,5,0)</f>
        <v>4000</v>
      </c>
      <c r="T45" s="14">
        <f>VLOOKUP(O45, '[1]لیست محصولات اردیبهشت ۱۴۰۳'!B:G,6,0)</f>
        <v>51200000</v>
      </c>
      <c r="U45" s="26"/>
      <c r="V45" s="16">
        <f t="shared" si="1"/>
        <v>0</v>
      </c>
      <c r="W45" s="12">
        <f t="shared" si="2"/>
        <v>1</v>
      </c>
      <c r="X45" s="14">
        <f t="shared" si="3"/>
        <v>51200000</v>
      </c>
      <c r="Y45" s="17"/>
      <c r="Z45" s="14">
        <f t="shared" si="4"/>
        <v>51200000</v>
      </c>
      <c r="AA45" s="149"/>
      <c r="AB45" s="148"/>
      <c r="AC45" s="147"/>
      <c r="AD45" s="146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144"/>
      <c r="H46" s="150"/>
      <c r="I46" s="144"/>
      <c r="J46" s="144"/>
      <c r="K46" s="11" t="str">
        <f t="shared" ca="1" si="0"/>
        <v/>
      </c>
      <c r="L46" s="145"/>
      <c r="M46" s="145"/>
      <c r="N46" s="145"/>
      <c r="O46" s="9">
        <v>3326.2</v>
      </c>
      <c r="P46" s="9">
        <v>1</v>
      </c>
      <c r="Q46" s="13" t="str">
        <f>VLOOKUP(O46, '[1]لیست محصولات اردیبهشت ۱۴۰۳'!B:C,2,0)</f>
        <v>میاگروس | Milagros</v>
      </c>
      <c r="R46" s="9"/>
      <c r="S46" s="12">
        <f>VLOOKUP(O46, '[1]لیست محصولات اردیبهشت ۱۴۰۳'!B:F,5,0)</f>
        <v>750</v>
      </c>
      <c r="T46" s="14">
        <f>VLOOKUP(O46, '[1]لیست محصولات اردیبهشت ۱۴۰۳'!B:G,6,0)</f>
        <v>18150000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18150000</v>
      </c>
      <c r="Y46" s="17"/>
      <c r="Z46" s="14">
        <f t="shared" si="4"/>
        <v>18150000</v>
      </c>
      <c r="AA46" s="149"/>
      <c r="AB46" s="148"/>
      <c r="AC46" s="147"/>
      <c r="AD46" s="146"/>
      <c r="AE46" s="19"/>
      <c r="AF46" s="21"/>
      <c r="AG46" s="22" t="str">
        <f t="shared" si="5"/>
        <v>TRUE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144"/>
      <c r="H47" s="150"/>
      <c r="I47" s="144"/>
      <c r="J47" s="144"/>
      <c r="K47" s="11" t="str">
        <f t="shared" ca="1" si="0"/>
        <v/>
      </c>
      <c r="L47" s="145"/>
      <c r="M47" s="145"/>
      <c r="N47" s="145"/>
      <c r="O47" s="9">
        <v>3325.2</v>
      </c>
      <c r="P47" s="9">
        <v>1</v>
      </c>
      <c r="Q47" s="13" t="str">
        <f>VLOOKUP(O47, '[1]لیست محصولات اردیبهشت ۱۴۰۳'!B:C,2,0)</f>
        <v>راتناگری | Ratnagiri</v>
      </c>
      <c r="R47" s="9"/>
      <c r="S47" s="12">
        <f>VLOOKUP(O47, '[1]لیست محصولات اردیبهشت ۱۴۰۳'!B:F,5,0)</f>
        <v>750</v>
      </c>
      <c r="T47" s="14">
        <f>VLOOKUP(O47, '[1]لیست محصولات اردیبهشت ۱۴۰۳'!B:G,6,0)</f>
        <v>20700000</v>
      </c>
      <c r="U47" s="15"/>
      <c r="V47" s="16">
        <f t="shared" si="1"/>
        <v>0</v>
      </c>
      <c r="W47" s="12">
        <f t="shared" si="2"/>
        <v>1</v>
      </c>
      <c r="X47" s="14">
        <f t="shared" si="3"/>
        <v>20700000</v>
      </c>
      <c r="Y47" s="17"/>
      <c r="Z47" s="14">
        <f t="shared" si="4"/>
        <v>20700000</v>
      </c>
      <c r="AA47" s="149"/>
      <c r="AB47" s="148"/>
      <c r="AC47" s="147"/>
      <c r="AD47" s="146"/>
      <c r="AE47" s="19"/>
      <c r="AF47" s="21"/>
      <c r="AG47" s="22" t="str">
        <f t="shared" si="5"/>
        <v>TRUE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44"/>
      <c r="H48" s="150"/>
      <c r="I48" s="144"/>
      <c r="J48" s="144"/>
      <c r="K48" s="11" t="str">
        <f t="shared" ca="1" si="0"/>
        <v/>
      </c>
      <c r="L48" s="145"/>
      <c r="M48" s="145"/>
      <c r="N48" s="145"/>
      <c r="O48" s="9">
        <v>1130.0999999999999</v>
      </c>
      <c r="P48" s="9">
        <v>2</v>
      </c>
      <c r="Q48" s="13" t="str">
        <f>VLOOKUP(O48, '[1]لیست محصولات اردیبهشت ۱۴۰۳'!B:C,2,0)</f>
        <v>الیدا پلانو | Elida Plano</v>
      </c>
      <c r="R48" s="9"/>
      <c r="S48" s="12">
        <f>VLOOKUP(O48, '[1]لیست محصولات اردیبهشت ۱۴۰۳'!B:F,5,0)</f>
        <v>80</v>
      </c>
      <c r="T48" s="14">
        <f>VLOOKUP(O48, '[1]لیست محصولات اردیبهشت ۱۴۰۳'!B:G,6,0)</f>
        <v>13100000</v>
      </c>
      <c r="U48" s="15"/>
      <c r="V48" s="16">
        <f t="shared" si="1"/>
        <v>0</v>
      </c>
      <c r="W48" s="12">
        <f t="shared" si="2"/>
        <v>2</v>
      </c>
      <c r="X48" s="14">
        <f t="shared" si="3"/>
        <v>26200000</v>
      </c>
      <c r="Y48" s="17"/>
      <c r="Z48" s="14">
        <f t="shared" si="4"/>
        <v>26200000</v>
      </c>
      <c r="AA48" s="149"/>
      <c r="AB48" s="148"/>
      <c r="AC48" s="147"/>
      <c r="AD48" s="146"/>
      <c r="AE48" s="19"/>
      <c r="AF48" s="21"/>
      <c r="AG48" s="22" t="str">
        <f t="shared" si="5"/>
        <v>TRUE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33"/>
      <c r="H49" s="131"/>
      <c r="I49" s="133"/>
      <c r="J49" s="133"/>
      <c r="K49" s="11" t="str">
        <f t="shared" ca="1" si="0"/>
        <v/>
      </c>
      <c r="L49" s="143"/>
      <c r="M49" s="143"/>
      <c r="N49" s="143"/>
      <c r="O49" s="9">
        <v>1125.0999999999999</v>
      </c>
      <c r="P49" s="9">
        <v>2</v>
      </c>
      <c r="Q49" s="13" t="str">
        <f>VLOOKUP(O49, '[1]لیست محصولات اردیبهشت ۱۴۰۳'!B:C,2,0)</f>
        <v>بنجامین دیانوس | Benjamin De Dianous</v>
      </c>
      <c r="R49" s="9"/>
      <c r="S49" s="12">
        <f>VLOOKUP(O49, '[1]لیست محصولات اردیبهشت ۱۴۰۳'!B:F,5,0)</f>
        <v>80</v>
      </c>
      <c r="T49" s="14">
        <f>VLOOKUP(O49, '[1]لیست محصولات اردیبهشت ۱۴۰۳'!B:G,6,0)</f>
        <v>11000000</v>
      </c>
      <c r="U49" s="15"/>
      <c r="V49" s="16">
        <f t="shared" si="1"/>
        <v>0</v>
      </c>
      <c r="W49" s="12">
        <f t="shared" si="2"/>
        <v>2</v>
      </c>
      <c r="X49" s="14">
        <f t="shared" si="3"/>
        <v>22000000</v>
      </c>
      <c r="Y49" s="17"/>
      <c r="Z49" s="14">
        <f t="shared" si="4"/>
        <v>22000000</v>
      </c>
      <c r="AA49" s="141"/>
      <c r="AB49" s="139"/>
      <c r="AC49" s="137"/>
      <c r="AD49" s="135"/>
      <c r="AE49" s="19"/>
      <c r="AF49" s="21"/>
      <c r="AG49" s="22" t="str">
        <f t="shared" si="5"/>
        <v>TRUE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132">
        <v>26</v>
      </c>
      <c r="H50" s="130">
        <v>276867281385</v>
      </c>
      <c r="I50" s="132" t="s">
        <v>136</v>
      </c>
      <c r="J50" s="132" t="s">
        <v>76</v>
      </c>
      <c r="K50" s="11" t="str">
        <f t="shared" ca="1" si="0"/>
        <v/>
      </c>
      <c r="L50" s="142"/>
      <c r="M50" s="142"/>
      <c r="N50" s="142" t="s">
        <v>263</v>
      </c>
      <c r="O50" s="9">
        <v>5501.3</v>
      </c>
      <c r="P50" s="9">
        <v>1</v>
      </c>
      <c r="Q50" s="13" t="str">
        <f>VLOOKUP(O50, '[1]لیست محصولات اردیبهشت ۱۴۰۳'!B:C,2,0)</f>
        <v>ورتکس | Vortex</v>
      </c>
      <c r="R50" s="9"/>
      <c r="S50" s="12">
        <f>VLOOKUP(O50, '[1]لیست محصولات اردیبهشت ۱۴۰۳'!B:F,5,0)</f>
        <v>4000</v>
      </c>
      <c r="T50" s="14">
        <f>VLOOKUP(O50, '[1]لیست محصولات اردیبهشت ۱۴۰۳'!B:G,6,0)</f>
        <v>51200000</v>
      </c>
      <c r="U50" s="26"/>
      <c r="V50" s="16">
        <f t="shared" si="1"/>
        <v>0</v>
      </c>
      <c r="W50" s="12">
        <f t="shared" si="2"/>
        <v>1</v>
      </c>
      <c r="X50" s="14">
        <f t="shared" si="3"/>
        <v>51200000</v>
      </c>
      <c r="Y50" s="17"/>
      <c r="Z50" s="14">
        <f t="shared" si="4"/>
        <v>51200000</v>
      </c>
      <c r="AA50" s="140" t="s">
        <v>79</v>
      </c>
      <c r="AB50" s="138" t="s">
        <v>264</v>
      </c>
      <c r="AC50" s="136" t="s">
        <v>265</v>
      </c>
      <c r="AD50" s="134"/>
      <c r="AE50" s="19"/>
      <c r="AF50" s="21"/>
      <c r="AG50" s="22" t="str">
        <f t="shared" si="5"/>
        <v>TRUE</v>
      </c>
      <c r="AH50" s="23" t="str">
        <f t="shared" si="6"/>
        <v>تهران خ کریمخان خ عضدی (ابان جنوبی) پایین تر از بیمارستان ابان پلاک ۳۸ کافه ناتور -   09121112126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33"/>
      <c r="H51" s="131"/>
      <c r="I51" s="133"/>
      <c r="J51" s="133"/>
      <c r="K51" s="11" t="str">
        <f t="shared" ca="1" si="0"/>
        <v/>
      </c>
      <c r="L51" s="143"/>
      <c r="M51" s="143"/>
      <c r="N51" s="143"/>
      <c r="O51" s="9">
        <v>3325.2</v>
      </c>
      <c r="P51" s="9">
        <v>1</v>
      </c>
      <c r="Q51" s="13" t="str">
        <f>VLOOKUP(O51, '[1]لیست محصولات اردیبهشت ۱۴۰۳'!B:C,2,0)</f>
        <v>راتناگری | Ratnagiri</v>
      </c>
      <c r="R51" s="9"/>
      <c r="S51" s="12">
        <f>VLOOKUP(O51, '[1]لیست محصولات اردیبهشت ۱۴۰۳'!B:F,5,0)</f>
        <v>750</v>
      </c>
      <c r="T51" s="14">
        <f>VLOOKUP(O51, '[1]لیست محصولات اردیبهشت ۱۴۰۳'!B:G,6,0)</f>
        <v>20700000</v>
      </c>
      <c r="U51" s="15"/>
      <c r="V51" s="16">
        <f t="shared" si="1"/>
        <v>0</v>
      </c>
      <c r="W51" s="12">
        <f t="shared" si="2"/>
        <v>1</v>
      </c>
      <c r="X51" s="14">
        <f t="shared" si="3"/>
        <v>20700000</v>
      </c>
      <c r="Y51" s="17"/>
      <c r="Z51" s="14">
        <f t="shared" si="4"/>
        <v>20700000</v>
      </c>
      <c r="AA51" s="141"/>
      <c r="AB51" s="139"/>
      <c r="AC51" s="137"/>
      <c r="AD51" s="135"/>
      <c r="AE51" s="19"/>
      <c r="AF51" s="21"/>
      <c r="AG51" s="22" t="str">
        <f t="shared" si="5"/>
        <v>TRUE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66">
        <v>27</v>
      </c>
      <c r="H52" s="67"/>
      <c r="I52" s="66" t="s">
        <v>136</v>
      </c>
      <c r="J52" s="9" t="s">
        <v>76</v>
      </c>
      <c r="K52" s="11" t="str">
        <f t="shared" ca="1" si="0"/>
        <v/>
      </c>
      <c r="L52" s="12" t="s">
        <v>141</v>
      </c>
      <c r="M52" s="12" t="s">
        <v>142</v>
      </c>
      <c r="N52" s="12" t="s">
        <v>266</v>
      </c>
      <c r="O52" s="9">
        <v>5523.2</v>
      </c>
      <c r="P52" s="9">
        <v>1</v>
      </c>
      <c r="Q52" s="13" t="str">
        <f>VLOOKUP(O52, '[1]لیست محصولات اردیبهشت ۱۴۰۳'!B:C,2,0)</f>
        <v>کوتوا دانکن | Kotowa Duncan</v>
      </c>
      <c r="R52" s="9" t="s">
        <v>267</v>
      </c>
      <c r="S52" s="12">
        <f>VLOOKUP(O52, '[1]لیست محصولات اردیبهشت ۱۴۰۳'!B:F,5,0)</f>
        <v>750</v>
      </c>
      <c r="T52" s="14">
        <f>VLOOKUP(O52, '[1]لیست محصولات اردیبهشت ۱۴۰۳'!B:G,6,0)</f>
        <v>12150000</v>
      </c>
      <c r="U52" s="15"/>
      <c r="V52" s="16">
        <f t="shared" si="1"/>
        <v>0</v>
      </c>
      <c r="W52" s="12">
        <f t="shared" si="2"/>
        <v>1</v>
      </c>
      <c r="X52" s="14">
        <f t="shared" si="3"/>
        <v>12150000</v>
      </c>
      <c r="Y52" s="17"/>
      <c r="Z52" s="14">
        <f t="shared" si="4"/>
        <v>12150000</v>
      </c>
      <c r="AA52" s="161" t="s">
        <v>268</v>
      </c>
      <c r="AB52" s="162"/>
      <c r="AC52" s="162"/>
      <c r="AD52" s="162"/>
      <c r="AE52" s="163"/>
      <c r="AF52" s="21"/>
      <c r="AG52" s="22" t="str">
        <f t="shared" si="5"/>
        <v>TRUE</v>
      </c>
      <c r="AH52" s="23" t="str">
        <f t="shared" si="6"/>
        <v xml:space="preserve">با سفارش کافه بیکری رولن ارسال شود. ( با فاکتور و بسته بندی جدا)  (سفارش شخصی) - محمد حسن شمیرانی </v>
      </c>
    </row>
    <row r="53" spans="1:34" ht="22.35" customHeight="1">
      <c r="A53" s="7"/>
      <c r="B53" s="7"/>
      <c r="C53" s="7"/>
      <c r="D53" s="7"/>
      <c r="E53" s="7"/>
      <c r="F53" s="8"/>
      <c r="G53" s="9">
        <v>28</v>
      </c>
      <c r="H53" s="10">
        <v>276869156514</v>
      </c>
      <c r="I53" s="9" t="s">
        <v>136</v>
      </c>
      <c r="J53" s="9" t="s">
        <v>76</v>
      </c>
      <c r="K53" s="11" t="str">
        <f t="shared" ca="1" si="0"/>
        <v/>
      </c>
      <c r="L53" s="12" t="s">
        <v>269</v>
      </c>
      <c r="M53" s="12" t="s">
        <v>270</v>
      </c>
      <c r="N53" s="12" t="s">
        <v>271</v>
      </c>
      <c r="O53" s="9">
        <v>5501.3</v>
      </c>
      <c r="P53" s="9">
        <v>4</v>
      </c>
      <c r="Q53" s="13" t="str">
        <f>VLOOKUP(O53, '[1]لیست محصولات اردیبهشت ۱۴۰۳'!B:C,2,0)</f>
        <v>ورتکس | Vortex</v>
      </c>
      <c r="R53" s="9"/>
      <c r="S53" s="12">
        <f>VLOOKUP(O53, '[1]لیست محصولات اردیبهشت ۱۴۰۳'!B:F,5,0)</f>
        <v>4000</v>
      </c>
      <c r="T53" s="14">
        <f>VLOOKUP(O53, '[1]لیست محصولات اردیبهشت ۱۴۰۳'!B:G,6,0)</f>
        <v>51200000</v>
      </c>
      <c r="U53" s="15"/>
      <c r="V53" s="16">
        <f t="shared" si="1"/>
        <v>0</v>
      </c>
      <c r="W53" s="12">
        <f t="shared" si="2"/>
        <v>4</v>
      </c>
      <c r="X53" s="14">
        <f t="shared" si="3"/>
        <v>204800000</v>
      </c>
      <c r="Y53" s="17"/>
      <c r="Z53" s="14">
        <f t="shared" si="4"/>
        <v>204800000</v>
      </c>
      <c r="AA53" s="18" t="s">
        <v>79</v>
      </c>
      <c r="AB53" s="13" t="s">
        <v>272</v>
      </c>
      <c r="AC53" s="19" t="s">
        <v>273</v>
      </c>
      <c r="AD53" s="20"/>
      <c r="AE53" s="19"/>
      <c r="AF53" s="21"/>
      <c r="AG53" s="22" t="str">
        <f t="shared" si="5"/>
        <v>TRUE</v>
      </c>
      <c r="AH53" s="23" t="str">
        <f t="shared" si="6"/>
        <v>تهران مرزداران-خ ابوالفضل - پ ۸ کافه فلورانس - میثم الهی 09121381407</v>
      </c>
    </row>
    <row r="54" spans="1:34" ht="22.35" customHeight="1">
      <c r="A54" s="7"/>
      <c r="B54" s="7"/>
      <c r="C54" s="7"/>
      <c r="D54" s="7"/>
      <c r="E54" s="7"/>
      <c r="F54" s="8"/>
      <c r="G54" s="155">
        <v>29</v>
      </c>
      <c r="H54" s="157"/>
      <c r="I54" s="155" t="s">
        <v>136</v>
      </c>
      <c r="J54" s="132" t="s">
        <v>76</v>
      </c>
      <c r="K54" s="11" t="str">
        <f t="shared" ca="1" si="0"/>
        <v/>
      </c>
      <c r="L54" s="142" t="s">
        <v>274</v>
      </c>
      <c r="M54" s="142" t="s">
        <v>275</v>
      </c>
      <c r="N54" s="142" t="s">
        <v>276</v>
      </c>
      <c r="O54" s="9">
        <v>5523.1</v>
      </c>
      <c r="P54" s="9">
        <v>5</v>
      </c>
      <c r="Q54" s="13" t="str">
        <f>VLOOKUP(O54, '[1]لیست محصولات اردیبهشت ۱۴۰۳'!B:C,2,0)</f>
        <v>کوتوا دانکن | Kotowa Duncan</v>
      </c>
      <c r="R54" s="9"/>
      <c r="S54" s="12">
        <f>VLOOKUP(O54, '[1]لیست محصولات اردیبهشت ۱۴۰۳'!B:F,5,0)</f>
        <v>150</v>
      </c>
      <c r="T54" s="14">
        <f>VLOOKUP(O54, '[1]لیست محصولات اردیبهشت ۱۴۰۳'!B:G,6,0)</f>
        <v>2550000</v>
      </c>
      <c r="U54" s="15"/>
      <c r="V54" s="16">
        <f t="shared" si="1"/>
        <v>0</v>
      </c>
      <c r="W54" s="12">
        <f t="shared" si="2"/>
        <v>5</v>
      </c>
      <c r="X54" s="14">
        <f t="shared" si="3"/>
        <v>12750000</v>
      </c>
      <c r="Y54" s="17"/>
      <c r="Z54" s="14">
        <f t="shared" si="4"/>
        <v>12750000</v>
      </c>
      <c r="AA54" s="140" t="s">
        <v>277</v>
      </c>
      <c r="AB54" s="138" t="s">
        <v>278</v>
      </c>
      <c r="AC54" s="136" t="s">
        <v>279</v>
      </c>
      <c r="AD54" s="134"/>
      <c r="AE54" s="19"/>
      <c r="AF54" s="21"/>
      <c r="AG54" s="22" t="str">
        <f t="shared" si="5"/>
        <v>TRUE</v>
      </c>
      <c r="AH54" s="23" t="str">
        <f t="shared" si="6"/>
        <v>ارومیه بلوار نبوت،انتهاي كوچه 18،مغازه نبش فروشگاه پینچ - ساسان حامدی 09370999001</v>
      </c>
    </row>
    <row r="55" spans="1:34" ht="22.35" customHeight="1">
      <c r="A55" s="7"/>
      <c r="B55" s="7"/>
      <c r="C55" s="7"/>
      <c r="D55" s="7"/>
      <c r="E55" s="7"/>
      <c r="F55" s="8"/>
      <c r="G55" s="164"/>
      <c r="H55" s="165"/>
      <c r="I55" s="164"/>
      <c r="J55" s="144"/>
      <c r="K55" s="11" t="str">
        <f t="shared" ca="1" si="0"/>
        <v/>
      </c>
      <c r="L55" s="145"/>
      <c r="M55" s="145"/>
      <c r="N55" s="145"/>
      <c r="O55" s="9">
        <v>5522.1</v>
      </c>
      <c r="P55" s="9">
        <v>5</v>
      </c>
      <c r="Q55" s="13" t="str">
        <f>VLOOKUP(O55, '[1]لیست محصولات اردیبهشت ۱۴۰۳'!B:C,2,0)</f>
        <v>تامارا | Tamara</v>
      </c>
      <c r="R55" s="9"/>
      <c r="S55" s="12">
        <f>VLOOKUP(O55, '[1]لیست محصولات اردیبهشت ۱۴۰۳'!B:F,5,0)</f>
        <v>150</v>
      </c>
      <c r="T55" s="14">
        <f>VLOOKUP(O55, '[1]لیست محصولات اردیبهشت ۱۴۰۳'!B:G,6,0)</f>
        <v>2600000</v>
      </c>
      <c r="U55" s="26"/>
      <c r="V55" s="16">
        <f t="shared" si="1"/>
        <v>0</v>
      </c>
      <c r="W55" s="12">
        <f t="shared" si="2"/>
        <v>5</v>
      </c>
      <c r="X55" s="14">
        <f t="shared" si="3"/>
        <v>13000000</v>
      </c>
      <c r="Y55" s="17"/>
      <c r="Z55" s="14">
        <f t="shared" si="4"/>
        <v>13000000</v>
      </c>
      <c r="AA55" s="149"/>
      <c r="AB55" s="148"/>
      <c r="AC55" s="147"/>
      <c r="AD55" s="146"/>
      <c r="AE55" s="19"/>
      <c r="AF55" s="21"/>
      <c r="AG55" s="22" t="str">
        <f t="shared" si="5"/>
        <v>TRUE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64"/>
      <c r="H56" s="165"/>
      <c r="I56" s="164"/>
      <c r="J56" s="144"/>
      <c r="K56" s="11" t="str">
        <f t="shared" ca="1" si="0"/>
        <v/>
      </c>
      <c r="L56" s="145"/>
      <c r="M56" s="145"/>
      <c r="N56" s="145"/>
      <c r="O56" s="9">
        <v>5511.11</v>
      </c>
      <c r="P56" s="9">
        <v>5</v>
      </c>
      <c r="Q56" s="69" t="str">
        <f>VLOOKUP(O56, '[1]لیست محصولات اردیبهشت ۱۴۰۳'!B:C,2,0)</f>
        <v>هامبلا(رست دمی) | Hambella( Filter Roast)</v>
      </c>
      <c r="R56" s="9"/>
      <c r="S56" s="12">
        <f>VLOOKUP(O56, '[1]لیست محصولات اردیبهشت ۱۴۰۳'!B:F,5,0)</f>
        <v>150</v>
      </c>
      <c r="T56" s="14">
        <f>VLOOKUP(O56, '[1]لیست محصولات اردیبهشت ۱۴۰۳'!B:G,6,0)</f>
        <v>2800000</v>
      </c>
      <c r="U56" s="15"/>
      <c r="V56" s="16">
        <f t="shared" si="1"/>
        <v>0</v>
      </c>
      <c r="W56" s="12">
        <f t="shared" si="2"/>
        <v>5</v>
      </c>
      <c r="X56" s="14">
        <f t="shared" si="3"/>
        <v>14000000</v>
      </c>
      <c r="Y56" s="17"/>
      <c r="Z56" s="14">
        <f t="shared" si="4"/>
        <v>14000000</v>
      </c>
      <c r="AA56" s="149"/>
      <c r="AB56" s="148"/>
      <c r="AC56" s="147"/>
      <c r="AD56" s="146"/>
      <c r="AE56" s="19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164"/>
      <c r="H57" s="165"/>
      <c r="I57" s="164"/>
      <c r="J57" s="144"/>
      <c r="K57" s="11" t="str">
        <f t="shared" ca="1" si="0"/>
        <v/>
      </c>
      <c r="L57" s="145"/>
      <c r="M57" s="145"/>
      <c r="N57" s="145"/>
      <c r="O57" s="9">
        <v>5523.2</v>
      </c>
      <c r="P57" s="9">
        <v>10</v>
      </c>
      <c r="Q57" s="13" t="str">
        <f>VLOOKUP(O57, '[1]لیست محصولات اردیبهشت ۱۴۰۳'!B:C,2,0)</f>
        <v>کوتوا دانکن | Kotowa Duncan</v>
      </c>
      <c r="R57" s="9"/>
      <c r="S57" s="12">
        <f>VLOOKUP(O57, '[1]لیست محصولات اردیبهشت ۱۴۰۳'!B:F,5,0)</f>
        <v>750</v>
      </c>
      <c r="T57" s="14">
        <f>VLOOKUP(O57, '[1]لیست محصولات اردیبهشت ۱۴۰۳'!B:G,6,0)</f>
        <v>12150000</v>
      </c>
      <c r="U57" s="15"/>
      <c r="V57" s="16">
        <f t="shared" si="1"/>
        <v>0</v>
      </c>
      <c r="W57" s="12">
        <f t="shared" si="2"/>
        <v>10</v>
      </c>
      <c r="X57" s="14">
        <f t="shared" si="3"/>
        <v>121500000</v>
      </c>
      <c r="Y57" s="17"/>
      <c r="Z57" s="14">
        <f t="shared" si="4"/>
        <v>121500000</v>
      </c>
      <c r="AA57" s="149"/>
      <c r="AB57" s="148"/>
      <c r="AC57" s="147"/>
      <c r="AD57" s="146"/>
      <c r="AE57" s="19"/>
      <c r="AF57" s="21"/>
      <c r="AG57" s="22" t="str">
        <f t="shared" si="5"/>
        <v>TRUE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164"/>
      <c r="H58" s="165"/>
      <c r="I58" s="164"/>
      <c r="J58" s="144"/>
      <c r="K58" s="11" t="str">
        <f t="shared" ca="1" si="0"/>
        <v/>
      </c>
      <c r="L58" s="145"/>
      <c r="M58" s="145"/>
      <c r="N58" s="145"/>
      <c r="O58" s="9">
        <v>5511.22</v>
      </c>
      <c r="P58" s="9">
        <v>2</v>
      </c>
      <c r="Q58" s="69" t="str">
        <f>VLOOKUP(O58, '[1]لیست محصولات اردیبهشت ۱۴۰۳'!B:C,2,0)</f>
        <v>هامبلا(رست دمی) | Hambella( Filter Roast)</v>
      </c>
      <c r="R58" s="9"/>
      <c r="S58" s="12">
        <f>VLOOKUP(O58, '[1]لیست محصولات اردیبهشت ۱۴۰۳'!B:F,5,0)</f>
        <v>750</v>
      </c>
      <c r="T58" s="14">
        <f>VLOOKUP(O58, '[1]لیست محصولات اردیبهشت ۱۴۰۳'!B:G,6,0)</f>
        <v>13350000</v>
      </c>
      <c r="U58" s="15"/>
      <c r="V58" s="16">
        <f t="shared" si="1"/>
        <v>0</v>
      </c>
      <c r="W58" s="12">
        <f t="shared" si="2"/>
        <v>2</v>
      </c>
      <c r="X58" s="14">
        <f t="shared" si="3"/>
        <v>26700000</v>
      </c>
      <c r="Y58" s="17"/>
      <c r="Z58" s="14">
        <f t="shared" si="4"/>
        <v>26700000</v>
      </c>
      <c r="AA58" s="149"/>
      <c r="AB58" s="148"/>
      <c r="AC58" s="147"/>
      <c r="AD58" s="146"/>
      <c r="AE58" s="19"/>
      <c r="AF58" s="21"/>
      <c r="AG58" s="22" t="str">
        <f t="shared" si="5"/>
        <v>TRUE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164"/>
      <c r="H59" s="165"/>
      <c r="I59" s="164"/>
      <c r="J59" s="144"/>
      <c r="K59" s="11" t="str">
        <f t="shared" ca="1" si="0"/>
        <v/>
      </c>
      <c r="L59" s="145"/>
      <c r="M59" s="145"/>
      <c r="N59" s="145"/>
      <c r="O59" s="9">
        <v>5522.2</v>
      </c>
      <c r="P59" s="9">
        <v>2</v>
      </c>
      <c r="Q59" s="13" t="str">
        <f>VLOOKUP(O59, '[1]لیست محصولات اردیبهشت ۱۴۰۳'!B:C,2,0)</f>
        <v>تامارا | Tamara</v>
      </c>
      <c r="R59" s="9"/>
      <c r="S59" s="12">
        <f>VLOOKUP(O59, '[1]لیست محصولات اردیبهشت ۱۴۰۳'!B:F,5,0)</f>
        <v>750</v>
      </c>
      <c r="T59" s="14">
        <f>VLOOKUP(O59, '[1]لیست محصولات اردیبهشت ۱۴۰۳'!B:G,6,0)</f>
        <v>12450000</v>
      </c>
      <c r="U59" s="15"/>
      <c r="V59" s="16">
        <f t="shared" si="1"/>
        <v>0</v>
      </c>
      <c r="W59" s="12">
        <f t="shared" si="2"/>
        <v>2</v>
      </c>
      <c r="X59" s="14">
        <f t="shared" si="3"/>
        <v>24900000</v>
      </c>
      <c r="Y59" s="17"/>
      <c r="Z59" s="14">
        <f t="shared" si="4"/>
        <v>24900000</v>
      </c>
      <c r="AA59" s="149"/>
      <c r="AB59" s="148"/>
      <c r="AC59" s="147"/>
      <c r="AD59" s="146"/>
      <c r="AE59" s="19"/>
      <c r="AF59" s="21"/>
      <c r="AG59" s="22" t="str">
        <f t="shared" si="5"/>
        <v>TRUE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64"/>
      <c r="H60" s="165"/>
      <c r="I60" s="164"/>
      <c r="J60" s="144"/>
      <c r="K60" s="11" t="str">
        <f t="shared" ca="1" si="0"/>
        <v/>
      </c>
      <c r="L60" s="145"/>
      <c r="M60" s="145"/>
      <c r="N60" s="145"/>
      <c r="O60" s="9">
        <v>3326.2</v>
      </c>
      <c r="P60" s="9">
        <v>1</v>
      </c>
      <c r="Q60" s="13" t="str">
        <f>VLOOKUP(O60, '[1]لیست محصولات اردیبهشت ۱۴۰۳'!B:C,2,0)</f>
        <v>میاگروس | Milagros</v>
      </c>
      <c r="R60" s="9"/>
      <c r="S60" s="12">
        <f>VLOOKUP(O60, '[1]لیست محصولات اردیبهشت ۱۴۰۳'!B:F,5,0)</f>
        <v>750</v>
      </c>
      <c r="T60" s="14">
        <f>VLOOKUP(O60, '[1]لیست محصولات اردیبهشت ۱۴۰۳'!B:G,6,0)</f>
        <v>18150000</v>
      </c>
      <c r="U60" s="15"/>
      <c r="V60" s="16">
        <f t="shared" si="1"/>
        <v>0</v>
      </c>
      <c r="W60" s="12">
        <f t="shared" si="2"/>
        <v>1</v>
      </c>
      <c r="X60" s="14">
        <f t="shared" si="3"/>
        <v>18150000</v>
      </c>
      <c r="Y60" s="17"/>
      <c r="Z60" s="14">
        <f t="shared" si="4"/>
        <v>18150000</v>
      </c>
      <c r="AA60" s="149"/>
      <c r="AB60" s="148"/>
      <c r="AC60" s="147"/>
      <c r="AD60" s="146"/>
      <c r="AE60" s="19"/>
      <c r="AF60" s="21"/>
      <c r="AG60" s="22" t="str">
        <f t="shared" si="5"/>
        <v>TRUE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56"/>
      <c r="H61" s="158"/>
      <c r="I61" s="156"/>
      <c r="J61" s="133"/>
      <c r="K61" s="11" t="str">
        <f t="shared" ca="1" si="0"/>
        <v/>
      </c>
      <c r="L61" s="143"/>
      <c r="M61" s="143"/>
      <c r="N61" s="143"/>
      <c r="O61" s="9">
        <v>3325.2</v>
      </c>
      <c r="P61" s="9">
        <v>1</v>
      </c>
      <c r="Q61" s="13" t="str">
        <f>VLOOKUP(O61, '[1]لیست محصولات اردیبهشت ۱۴۰۳'!B:C,2,0)</f>
        <v>راتناگری | Ratnagiri</v>
      </c>
      <c r="R61" s="9"/>
      <c r="S61" s="12">
        <f>VLOOKUP(O61, '[1]لیست محصولات اردیبهشت ۱۴۰۳'!B:F,5,0)</f>
        <v>750</v>
      </c>
      <c r="T61" s="14">
        <f>VLOOKUP(O61, '[1]لیست محصولات اردیبهشت ۱۴۰۳'!B:G,6,0)</f>
        <v>20700000</v>
      </c>
      <c r="U61" s="15"/>
      <c r="V61" s="16">
        <f t="shared" si="1"/>
        <v>0</v>
      </c>
      <c r="W61" s="12">
        <f t="shared" si="2"/>
        <v>1</v>
      </c>
      <c r="X61" s="14">
        <f t="shared" si="3"/>
        <v>20700000</v>
      </c>
      <c r="Y61" s="17"/>
      <c r="Z61" s="14">
        <f t="shared" si="4"/>
        <v>20700000</v>
      </c>
      <c r="AA61" s="141"/>
      <c r="AB61" s="139"/>
      <c r="AC61" s="137"/>
      <c r="AD61" s="135"/>
      <c r="AE61" s="19"/>
      <c r="AF61" s="21"/>
      <c r="AG61" s="22" t="str">
        <f t="shared" si="5"/>
        <v>TRUE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>
        <v>30</v>
      </c>
      <c r="H62" s="10">
        <v>219866</v>
      </c>
      <c r="I62" s="9" t="s">
        <v>136</v>
      </c>
      <c r="J62" s="9"/>
      <c r="K62" s="11" t="str">
        <f t="shared" ca="1" si="0"/>
        <v/>
      </c>
      <c r="L62" s="12" t="s">
        <v>281</v>
      </c>
      <c r="M62" s="12" t="s">
        <v>282</v>
      </c>
      <c r="N62" s="12"/>
      <c r="O62" s="9">
        <v>5523.1</v>
      </c>
      <c r="P62" s="9">
        <v>1</v>
      </c>
      <c r="Q62" s="13" t="str">
        <f>VLOOKUP(O62, '[1]لیست محصولات اردیبهشت ۱۴۰۳'!B:C,2,0)</f>
        <v>کوتوا دانکن | Kotowa Duncan</v>
      </c>
      <c r="R62" s="9" t="s">
        <v>255</v>
      </c>
      <c r="S62" s="12">
        <f>VLOOKUP(O62, '[1]لیست محصولات اردیبهشت ۱۴۰۳'!B:F,5,0)</f>
        <v>150</v>
      </c>
      <c r="T62" s="14">
        <f>VLOOKUP(O62, '[1]لیست محصولات اردیبهشت ۱۴۰۳'!B:G,6,0)</f>
        <v>2550000</v>
      </c>
      <c r="U62" s="15"/>
      <c r="V62" s="16">
        <f t="shared" si="1"/>
        <v>0</v>
      </c>
      <c r="W62" s="12">
        <f t="shared" si="2"/>
        <v>1</v>
      </c>
      <c r="X62" s="14">
        <f t="shared" si="3"/>
        <v>2550000</v>
      </c>
      <c r="Y62" s="17"/>
      <c r="Z62" s="14">
        <f t="shared" si="4"/>
        <v>2550000</v>
      </c>
      <c r="AA62" s="18" t="s">
        <v>79</v>
      </c>
      <c r="AB62" s="13" t="s">
        <v>283</v>
      </c>
      <c r="AC62" s="19" t="s">
        <v>284</v>
      </c>
      <c r="AD62" s="20" t="s">
        <v>99</v>
      </c>
      <c r="AE62" s="68" t="s">
        <v>285</v>
      </c>
      <c r="AF62" s="21"/>
      <c r="AG62" s="22" t="str">
        <f t="shared" si="5"/>
        <v>TRUE</v>
      </c>
      <c r="AH62" s="23" t="str">
        <f t="shared" si="6"/>
        <v>تهران خیابان دولت بین چهارراه اختیاریه و دیباجی جنوبی بن بست هروی پ۴ واحد ۳  - شادی رجبی 09127378863</v>
      </c>
    </row>
    <row r="63" spans="1:34" ht="22.35" customHeight="1">
      <c r="A63" s="7"/>
      <c r="B63" s="7"/>
      <c r="C63" s="7"/>
      <c r="D63" s="7"/>
      <c r="E63" s="7"/>
      <c r="F63" s="8"/>
      <c r="G63" s="155">
        <v>31</v>
      </c>
      <c r="H63" s="157"/>
      <c r="I63" s="155" t="s">
        <v>136</v>
      </c>
      <c r="J63" s="132" t="s">
        <v>76</v>
      </c>
      <c r="K63" s="11" t="str">
        <f t="shared" ca="1" si="0"/>
        <v/>
      </c>
      <c r="L63" s="142" t="s">
        <v>286</v>
      </c>
      <c r="M63" s="142" t="s">
        <v>287</v>
      </c>
      <c r="N63" s="142" t="s">
        <v>288</v>
      </c>
      <c r="O63" s="9">
        <v>5501.3</v>
      </c>
      <c r="P63" s="9">
        <v>9</v>
      </c>
      <c r="Q63" s="13" t="str">
        <f>VLOOKUP(O63, '[1]لیست محصولات اردیبهشت ۱۴۰۳'!B:C,2,0)</f>
        <v>ورتکس | Vortex</v>
      </c>
      <c r="R63" s="9"/>
      <c r="S63" s="12">
        <f>VLOOKUP(O63, '[1]لیست محصولات اردیبهشت ۱۴۰۳'!B:F,5,0)</f>
        <v>4000</v>
      </c>
      <c r="T63" s="14">
        <f>VLOOKUP(O63, '[1]لیست محصولات اردیبهشت ۱۴۰۳'!B:G,6,0)</f>
        <v>51200000</v>
      </c>
      <c r="U63" s="15"/>
      <c r="V63" s="16">
        <f t="shared" si="1"/>
        <v>0</v>
      </c>
      <c r="W63" s="12">
        <f t="shared" si="2"/>
        <v>9</v>
      </c>
      <c r="X63" s="14">
        <f t="shared" si="3"/>
        <v>460800000</v>
      </c>
      <c r="Y63" s="17"/>
      <c r="Z63" s="14">
        <f t="shared" si="4"/>
        <v>460800000</v>
      </c>
      <c r="AA63" s="140" t="s">
        <v>129</v>
      </c>
      <c r="AB63" s="138" t="s">
        <v>289</v>
      </c>
      <c r="AC63" s="136" t="s">
        <v>290</v>
      </c>
      <c r="AD63" s="134"/>
      <c r="AE63" s="19"/>
      <c r="AF63" s="21"/>
      <c r="AG63" s="22" t="str">
        <f t="shared" si="5"/>
        <v>TRUE</v>
      </c>
      <c r="AH63" s="23" t="str">
        <f t="shared" si="6"/>
        <v>مشهد بلوار وکیل آباد، خ حافظ، نبش حافظ 6 کافه دوپیو - علی صالحی 09159205885</v>
      </c>
    </row>
    <row r="64" spans="1:34" ht="22.35" customHeight="1">
      <c r="A64" s="7"/>
      <c r="B64" s="7"/>
      <c r="C64" s="7"/>
      <c r="D64" s="7"/>
      <c r="E64" s="7"/>
      <c r="F64" s="8"/>
      <c r="G64" s="156"/>
      <c r="H64" s="158"/>
      <c r="I64" s="156"/>
      <c r="J64" s="133"/>
      <c r="K64" s="11" t="str">
        <f t="shared" ca="1" si="0"/>
        <v/>
      </c>
      <c r="L64" s="143"/>
      <c r="M64" s="143"/>
      <c r="N64" s="143"/>
      <c r="O64" s="9">
        <v>5511.2</v>
      </c>
      <c r="P64" s="9">
        <v>7</v>
      </c>
      <c r="Q64" s="13" t="str">
        <f>VLOOKUP(O64, '[1]لیست محصولات اردیبهشت ۱۴۰۳'!B:C,2,0)</f>
        <v>هامبلا | Hambella</v>
      </c>
      <c r="R64" s="9"/>
      <c r="S64" s="12">
        <f>VLOOKUP(O64, '[1]لیست محصولات اردیبهشت ۱۴۰۳'!B:F,5,0)</f>
        <v>750</v>
      </c>
      <c r="T64" s="14">
        <f>VLOOKUP(O64, '[1]لیست محصولات اردیبهشت ۱۴۰۳'!B:G,6,0)</f>
        <v>13350000</v>
      </c>
      <c r="U64" s="15"/>
      <c r="V64" s="16">
        <f t="shared" si="1"/>
        <v>0</v>
      </c>
      <c r="W64" s="12">
        <f t="shared" si="2"/>
        <v>7</v>
      </c>
      <c r="X64" s="14">
        <f t="shared" si="3"/>
        <v>93450000</v>
      </c>
      <c r="Y64" s="17"/>
      <c r="Z64" s="14">
        <f t="shared" si="4"/>
        <v>93450000</v>
      </c>
      <c r="AA64" s="141"/>
      <c r="AB64" s="139"/>
      <c r="AC64" s="137"/>
      <c r="AD64" s="135"/>
      <c r="AE64" s="19"/>
      <c r="AF64" s="21"/>
      <c r="AG64" s="22" t="str">
        <f t="shared" si="5"/>
        <v>TRUE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155">
        <v>32</v>
      </c>
      <c r="H65" s="157"/>
      <c r="I65" s="155" t="s">
        <v>136</v>
      </c>
      <c r="J65" s="132" t="s">
        <v>76</v>
      </c>
      <c r="K65" s="11" t="str">
        <f t="shared" ca="1" si="0"/>
        <v/>
      </c>
      <c r="L65" s="142" t="s">
        <v>291</v>
      </c>
      <c r="M65" s="142" t="s">
        <v>292</v>
      </c>
      <c r="N65" s="142" t="s">
        <v>293</v>
      </c>
      <c r="O65" s="9">
        <v>5501.3</v>
      </c>
      <c r="P65" s="9">
        <v>1</v>
      </c>
      <c r="Q65" s="13" t="str">
        <f>VLOOKUP(O65, '[1]لیست محصولات اردیبهشت ۱۴۰۳'!B:C,2,0)</f>
        <v>ورتکس | Vortex</v>
      </c>
      <c r="R65" s="9"/>
      <c r="S65" s="12">
        <f>VLOOKUP(O65, '[1]لیست محصولات اردیبهشت ۱۴۰۳'!B:F,5,0)</f>
        <v>4000</v>
      </c>
      <c r="T65" s="14">
        <f>VLOOKUP(O65, '[1]لیست محصولات اردیبهشت ۱۴۰۳'!B:G,6,0)</f>
        <v>51200000</v>
      </c>
      <c r="U65" s="26"/>
      <c r="V65" s="16">
        <f t="shared" si="1"/>
        <v>0</v>
      </c>
      <c r="W65" s="12">
        <f t="shared" si="2"/>
        <v>1</v>
      </c>
      <c r="X65" s="14">
        <f t="shared" si="3"/>
        <v>51200000</v>
      </c>
      <c r="Y65" s="17"/>
      <c r="Z65" s="14">
        <f t="shared" si="4"/>
        <v>51200000</v>
      </c>
      <c r="AA65" s="140" t="s">
        <v>129</v>
      </c>
      <c r="AB65" s="138" t="s">
        <v>294</v>
      </c>
      <c r="AC65" s="136" t="s">
        <v>295</v>
      </c>
      <c r="AD65" s="134"/>
      <c r="AE65" s="19"/>
      <c r="AF65" s="21"/>
      <c r="AG65" s="22" t="str">
        <f t="shared" si="5"/>
        <v>TRUE</v>
      </c>
      <c r="AH65" s="23" t="str">
        <f t="shared" si="6"/>
        <v>مشهد خیام جنوبی 12، نبش زنبق 2 کافه کاز - پریسا نیکبخت 09367385847</v>
      </c>
    </row>
    <row r="66" spans="1:34" ht="22.35" customHeight="1">
      <c r="A66" s="7"/>
      <c r="B66" s="7"/>
      <c r="C66" s="7"/>
      <c r="D66" s="7"/>
      <c r="E66" s="7"/>
      <c r="F66" s="8"/>
      <c r="G66" s="156"/>
      <c r="H66" s="158"/>
      <c r="I66" s="156"/>
      <c r="J66" s="133"/>
      <c r="K66" s="11" t="str">
        <f t="shared" ref="K66:K87" ca="1" si="7">IF(C66, TODAY(), "" )</f>
        <v/>
      </c>
      <c r="L66" s="143"/>
      <c r="M66" s="143"/>
      <c r="N66" s="143"/>
      <c r="O66" s="9">
        <v>5501.2</v>
      </c>
      <c r="P66" s="9">
        <v>1</v>
      </c>
      <c r="Q66" s="13" t="str">
        <f>VLOOKUP(O66, '[1]لیست محصولات اردیبهشت ۱۴۰۳'!B:C,2,0)</f>
        <v>ورتکس | Vortex</v>
      </c>
      <c r="R66" s="9"/>
      <c r="S66" s="12">
        <f>VLOOKUP(O66, '[1]لیست محصولات اردیبهشت ۱۴۰۳'!B:F,5,0)</f>
        <v>750</v>
      </c>
      <c r="T66" s="14">
        <f>VLOOKUP(O66, '[1]لیست محصولات اردیبهشت ۱۴۰۳'!B:G,6,0)</f>
        <v>9900000</v>
      </c>
      <c r="U66" s="15"/>
      <c r="V66" s="16">
        <f t="shared" ref="V66:V129" si="8">IF(C66, P66, U66 )</f>
        <v>0</v>
      </c>
      <c r="W66" s="12">
        <f t="shared" ref="W66:W200" si="9">P66-V66</f>
        <v>1</v>
      </c>
      <c r="X66" s="14">
        <f t="shared" ref="X66:X200" si="10">P66*T66</f>
        <v>9900000</v>
      </c>
      <c r="Y66" s="17"/>
      <c r="Z66" s="14">
        <f t="shared" ref="Z66:Z200" si="11">X66-Y66</f>
        <v>9900000</v>
      </c>
      <c r="AA66" s="141"/>
      <c r="AB66" s="139"/>
      <c r="AC66" s="137"/>
      <c r="AD66" s="135"/>
      <c r="AE66" s="19"/>
      <c r="AF66" s="21"/>
      <c r="AG66" s="22" t="str">
        <f t="shared" ref="AG66:AG87" si="12">IF(V66=P66, "FALSE", "TRUE" )</f>
        <v>TRUE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155">
        <v>33</v>
      </c>
      <c r="H67" s="157"/>
      <c r="I67" s="155" t="s">
        <v>136</v>
      </c>
      <c r="J67" s="132" t="s">
        <v>76</v>
      </c>
      <c r="K67" s="11" t="str">
        <f t="shared" ca="1" si="7"/>
        <v/>
      </c>
      <c r="L67" s="142" t="s">
        <v>296</v>
      </c>
      <c r="M67" s="142" t="s">
        <v>297</v>
      </c>
      <c r="N67" s="142" t="s">
        <v>298</v>
      </c>
      <c r="O67" s="9">
        <v>5501.2</v>
      </c>
      <c r="P67" s="9">
        <v>1</v>
      </c>
      <c r="Q67" s="13" t="str">
        <f>VLOOKUP(O67, '[1]لیست محصولات اردیبهشت ۱۴۰۳'!B:C,2,0)</f>
        <v>ورتکس | Vortex</v>
      </c>
      <c r="R67" s="9"/>
      <c r="S67" s="12">
        <f>VLOOKUP(O67, '[1]لیست محصولات اردیبهشت ۱۴۰۳'!B:F,5,0)</f>
        <v>750</v>
      </c>
      <c r="T67" s="14">
        <f>VLOOKUP(O67, '[1]لیست محصولات اردیبهشت ۱۴۰۳'!B:G,6,0)</f>
        <v>9900000</v>
      </c>
      <c r="U67" s="15"/>
      <c r="V67" s="16">
        <f t="shared" si="8"/>
        <v>0</v>
      </c>
      <c r="W67" s="12">
        <f t="shared" si="9"/>
        <v>1</v>
      </c>
      <c r="X67" s="14">
        <f t="shared" si="10"/>
        <v>9900000</v>
      </c>
      <c r="Y67" s="17"/>
      <c r="Z67" s="14">
        <f t="shared" si="11"/>
        <v>9900000</v>
      </c>
      <c r="AA67" s="140" t="s">
        <v>129</v>
      </c>
      <c r="AB67" s="138" t="s">
        <v>299</v>
      </c>
      <c r="AC67" s="136" t="s">
        <v>300</v>
      </c>
      <c r="AD67" s="134"/>
      <c r="AE67" s="19"/>
      <c r="AF67" s="21"/>
      <c r="AG67" s="22" t="str">
        <f t="shared" si="12"/>
        <v>TRUE</v>
      </c>
      <c r="AH67" s="23" t="str">
        <f t="shared" si="6"/>
        <v>مشهد بلوار ابوذرغفاري ، بين ابوذرغفاري ۳۱ و ۳۳ کافه رستوران نیکافه - مهدیه بهبودی 09045241578</v>
      </c>
    </row>
    <row r="68" spans="1:34" ht="22.35" customHeight="1">
      <c r="A68" s="7"/>
      <c r="B68" s="7"/>
      <c r="C68" s="7"/>
      <c r="D68" s="7"/>
      <c r="E68" s="7"/>
      <c r="F68" s="8"/>
      <c r="G68" s="164"/>
      <c r="H68" s="165"/>
      <c r="I68" s="164"/>
      <c r="J68" s="144"/>
      <c r="K68" s="11" t="str">
        <f t="shared" ca="1" si="7"/>
        <v/>
      </c>
      <c r="L68" s="145"/>
      <c r="M68" s="145"/>
      <c r="N68" s="145"/>
      <c r="O68" s="9">
        <v>3326.2</v>
      </c>
      <c r="P68" s="9">
        <v>1</v>
      </c>
      <c r="Q68" s="13" t="str">
        <f>VLOOKUP(O68, '[1]لیست محصولات اردیبهشت ۱۴۰۳'!B:C,2,0)</f>
        <v>میاگروس | Milagros</v>
      </c>
      <c r="R68" s="9"/>
      <c r="S68" s="12">
        <f>VLOOKUP(O68, '[1]لیست محصولات اردیبهشت ۱۴۰۳'!B:F,5,0)</f>
        <v>750</v>
      </c>
      <c r="T68" s="14">
        <f>VLOOKUP(O68, '[1]لیست محصولات اردیبهشت ۱۴۰۳'!B:G,6,0)</f>
        <v>18150000</v>
      </c>
      <c r="U68" s="15"/>
      <c r="V68" s="16">
        <f t="shared" si="8"/>
        <v>0</v>
      </c>
      <c r="W68" s="12">
        <f t="shared" si="9"/>
        <v>1</v>
      </c>
      <c r="X68" s="14">
        <f t="shared" si="10"/>
        <v>18150000</v>
      </c>
      <c r="Y68" s="17"/>
      <c r="Z68" s="14">
        <f t="shared" si="11"/>
        <v>18150000</v>
      </c>
      <c r="AA68" s="149"/>
      <c r="AB68" s="148"/>
      <c r="AC68" s="147"/>
      <c r="AD68" s="146"/>
      <c r="AE68" s="19"/>
      <c r="AF68" s="21"/>
      <c r="AG68" s="22" t="str">
        <f t="shared" si="12"/>
        <v>TRUE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156"/>
      <c r="H69" s="158"/>
      <c r="I69" s="156"/>
      <c r="J69" s="133"/>
      <c r="K69" s="11" t="str">
        <f t="shared" ca="1" si="7"/>
        <v/>
      </c>
      <c r="L69" s="143"/>
      <c r="M69" s="143"/>
      <c r="N69" s="143"/>
      <c r="O69" s="9">
        <v>3325.2</v>
      </c>
      <c r="P69" s="9">
        <v>1</v>
      </c>
      <c r="Q69" s="13" t="str">
        <f>VLOOKUP(O69, '[1]لیست محصولات اردیبهشت ۱۴۰۳'!B:C,2,0)</f>
        <v>راتناگری | Ratnagiri</v>
      </c>
      <c r="R69" s="9"/>
      <c r="S69" s="12">
        <f>VLOOKUP(O69, '[1]لیست محصولات اردیبهشت ۱۴۰۳'!B:F,5,0)</f>
        <v>750</v>
      </c>
      <c r="T69" s="14">
        <f>VLOOKUP(O69, '[1]لیست محصولات اردیبهشت ۱۴۰۳'!B:G,6,0)</f>
        <v>20700000</v>
      </c>
      <c r="U69" s="15"/>
      <c r="V69" s="16">
        <f t="shared" si="8"/>
        <v>0</v>
      </c>
      <c r="W69" s="12">
        <f t="shared" si="9"/>
        <v>1</v>
      </c>
      <c r="X69" s="14">
        <f t="shared" si="10"/>
        <v>20700000</v>
      </c>
      <c r="Y69" s="17"/>
      <c r="Z69" s="14">
        <f t="shared" si="11"/>
        <v>20700000</v>
      </c>
      <c r="AA69" s="141"/>
      <c r="AB69" s="139"/>
      <c r="AC69" s="137"/>
      <c r="AD69" s="135"/>
      <c r="AE69" s="19"/>
      <c r="AF69" s="21"/>
      <c r="AG69" s="22" t="str">
        <f t="shared" si="12"/>
        <v>TRUE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155">
        <v>34</v>
      </c>
      <c r="H70" s="157"/>
      <c r="I70" s="155" t="s">
        <v>136</v>
      </c>
      <c r="J70" s="132" t="s">
        <v>76</v>
      </c>
      <c r="K70" s="11" t="str">
        <f t="shared" ca="1" si="7"/>
        <v/>
      </c>
      <c r="L70" s="142" t="s">
        <v>301</v>
      </c>
      <c r="M70" s="142" t="s">
        <v>304</v>
      </c>
      <c r="N70" s="142" t="s">
        <v>302</v>
      </c>
      <c r="O70" s="9">
        <v>5501.3</v>
      </c>
      <c r="P70" s="9">
        <v>4</v>
      </c>
      <c r="Q70" s="13" t="str">
        <f>VLOOKUP(O70, '[1]لیست محصولات اردیبهشت ۱۴۰۳'!B:C,2,0)</f>
        <v>ورتکس | Vortex</v>
      </c>
      <c r="R70" s="9"/>
      <c r="S70" s="12">
        <f>VLOOKUP(O70, '[1]لیست محصولات اردیبهشت ۱۴۰۳'!B:F,5,0)</f>
        <v>4000</v>
      </c>
      <c r="T70" s="14">
        <f>VLOOKUP(O70, '[1]لیست محصولات اردیبهشت ۱۴۰۳'!B:G,6,0)</f>
        <v>51200000</v>
      </c>
      <c r="U70" s="15"/>
      <c r="V70" s="16">
        <f t="shared" si="8"/>
        <v>0</v>
      </c>
      <c r="W70" s="12">
        <f t="shared" si="9"/>
        <v>4</v>
      </c>
      <c r="X70" s="14">
        <f t="shared" si="10"/>
        <v>204800000</v>
      </c>
      <c r="Y70" s="17"/>
      <c r="Z70" s="14">
        <f t="shared" si="11"/>
        <v>204800000</v>
      </c>
      <c r="AA70" s="140" t="s">
        <v>79</v>
      </c>
      <c r="AB70" s="138" t="s">
        <v>305</v>
      </c>
      <c r="AC70" s="136" t="s">
        <v>303</v>
      </c>
      <c r="AD70" s="134"/>
      <c r="AE70" s="19"/>
      <c r="AF70" s="21"/>
      <c r="AG70" s="22" t="str">
        <f t="shared" si="12"/>
        <v>TRUE</v>
      </c>
      <c r="AH70" s="23" t="str">
        <f t="shared" si="13"/>
        <v>تهران نياوران اطلس مال طبقه ي همكف 3 پلاك 3052 کافه رزتو - مریم ناظم زاده 09381574707</v>
      </c>
    </row>
    <row r="71" spans="1:34" ht="22.35" customHeight="1">
      <c r="A71" s="7"/>
      <c r="B71" s="7"/>
      <c r="C71" s="7"/>
      <c r="D71" s="7"/>
      <c r="E71" s="7"/>
      <c r="F71" s="8"/>
      <c r="G71" s="164"/>
      <c r="H71" s="165"/>
      <c r="I71" s="164"/>
      <c r="J71" s="144"/>
      <c r="K71" s="11" t="str">
        <f t="shared" ca="1" si="7"/>
        <v/>
      </c>
      <c r="L71" s="145"/>
      <c r="M71" s="145"/>
      <c r="N71" s="145"/>
      <c r="O71" s="9">
        <v>5522.2</v>
      </c>
      <c r="P71" s="9">
        <v>5</v>
      </c>
      <c r="Q71" s="13" t="str">
        <f>VLOOKUP(O71, '[1]لیست محصولات اردیبهشت ۱۴۰۳'!B:C,2,0)</f>
        <v>تامارا | Tamara</v>
      </c>
      <c r="R71" s="9"/>
      <c r="S71" s="12">
        <f>VLOOKUP(O71, '[1]لیست محصولات اردیبهشت ۱۴۰۳'!B:F,5,0)</f>
        <v>750</v>
      </c>
      <c r="T71" s="14">
        <f>VLOOKUP(O71, '[1]لیست محصولات اردیبهشت ۱۴۰۳'!B:G,6,0)</f>
        <v>12450000</v>
      </c>
      <c r="U71" s="15"/>
      <c r="V71" s="16">
        <f t="shared" si="8"/>
        <v>0</v>
      </c>
      <c r="W71" s="12">
        <f t="shared" si="9"/>
        <v>5</v>
      </c>
      <c r="X71" s="14">
        <f t="shared" si="10"/>
        <v>62250000</v>
      </c>
      <c r="Y71" s="17"/>
      <c r="Z71" s="14">
        <f t="shared" si="11"/>
        <v>62250000</v>
      </c>
      <c r="AA71" s="149"/>
      <c r="AB71" s="148"/>
      <c r="AC71" s="147"/>
      <c r="AD71" s="146"/>
      <c r="AE71" s="19"/>
      <c r="AF71" s="21"/>
      <c r="AG71" s="22" t="str">
        <f t="shared" si="12"/>
        <v>TRUE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156"/>
      <c r="H72" s="158"/>
      <c r="I72" s="156"/>
      <c r="J72" s="133"/>
      <c r="K72" s="11" t="str">
        <f t="shared" ca="1" si="7"/>
        <v/>
      </c>
      <c r="L72" s="143"/>
      <c r="M72" s="143"/>
      <c r="N72" s="143"/>
      <c r="O72" s="9">
        <v>5511.1</v>
      </c>
      <c r="P72" s="9">
        <v>3</v>
      </c>
      <c r="Q72" s="13" t="str">
        <f>VLOOKUP(O72, '[1]لیست محصولات اردیبهشت ۱۴۰۳'!B:C,2,0)</f>
        <v>هامبلا | Hambella</v>
      </c>
      <c r="R72" s="9"/>
      <c r="S72" s="12">
        <f>VLOOKUP(O72, '[1]لیست محصولات اردیبهشت ۱۴۰۳'!B:F,5,0)</f>
        <v>150</v>
      </c>
      <c r="T72" s="14">
        <f>VLOOKUP(O72, '[1]لیست محصولات اردیبهشت ۱۴۰۳'!B:G,6,0)</f>
        <v>2800000</v>
      </c>
      <c r="U72" s="15"/>
      <c r="V72" s="16">
        <f t="shared" si="8"/>
        <v>0</v>
      </c>
      <c r="W72" s="12">
        <f t="shared" si="9"/>
        <v>3</v>
      </c>
      <c r="X72" s="14">
        <f t="shared" si="10"/>
        <v>8400000</v>
      </c>
      <c r="Y72" s="17"/>
      <c r="Z72" s="14">
        <f t="shared" si="11"/>
        <v>8400000</v>
      </c>
      <c r="AA72" s="141"/>
      <c r="AB72" s="139"/>
      <c r="AC72" s="137"/>
      <c r="AD72" s="135"/>
      <c r="AE72" s="19"/>
      <c r="AF72" s="21"/>
      <c r="AG72" s="22" t="str">
        <f t="shared" si="12"/>
        <v>TRUE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132">
        <v>35</v>
      </c>
      <c r="H73" s="130">
        <v>276878374347</v>
      </c>
      <c r="I73" s="132" t="s">
        <v>136</v>
      </c>
      <c r="J73" s="132"/>
      <c r="K73" s="11" t="str">
        <f t="shared" ca="1" si="7"/>
        <v/>
      </c>
      <c r="L73" s="142" t="s">
        <v>307</v>
      </c>
      <c r="M73" s="142" t="s">
        <v>306</v>
      </c>
      <c r="N73" s="142"/>
      <c r="O73" s="9">
        <v>5523.1</v>
      </c>
      <c r="P73" s="9">
        <v>1</v>
      </c>
      <c r="Q73" s="13" t="str">
        <f>VLOOKUP(O73, '[1]لیست محصولات اردیبهشت ۱۴۰۳'!B:C,2,0)</f>
        <v>کوتوا دانکن | Kotowa Duncan</v>
      </c>
      <c r="R73" s="9" t="s">
        <v>102</v>
      </c>
      <c r="S73" s="12">
        <f>VLOOKUP(O73, '[1]لیست محصولات اردیبهشت ۱۴۰۳'!B:F,5,0)</f>
        <v>150</v>
      </c>
      <c r="T73" s="14">
        <f>VLOOKUP(O73, '[1]لیست محصولات اردیبهشت ۱۴۰۳'!B:G,6,0)</f>
        <v>2550000</v>
      </c>
      <c r="U73" s="15"/>
      <c r="V73" s="16">
        <f t="shared" si="8"/>
        <v>0</v>
      </c>
      <c r="W73" s="12">
        <f t="shared" si="9"/>
        <v>1</v>
      </c>
      <c r="X73" s="14">
        <f t="shared" si="10"/>
        <v>2550000</v>
      </c>
      <c r="Y73" s="17"/>
      <c r="Z73" s="14">
        <f t="shared" si="11"/>
        <v>2550000</v>
      </c>
      <c r="AA73" s="140" t="s">
        <v>79</v>
      </c>
      <c r="AB73" s="138" t="s">
        <v>308</v>
      </c>
      <c r="AC73" s="136" t="s">
        <v>309</v>
      </c>
      <c r="AD73" s="134" t="s">
        <v>99</v>
      </c>
      <c r="AE73" s="19"/>
      <c r="AF73" s="21"/>
      <c r="AG73" s="22" t="str">
        <f t="shared" si="12"/>
        <v>TRUE</v>
      </c>
      <c r="AH73" s="23" t="str">
        <f t="shared" si="13"/>
        <v>تهران خیابان شریعتی - بعد از بهار شیراز- خیابان میثاق 6 ( چالش) پلاک 3- واحد 4  - مهنوش عطار 09177046722</v>
      </c>
    </row>
    <row r="74" spans="1:34" ht="22.35" customHeight="1">
      <c r="A74" s="7"/>
      <c r="B74" s="7"/>
      <c r="C74" s="7"/>
      <c r="D74" s="7"/>
      <c r="E74" s="7"/>
      <c r="F74" s="8"/>
      <c r="G74" s="133"/>
      <c r="H74" s="131"/>
      <c r="I74" s="133"/>
      <c r="J74" s="133"/>
      <c r="K74" s="11" t="str">
        <f t="shared" ca="1" si="7"/>
        <v/>
      </c>
      <c r="L74" s="143"/>
      <c r="M74" s="143"/>
      <c r="N74" s="143"/>
      <c r="O74" s="9">
        <v>5522.1</v>
      </c>
      <c r="P74" s="9">
        <v>1</v>
      </c>
      <c r="Q74" s="13" t="str">
        <f>VLOOKUP(O74, '[1]لیست محصولات اردیبهشت ۱۴۰۳'!B:C,2,0)</f>
        <v>تامارا | Tamara</v>
      </c>
      <c r="R74" s="9" t="s">
        <v>102</v>
      </c>
      <c r="S74" s="12">
        <f>VLOOKUP(O74, '[1]لیست محصولات اردیبهشت ۱۴۰۳'!B:F,5,0)</f>
        <v>150</v>
      </c>
      <c r="T74" s="14">
        <f>VLOOKUP(O74, '[1]لیست محصولات اردیبهشت ۱۴۰۳'!B:G,6,0)</f>
        <v>2600000</v>
      </c>
      <c r="U74" s="15"/>
      <c r="V74" s="16">
        <f t="shared" si="8"/>
        <v>0</v>
      </c>
      <c r="W74" s="12">
        <f t="shared" si="9"/>
        <v>1</v>
      </c>
      <c r="X74" s="14">
        <f t="shared" si="10"/>
        <v>2600000</v>
      </c>
      <c r="Y74" s="17"/>
      <c r="Z74" s="14">
        <f t="shared" si="11"/>
        <v>2600000</v>
      </c>
      <c r="AA74" s="141"/>
      <c r="AB74" s="139"/>
      <c r="AC74" s="137"/>
      <c r="AD74" s="135"/>
      <c r="AE74" s="19"/>
      <c r="AF74" s="21"/>
      <c r="AG74" s="22" t="str">
        <f t="shared" si="12"/>
        <v>TRUE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155">
        <v>36</v>
      </c>
      <c r="H75" s="157"/>
      <c r="I75" s="155" t="s">
        <v>136</v>
      </c>
      <c r="J75" s="132" t="s">
        <v>76</v>
      </c>
      <c r="K75" s="11" t="str">
        <f t="shared" ca="1" si="7"/>
        <v/>
      </c>
      <c r="L75" s="142" t="s">
        <v>209</v>
      </c>
      <c r="M75" s="142" t="s">
        <v>210</v>
      </c>
      <c r="N75" s="142" t="s">
        <v>318</v>
      </c>
      <c r="O75" s="9">
        <v>5511.22</v>
      </c>
      <c r="P75" s="9">
        <v>1</v>
      </c>
      <c r="Q75" s="69" t="str">
        <f>VLOOKUP(O75, '[1]لیست محصولات اردیبهشت ۱۴۰۳'!B:C,2,0)</f>
        <v>هامبلا(رست دمی) | Hambella( Filter Roast)</v>
      </c>
      <c r="R75" s="9"/>
      <c r="S75" s="12">
        <f>VLOOKUP(O75, '[1]لیست محصولات اردیبهشت ۱۴۰۳'!B:F,5,0)</f>
        <v>750</v>
      </c>
      <c r="T75" s="14">
        <f>VLOOKUP(O75, '[1]لیست محصولات اردیبهشت ۱۴۰۳'!B:G,6,0)</f>
        <v>13350000</v>
      </c>
      <c r="U75" s="15"/>
      <c r="V75" s="16">
        <f t="shared" si="8"/>
        <v>0</v>
      </c>
      <c r="W75" s="12">
        <f t="shared" si="9"/>
        <v>1</v>
      </c>
      <c r="X75" s="14">
        <f t="shared" si="10"/>
        <v>13350000</v>
      </c>
      <c r="Y75" s="17"/>
      <c r="Z75" s="14">
        <f t="shared" si="11"/>
        <v>13350000</v>
      </c>
      <c r="AA75" s="166" t="s">
        <v>310</v>
      </c>
      <c r="AB75" s="167"/>
      <c r="AC75" s="167"/>
      <c r="AD75" s="167"/>
      <c r="AE75" s="168"/>
      <c r="AF75" s="21"/>
      <c r="AG75" s="22" t="str">
        <f t="shared" si="12"/>
        <v>TRUE</v>
      </c>
      <c r="AH75" s="23" t="str">
        <f t="shared" si="13"/>
        <v xml:space="preserve">ادامه سفارش کافه احسان  کافه احسان (الموت) - احسان روح افزا </v>
      </c>
    </row>
    <row r="76" spans="1:34" ht="22.35" customHeight="1">
      <c r="A76" s="7"/>
      <c r="B76" s="7"/>
      <c r="C76" s="7"/>
      <c r="D76" s="7"/>
      <c r="E76" s="7"/>
      <c r="F76" s="8"/>
      <c r="G76" s="156"/>
      <c r="H76" s="158"/>
      <c r="I76" s="156"/>
      <c r="J76" s="133"/>
      <c r="K76" s="11" t="str">
        <f t="shared" ca="1" si="7"/>
        <v/>
      </c>
      <c r="L76" s="143"/>
      <c r="M76" s="143"/>
      <c r="N76" s="143"/>
      <c r="O76" s="9">
        <v>3326.2</v>
      </c>
      <c r="P76" s="9">
        <v>1</v>
      </c>
      <c r="Q76" s="13" t="str">
        <f>VLOOKUP(O76, '[1]لیست محصولات اردیبهشت ۱۴۰۳'!B:C,2,0)</f>
        <v>میاگروس | Milagros</v>
      </c>
      <c r="R76" s="9"/>
      <c r="S76" s="12">
        <f>VLOOKUP(O76, '[1]لیست محصولات اردیبهشت ۱۴۰۳'!B:F,5,0)</f>
        <v>750</v>
      </c>
      <c r="T76" s="14">
        <f>VLOOKUP(O76, '[1]لیست محصولات اردیبهشت ۱۴۰۳'!B:G,6,0)</f>
        <v>18150000</v>
      </c>
      <c r="U76" s="15"/>
      <c r="V76" s="16">
        <f t="shared" si="8"/>
        <v>0</v>
      </c>
      <c r="W76" s="12">
        <f t="shared" si="9"/>
        <v>1</v>
      </c>
      <c r="X76" s="14">
        <f t="shared" si="10"/>
        <v>18150000</v>
      </c>
      <c r="Y76" s="17"/>
      <c r="Z76" s="14">
        <f t="shared" si="11"/>
        <v>18150000</v>
      </c>
      <c r="AA76" s="169"/>
      <c r="AB76" s="170"/>
      <c r="AC76" s="170"/>
      <c r="AD76" s="170"/>
      <c r="AE76" s="171"/>
      <c r="AF76" s="21"/>
      <c r="AG76" s="22" t="str">
        <f t="shared" si="12"/>
        <v>TRUE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155">
        <v>37</v>
      </c>
      <c r="H77" s="157"/>
      <c r="I77" s="155" t="s">
        <v>136</v>
      </c>
      <c r="J77" s="132" t="s">
        <v>76</v>
      </c>
      <c r="K77" s="11" t="str">
        <f t="shared" ca="1" si="7"/>
        <v/>
      </c>
      <c r="L77" s="142" t="s">
        <v>311</v>
      </c>
      <c r="M77" s="142" t="s">
        <v>312</v>
      </c>
      <c r="N77" s="142" t="s">
        <v>313</v>
      </c>
      <c r="O77" s="9">
        <v>5501.3</v>
      </c>
      <c r="P77" s="9">
        <v>4</v>
      </c>
      <c r="Q77" s="13" t="str">
        <f>VLOOKUP(O77, '[1]لیست محصولات اردیبهشت ۱۴۰۳'!B:C,2,0)</f>
        <v>ورتکس | Vortex</v>
      </c>
      <c r="R77" s="9"/>
      <c r="S77" s="12">
        <f>VLOOKUP(O77, '[1]لیست محصولات اردیبهشت ۱۴۰۳'!B:F,5,0)</f>
        <v>4000</v>
      </c>
      <c r="T77" s="14">
        <f>VLOOKUP(O77, '[1]لیست محصولات اردیبهشت ۱۴۰۳'!B:G,6,0)</f>
        <v>51200000</v>
      </c>
      <c r="U77" s="15"/>
      <c r="V77" s="16">
        <f t="shared" si="8"/>
        <v>0</v>
      </c>
      <c r="W77" s="12">
        <f t="shared" si="9"/>
        <v>4</v>
      </c>
      <c r="X77" s="14">
        <f t="shared" si="10"/>
        <v>204800000</v>
      </c>
      <c r="Y77" s="17"/>
      <c r="Z77" s="14">
        <f t="shared" si="11"/>
        <v>204800000</v>
      </c>
      <c r="AA77" s="140" t="s">
        <v>79</v>
      </c>
      <c r="AB77" s="138" t="s">
        <v>314</v>
      </c>
      <c r="AC77" s="136" t="s">
        <v>315</v>
      </c>
      <c r="AD77" s="134"/>
      <c r="AE77" s="159" t="s">
        <v>316</v>
      </c>
      <c r="AF77" s="21"/>
      <c r="AG77" s="22" t="str">
        <f t="shared" si="12"/>
        <v>TRUE</v>
      </c>
      <c r="AH77" s="23" t="str">
        <f t="shared" si="13"/>
        <v>تهران ميرداماد - نفت شمالي - كوچه هفتم - نبش كوچه - پلاك 77 - واحد 1 بن کافی - حامد تاج 09123279184</v>
      </c>
    </row>
    <row r="78" spans="1:34" ht="22.35" customHeight="1">
      <c r="A78" s="7"/>
      <c r="B78" s="7"/>
      <c r="C78" s="7"/>
      <c r="D78" s="7"/>
      <c r="E78" s="7"/>
      <c r="F78" s="8"/>
      <c r="G78" s="156"/>
      <c r="H78" s="158"/>
      <c r="I78" s="156"/>
      <c r="J78" s="133"/>
      <c r="K78" s="11" t="str">
        <f t="shared" ca="1" si="7"/>
        <v/>
      </c>
      <c r="L78" s="143"/>
      <c r="M78" s="143"/>
      <c r="N78" s="143"/>
      <c r="O78" s="9">
        <v>5511.2</v>
      </c>
      <c r="P78" s="9">
        <v>9</v>
      </c>
      <c r="Q78" s="13" t="str">
        <f>VLOOKUP(O78, '[1]لیست محصولات اردیبهشت ۱۴۰۳'!B:C,2,0)</f>
        <v>هامبلا | Hambella</v>
      </c>
      <c r="R78" s="9"/>
      <c r="S78" s="12">
        <f>VLOOKUP(O78, '[1]لیست محصولات اردیبهشت ۱۴۰۳'!B:F,5,0)</f>
        <v>750</v>
      </c>
      <c r="T78" s="14">
        <f>VLOOKUP(O78, '[1]لیست محصولات اردیبهشت ۱۴۰۳'!B:G,6,0)</f>
        <v>13350000</v>
      </c>
      <c r="U78" s="15"/>
      <c r="V78" s="16">
        <f t="shared" si="8"/>
        <v>0</v>
      </c>
      <c r="W78" s="12">
        <f t="shared" si="9"/>
        <v>9</v>
      </c>
      <c r="X78" s="14">
        <f t="shared" si="10"/>
        <v>120150000</v>
      </c>
      <c r="Y78" s="17"/>
      <c r="Z78" s="14">
        <f t="shared" si="11"/>
        <v>120150000</v>
      </c>
      <c r="AA78" s="141"/>
      <c r="AB78" s="139"/>
      <c r="AC78" s="137"/>
      <c r="AD78" s="135"/>
      <c r="AE78" s="160"/>
      <c r="AF78" s="21"/>
      <c r="AG78" s="22" t="str">
        <f t="shared" si="12"/>
        <v>TRUE</v>
      </c>
      <c r="AH78" s="23" t="str">
        <f t="shared" si="13"/>
        <v xml:space="preserve">   -   </v>
      </c>
    </row>
    <row r="79" spans="1:34" s="105" customFormat="1" ht="22.35" customHeight="1">
      <c r="A79" s="92"/>
      <c r="B79" s="92"/>
      <c r="C79" s="92"/>
      <c r="D79" s="92"/>
      <c r="E79" s="92"/>
      <c r="F79" s="92"/>
      <c r="G79" s="93">
        <v>38</v>
      </c>
      <c r="H79" s="94"/>
      <c r="I79" s="93" t="s">
        <v>372</v>
      </c>
      <c r="J79" s="93"/>
      <c r="K79" s="95" t="str">
        <f t="shared" ca="1" si="7"/>
        <v/>
      </c>
      <c r="L79" s="96"/>
      <c r="M79" s="96"/>
      <c r="N79" s="96" t="s">
        <v>441</v>
      </c>
      <c r="O79" s="93">
        <v>3326.1</v>
      </c>
      <c r="P79" s="93">
        <v>1</v>
      </c>
      <c r="Q79" s="97" t="str">
        <f>VLOOKUP(O79, '[1]لیست محصولات اردیبهشت ۱۴۰۳'!B:C,2,0)</f>
        <v>میاگروس | Milagros</v>
      </c>
      <c r="R79" s="93" t="s">
        <v>267</v>
      </c>
      <c r="S79" s="96">
        <f>VLOOKUP(O79, '[1]لیست محصولات اردیبهشت ۱۴۰۳'!B:F,5,0)</f>
        <v>150</v>
      </c>
      <c r="T79" s="98">
        <f>VLOOKUP(O79, '[1]لیست محصولات اردیبهشت ۱۴۰۳'!B:G,6,0)</f>
        <v>3750000</v>
      </c>
      <c r="U79" s="99"/>
      <c r="V79" s="100">
        <f t="shared" si="8"/>
        <v>0</v>
      </c>
      <c r="W79" s="96">
        <f t="shared" si="9"/>
        <v>1</v>
      </c>
      <c r="X79" s="98">
        <f t="shared" si="10"/>
        <v>3750000</v>
      </c>
      <c r="Y79" s="101"/>
      <c r="Z79" s="98">
        <f t="shared" si="11"/>
        <v>3750000</v>
      </c>
      <c r="AA79" s="102"/>
      <c r="AB79" s="97"/>
      <c r="AC79" s="103"/>
      <c r="AD79" s="93"/>
      <c r="AE79" s="103"/>
      <c r="AF79" s="104"/>
      <c r="AG79" s="105" t="str">
        <f t="shared" si="12"/>
        <v>TRUE</v>
      </c>
      <c r="AH79" s="106" t="str">
        <f t="shared" si="13"/>
        <v xml:space="preserve">  مصرف مجموعه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</v>
      </c>
      <c r="AI240" s="56">
        <f t="shared" si="19"/>
        <v>0</v>
      </c>
      <c r="AJ240" s="57">
        <f>AH240-AI240</f>
        <v>1</v>
      </c>
      <c r="AK240" s="58">
        <f t="shared" si="23"/>
        <v>0.15</v>
      </c>
      <c r="AL240" s="59">
        <f>AO240+AQ240-[2]Sheet1!$AH241</f>
        <v>0</v>
      </c>
      <c r="AM240" s="59">
        <f t="shared" si="25"/>
        <v>-1</v>
      </c>
      <c r="AN240" s="58">
        <f t="shared" si="21"/>
        <v>0</v>
      </c>
      <c r="AO240" s="59"/>
      <c r="AP240" s="58">
        <f t="shared" si="22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50</v>
      </c>
      <c r="AI242" s="56">
        <f t="shared" si="19"/>
        <v>0</v>
      </c>
      <c r="AJ242" s="57">
        <f t="shared" si="27"/>
        <v>50</v>
      </c>
      <c r="AK242" s="58">
        <f t="shared" ref="AK242:AK267" si="28">AH242*AG242/1000</f>
        <v>200</v>
      </c>
      <c r="AL242" s="59">
        <f>AO242+AQ242-[2]Sheet1!$AH243</f>
        <v>0</v>
      </c>
      <c r="AM242" s="59">
        <f t="shared" si="25"/>
        <v>-50</v>
      </c>
      <c r="AN242" s="58">
        <f t="shared" si="21"/>
        <v>0</v>
      </c>
      <c r="AO242" s="59"/>
      <c r="AP242" s="58">
        <f t="shared" si="22"/>
        <v>-200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4</v>
      </c>
      <c r="AI251" s="56">
        <f t="shared" si="19"/>
        <v>0</v>
      </c>
      <c r="AJ251" s="57">
        <f t="shared" si="27"/>
        <v>4</v>
      </c>
      <c r="AK251" s="58">
        <f t="shared" si="28"/>
        <v>0.6</v>
      </c>
      <c r="AL251" s="59">
        <f>AO251+AQ251-[2]Sheet1!$AH252</f>
        <v>0</v>
      </c>
      <c r="AM251" s="59">
        <f t="shared" si="25"/>
        <v>-4</v>
      </c>
      <c r="AN251" s="58">
        <f t="shared" si="21"/>
        <v>0</v>
      </c>
      <c r="AO251" s="59"/>
      <c r="AP251" s="58">
        <f t="shared" si="22"/>
        <v>-0.6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27</v>
      </c>
      <c r="AI252" s="56">
        <f t="shared" si="19"/>
        <v>0</v>
      </c>
      <c r="AJ252" s="57">
        <f t="shared" si="27"/>
        <v>27</v>
      </c>
      <c r="AK252" s="58">
        <f t="shared" si="28"/>
        <v>20.25</v>
      </c>
      <c r="AL252" s="59">
        <f>AO252+AQ252-[2]Sheet1!$AH253</f>
        <v>0</v>
      </c>
      <c r="AM252" s="59">
        <f t="shared" si="25"/>
        <v>-27</v>
      </c>
      <c r="AN252" s="58">
        <f t="shared" si="21"/>
        <v>0</v>
      </c>
      <c r="AO252" s="59"/>
      <c r="AP252" s="58">
        <f t="shared" si="22"/>
        <v>-20.25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8</v>
      </c>
      <c r="AI253" s="56">
        <f t="shared" si="19"/>
        <v>0</v>
      </c>
      <c r="AJ253" s="57">
        <f t="shared" si="27"/>
        <v>8</v>
      </c>
      <c r="AK253" s="58">
        <f t="shared" si="28"/>
        <v>1.2</v>
      </c>
      <c r="AL253" s="59">
        <f>AO253+AQ253-[2]Sheet1!$AH254</f>
        <v>0</v>
      </c>
      <c r="AM253" s="59">
        <f t="shared" si="25"/>
        <v>-8</v>
      </c>
      <c r="AN253" s="58">
        <f t="shared" si="21"/>
        <v>0</v>
      </c>
      <c r="AO253" s="59"/>
      <c r="AP253" s="58">
        <f t="shared" si="22"/>
        <v>-1.2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3</v>
      </c>
      <c r="AI254" s="56">
        <f t="shared" si="19"/>
        <v>0</v>
      </c>
      <c r="AJ254" s="57">
        <f t="shared" si="27"/>
        <v>3</v>
      </c>
      <c r="AK254" s="58">
        <f t="shared" si="28"/>
        <v>2.25</v>
      </c>
      <c r="AL254" s="59">
        <f>AO254+AQ254-[2]Sheet1!$AH255</f>
        <v>0</v>
      </c>
      <c r="AM254" s="59">
        <f t="shared" si="25"/>
        <v>-3</v>
      </c>
      <c r="AN254" s="58">
        <f t="shared" si="21"/>
        <v>0</v>
      </c>
      <c r="AO254" s="59"/>
      <c r="AP254" s="58">
        <f t="shared" si="22"/>
        <v>-2.25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268">
    <mergeCell ref="I77:I78"/>
    <mergeCell ref="H77:H78"/>
    <mergeCell ref="G77:G78"/>
    <mergeCell ref="AD77:AD78"/>
    <mergeCell ref="AC77:AC78"/>
    <mergeCell ref="AB77:AB78"/>
    <mergeCell ref="AA77:AA78"/>
    <mergeCell ref="AA75:AE76"/>
    <mergeCell ref="N77:N78"/>
    <mergeCell ref="M77:M78"/>
    <mergeCell ref="L77:L78"/>
    <mergeCell ref="J77:J78"/>
    <mergeCell ref="AE77:AE78"/>
    <mergeCell ref="N75:N76"/>
    <mergeCell ref="M75:M76"/>
    <mergeCell ref="L75:L76"/>
    <mergeCell ref="J75:J76"/>
    <mergeCell ref="I75:I76"/>
    <mergeCell ref="H75:H76"/>
    <mergeCell ref="G75:G76"/>
    <mergeCell ref="L73:L74"/>
    <mergeCell ref="J73:J74"/>
    <mergeCell ref="I73:I74"/>
    <mergeCell ref="H73:H74"/>
    <mergeCell ref="AD73:AD74"/>
    <mergeCell ref="AC73:AC74"/>
    <mergeCell ref="AB73:AB74"/>
    <mergeCell ref="AA73:AA74"/>
    <mergeCell ref="N73:N74"/>
    <mergeCell ref="G73:G74"/>
    <mergeCell ref="M67:M69"/>
    <mergeCell ref="N67:N69"/>
    <mergeCell ref="AD67:AD69"/>
    <mergeCell ref="AC67:AC69"/>
    <mergeCell ref="AB67:AB69"/>
    <mergeCell ref="AA67:AA69"/>
    <mergeCell ref="G67:G69"/>
    <mergeCell ref="H67:H69"/>
    <mergeCell ref="I67:I69"/>
    <mergeCell ref="J67:J69"/>
    <mergeCell ref="L67:L69"/>
    <mergeCell ref="H70:H72"/>
    <mergeCell ref="G70:G72"/>
    <mergeCell ref="AC70:AC72"/>
    <mergeCell ref="AD70:AD72"/>
    <mergeCell ref="AB70:AB72"/>
    <mergeCell ref="AA70:AA72"/>
    <mergeCell ref="N70:N72"/>
    <mergeCell ref="M70:M72"/>
    <mergeCell ref="L70:L72"/>
    <mergeCell ref="J70:J72"/>
    <mergeCell ref="I70:I72"/>
    <mergeCell ref="M73:M74"/>
    <mergeCell ref="H65:H66"/>
    <mergeCell ref="G65:G66"/>
    <mergeCell ref="AD65:AD66"/>
    <mergeCell ref="AC65:AC66"/>
    <mergeCell ref="AB65:AB66"/>
    <mergeCell ref="AA65:AA66"/>
    <mergeCell ref="N65:N66"/>
    <mergeCell ref="M65:M66"/>
    <mergeCell ref="L65:L66"/>
    <mergeCell ref="J65:J66"/>
    <mergeCell ref="I65:I66"/>
    <mergeCell ref="H63:H64"/>
    <mergeCell ref="G63:G64"/>
    <mergeCell ref="AD63:AD64"/>
    <mergeCell ref="AC63:AC64"/>
    <mergeCell ref="AB63:AB64"/>
    <mergeCell ref="AA63:AA64"/>
    <mergeCell ref="N63:N64"/>
    <mergeCell ref="M63:M64"/>
    <mergeCell ref="L63:L64"/>
    <mergeCell ref="J63:J64"/>
    <mergeCell ref="I63:I64"/>
    <mergeCell ref="AA52:AE52"/>
    <mergeCell ref="G54:G61"/>
    <mergeCell ref="H54:H61"/>
    <mergeCell ref="I54:I61"/>
    <mergeCell ref="J54:J61"/>
    <mergeCell ref="L54:L61"/>
    <mergeCell ref="M54:M61"/>
    <mergeCell ref="N54:N61"/>
    <mergeCell ref="AD54:AD61"/>
    <mergeCell ref="AC54:AC61"/>
    <mergeCell ref="AB54:AB61"/>
    <mergeCell ref="AA54:AA61"/>
    <mergeCell ref="J50:J51"/>
    <mergeCell ref="I50:I51"/>
    <mergeCell ref="H50:H51"/>
    <mergeCell ref="G50:G51"/>
    <mergeCell ref="AD50:AD51"/>
    <mergeCell ref="AC50:AC51"/>
    <mergeCell ref="AB50:AB51"/>
    <mergeCell ref="AA50:AA51"/>
    <mergeCell ref="M42:M49"/>
    <mergeCell ref="N42:N49"/>
    <mergeCell ref="N50:N51"/>
    <mergeCell ref="M50:M51"/>
    <mergeCell ref="L50:L51"/>
    <mergeCell ref="G42:G49"/>
    <mergeCell ref="H42:H49"/>
    <mergeCell ref="I42:I49"/>
    <mergeCell ref="J42:J49"/>
    <mergeCell ref="L42:L49"/>
    <mergeCell ref="AC40:AC41"/>
    <mergeCell ref="AD40:AD41"/>
    <mergeCell ref="AB40:AB41"/>
    <mergeCell ref="AA40:AA41"/>
    <mergeCell ref="AD42:AD49"/>
    <mergeCell ref="AC42:AC49"/>
    <mergeCell ref="AB42:AB49"/>
    <mergeCell ref="AA42:AA49"/>
    <mergeCell ref="G38:G39"/>
    <mergeCell ref="N40:N41"/>
    <mergeCell ref="M40:M41"/>
    <mergeCell ref="L40:L41"/>
    <mergeCell ref="J40:J41"/>
    <mergeCell ref="I40:I41"/>
    <mergeCell ref="H40:H41"/>
    <mergeCell ref="G40:G41"/>
    <mergeCell ref="M38:M39"/>
    <mergeCell ref="L38:L39"/>
    <mergeCell ref="J38:J39"/>
    <mergeCell ref="I38:I39"/>
    <mergeCell ref="H38:H39"/>
    <mergeCell ref="AD38:AD39"/>
    <mergeCell ref="AC38:AC39"/>
    <mergeCell ref="AB38:AB39"/>
    <mergeCell ref="AA38:AA39"/>
    <mergeCell ref="N38:N39"/>
    <mergeCell ref="H36:H37"/>
    <mergeCell ref="G36:G37"/>
    <mergeCell ref="AD36:AD37"/>
    <mergeCell ref="AC36:AC37"/>
    <mergeCell ref="AB36:AB37"/>
    <mergeCell ref="AA36:AA37"/>
    <mergeCell ref="N36:N37"/>
    <mergeCell ref="M36:M37"/>
    <mergeCell ref="L36:L37"/>
    <mergeCell ref="J36:J37"/>
    <mergeCell ref="I36:I37"/>
    <mergeCell ref="H34:H35"/>
    <mergeCell ref="G34:G35"/>
    <mergeCell ref="AD34:AD35"/>
    <mergeCell ref="AC34:AC35"/>
    <mergeCell ref="AB34:AB35"/>
    <mergeCell ref="AA34:AA35"/>
    <mergeCell ref="N34:N35"/>
    <mergeCell ref="M34:M35"/>
    <mergeCell ref="L34:L35"/>
    <mergeCell ref="J34:J35"/>
    <mergeCell ref="I34:I35"/>
    <mergeCell ref="H32:H33"/>
    <mergeCell ref="G32:G33"/>
    <mergeCell ref="AD32:AD33"/>
    <mergeCell ref="AC32:AC33"/>
    <mergeCell ref="AB32:AB33"/>
    <mergeCell ref="AA32:AA33"/>
    <mergeCell ref="N32:N33"/>
    <mergeCell ref="M32:M33"/>
    <mergeCell ref="L32:L33"/>
    <mergeCell ref="J32:J33"/>
    <mergeCell ref="I32:I33"/>
    <mergeCell ref="H30:H31"/>
    <mergeCell ref="G30:G31"/>
    <mergeCell ref="AD30:AD31"/>
    <mergeCell ref="AC30:AC31"/>
    <mergeCell ref="AB30:AB31"/>
    <mergeCell ref="AA30:AA31"/>
    <mergeCell ref="N30:N31"/>
    <mergeCell ref="M30:M31"/>
    <mergeCell ref="L30:L31"/>
    <mergeCell ref="J30:J31"/>
    <mergeCell ref="I30:I31"/>
    <mergeCell ref="H26:H27"/>
    <mergeCell ref="G26:G27"/>
    <mergeCell ref="AD26:AD27"/>
    <mergeCell ref="AC26:AC27"/>
    <mergeCell ref="AB26:AB27"/>
    <mergeCell ref="AA26:AA27"/>
    <mergeCell ref="N26:N27"/>
    <mergeCell ref="M26:M27"/>
    <mergeCell ref="L26:L27"/>
    <mergeCell ref="J26:J27"/>
    <mergeCell ref="I26:I27"/>
    <mergeCell ref="H20:H21"/>
    <mergeCell ref="G20:G21"/>
    <mergeCell ref="AD20:AD21"/>
    <mergeCell ref="AC20:AC21"/>
    <mergeCell ref="AB20:AB21"/>
    <mergeCell ref="AA20:AA21"/>
    <mergeCell ref="N20:N21"/>
    <mergeCell ref="M20:M21"/>
    <mergeCell ref="L20:L21"/>
    <mergeCell ref="J20:J21"/>
    <mergeCell ref="I20:I21"/>
    <mergeCell ref="H18:H19"/>
    <mergeCell ref="G18:G19"/>
    <mergeCell ref="AD18:AD19"/>
    <mergeCell ref="AC18:AC19"/>
    <mergeCell ref="AB18:AB19"/>
    <mergeCell ref="AA18:AA19"/>
    <mergeCell ref="N18:N19"/>
    <mergeCell ref="M18:M19"/>
    <mergeCell ref="L18:L19"/>
    <mergeCell ref="J18:J19"/>
    <mergeCell ref="I18:I19"/>
    <mergeCell ref="H14:H15"/>
    <mergeCell ref="G14:G15"/>
    <mergeCell ref="AD14:AD15"/>
    <mergeCell ref="AC14:AC15"/>
    <mergeCell ref="AB14:AB15"/>
    <mergeCell ref="AA14:AA15"/>
    <mergeCell ref="N14:N15"/>
    <mergeCell ref="M14:M15"/>
    <mergeCell ref="L14:L15"/>
    <mergeCell ref="J14:J15"/>
    <mergeCell ref="I14:I15"/>
    <mergeCell ref="M11:M13"/>
    <mergeCell ref="N11:N13"/>
    <mergeCell ref="AD11:AD13"/>
    <mergeCell ref="AC11:AC13"/>
    <mergeCell ref="AB11:AB13"/>
    <mergeCell ref="AA11:AA13"/>
    <mergeCell ref="G11:G13"/>
    <mergeCell ref="H11:H13"/>
    <mergeCell ref="I11:I13"/>
    <mergeCell ref="J11:J13"/>
    <mergeCell ref="L11:L13"/>
    <mergeCell ref="M8:M10"/>
    <mergeCell ref="N8:N10"/>
    <mergeCell ref="AD8:AD10"/>
    <mergeCell ref="AC8:AC10"/>
    <mergeCell ref="AB8:AB10"/>
    <mergeCell ref="AA8:AA10"/>
    <mergeCell ref="G8:G10"/>
    <mergeCell ref="H8:H10"/>
    <mergeCell ref="I8:I10"/>
    <mergeCell ref="J8:J10"/>
    <mergeCell ref="L8:L10"/>
    <mergeCell ref="H5:H6"/>
    <mergeCell ref="G5:G6"/>
    <mergeCell ref="AD5:AD6"/>
    <mergeCell ref="AC5:AC6"/>
    <mergeCell ref="AB5:AB6"/>
    <mergeCell ref="AA5:AA6"/>
    <mergeCell ref="N5:N6"/>
    <mergeCell ref="M5:M6"/>
    <mergeCell ref="L5:L6"/>
    <mergeCell ref="J5:J6"/>
    <mergeCell ref="I5:I6"/>
    <mergeCell ref="AD2:AD3"/>
    <mergeCell ref="AC2:AC3"/>
    <mergeCell ref="AB2:AB3"/>
    <mergeCell ref="AA2:AA3"/>
    <mergeCell ref="AE2:AE3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</mergeCells>
  <conditionalFormatting sqref="G2:J2 AD2 Z2:Z200 J4:J5 AD4:AD5 J7:J8 AD7:AD8 G11:J11 AD11 G14:J14 AD14 G16:J18 AD16:AD18 G20:J20 AD20 G22:J26 AD22:AD26 G28:J30 AD28:AD30 G32:J32 AD32 G34:J34 AD34 G36:J36 AD36 G38:J38 AD38 G40:J40 AD40 G42:J42 AD42 G50:J50 AD50 G52:J54 AD53:AD54 G62:J63 AD62:AD63 G65:J65 AD65 G67:J67 AD67 G70:J70 AD70 G73:J73 AD73 G75:J75 G77:J77 AD77 G79:J200 AD79:AD200">
    <cfRule type="expression" dxfId="62" priority="64">
      <formula>$A2</formula>
    </cfRule>
    <cfRule type="expression" dxfId="61" priority="66">
      <formula>$E2</formula>
    </cfRule>
  </conditionalFormatting>
  <conditionalFormatting sqref="G2:AF2 Q3:Z200 J4:J5 AA4:AF5 J7:J8 AA7:AF8 G11:P11 AA11:AF11 G14:P14 AA14:AF14 G16:P18 AA16:AF18 G20:P20 AA20:AF20 G22:P26 AA22:AF26 G28:P29 AA28:AF30 G30:K30 G32:P32 AA32:AF32 G34:P34 AA34:AF34 G36:P36 AA36:AF36 G38:P38 AA38:AF38 G40:P40 AA40:AF40 G42:P42 AA42:AF42 G50:P50 AA50:AF50 G52:P54 AA53:AF54 G62:P63 AA62:AF63 G65:P65 AA65:AF65 G67:P67 AA67:AF67 G70:P70 AA70:AF70 G73:P73 AA73:AF73 G75:P75 G77:P77 AA77:AF77 G79:P200 AA79:AF200 AF3 K3:K10 O3:P10 H4:H5 AE6:AF6 H7:H8 AE9:AF10 K12:K13 O12:P13 AE12:AF13 K15 O15:P15 AE15:AF15 K19 O19:P19 AE19:AF19 K21 O21:P21 AE21:AF21 K27 O27:P27 AE27:AF27 O30:P31 K31 AE31:AF31 K33 O33:P33 AE33:AF33 K35 O35:P35 AE35:AF35 K37 O37:P37 AE37:AF37 K39 O39:P39 AE39:AF39 K41 O41:P41 AE41:AF41 K43:K49 O43:P49 AE43:AF49 K51 O51:P51 AE51:AF51 AA52 AF52 K55:K61 O55:P61 AE55:AF61 K64 O64:P64 AE64:AF64 K66 O66:P66 AE66:AF66 K68:K69 O68:P69 AE68:AF69 K71:K72 O71:P72 AE71:AF72 K74 O74:P74 AE74:AF74 AA75 AF75:AF76 K76 O76:P76 K78 O78:P78 AF78">
    <cfRule type="expression" dxfId="60" priority="65">
      <formula>$C2</formula>
    </cfRule>
  </conditionalFormatting>
  <conditionalFormatting sqref="L30:N30">
    <cfRule type="expression" dxfId="59" priority="1">
      <formula>$C30</formula>
    </cfRule>
  </conditionalFormatting>
  <conditionalFormatting sqref="W2:W200">
    <cfRule type="expression" dxfId="58" priority="63">
      <formula>$AG2</formula>
    </cfRule>
  </conditionalFormatting>
  <conditionalFormatting sqref="AL203:AM203">
    <cfRule type="dataBar" priority="28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{898DCB97-FDD1-4EC0-A5A1-8E408A9D19B0}</x14:id>
        </ext>
      </extLst>
    </cfRule>
  </conditionalFormatting>
  <conditionalFormatting sqref="AL204:AM204">
    <cfRule type="dataBar" priority="27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{37F534D7-7175-416B-A4D7-A097FFFEA925}</x14:id>
        </ext>
      </extLst>
    </cfRule>
  </conditionalFormatting>
  <conditionalFormatting sqref="AL205:AM205">
    <cfRule type="dataBar" priority="26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{B0A716D0-3234-4354-AC2D-124216DE596A}</x14:id>
        </ext>
      </extLst>
    </cfRule>
  </conditionalFormatting>
  <conditionalFormatting sqref="AL206:AM206">
    <cfRule type="dataBar" priority="25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{1703478F-F2EC-4274-9309-93B065A39F80}</x14:id>
        </ext>
      </extLst>
    </cfRule>
  </conditionalFormatting>
  <conditionalFormatting sqref="AL207:AM207">
    <cfRule type="dataBar" priority="24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{44C99CA0-60AC-49DF-8D7C-98E66387F454}</x14:id>
        </ext>
      </extLst>
    </cfRule>
  </conditionalFormatting>
  <conditionalFormatting sqref="AL208:AM208">
    <cfRule type="dataBar" priority="23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{CEE7C3A6-90F9-49AB-A092-87AFEB54C41A}</x14:id>
        </ext>
      </extLst>
    </cfRule>
  </conditionalFormatting>
  <conditionalFormatting sqref="AL209:AM209">
    <cfRule type="dataBar" priority="22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{A847999D-0E4E-461F-B879-2FF5FDD1C113}</x14:id>
        </ext>
      </extLst>
    </cfRule>
  </conditionalFormatting>
  <conditionalFormatting sqref="AL210:AM210">
    <cfRule type="dataBar" priority="21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{CFB88D9C-8C24-455D-ADB7-D99407A4F9BF}</x14:id>
        </ext>
      </extLst>
    </cfRule>
  </conditionalFormatting>
  <conditionalFormatting sqref="AL211:AM211">
    <cfRule type="dataBar" priority="20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{7FD137B8-EDF4-4F2D-9419-A1AA3BBCF52F}</x14:id>
        </ext>
      </extLst>
    </cfRule>
  </conditionalFormatting>
  <conditionalFormatting sqref="AL212:AM212">
    <cfRule type="dataBar" priority="19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{1E4F555F-0558-4B40-AA4A-F039B2DA71EB}</x14:id>
        </ext>
      </extLst>
    </cfRule>
  </conditionalFormatting>
  <conditionalFormatting sqref="AL213:AM213">
    <cfRule type="dataBar" priority="18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{E4802163-B92C-484E-93E3-39AE4C81F796}</x14:id>
        </ext>
      </extLst>
    </cfRule>
  </conditionalFormatting>
  <conditionalFormatting sqref="AL214:AM214">
    <cfRule type="dataBar" priority="17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{849F5645-A0B5-44CB-899C-DF85B75EFCD8}</x14:id>
        </ext>
      </extLst>
    </cfRule>
  </conditionalFormatting>
  <conditionalFormatting sqref="AL215:AM215">
    <cfRule type="dataBar" priority="16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{83E2B505-C147-4916-940C-692CF91E0F7E}</x14:id>
        </ext>
      </extLst>
    </cfRule>
  </conditionalFormatting>
  <conditionalFormatting sqref="AL216:AM216">
    <cfRule type="dataBar" priority="15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{0FFAA74E-BDFA-4077-A8DD-DCD8CC64B78D}</x14:id>
        </ext>
      </extLst>
    </cfRule>
  </conditionalFormatting>
  <conditionalFormatting sqref="AL217:AM217">
    <cfRule type="dataBar" priority="14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{C79F6721-3E8D-4561-8062-24AE9F7E19D0}</x14:id>
        </ext>
      </extLst>
    </cfRule>
  </conditionalFormatting>
  <conditionalFormatting sqref="AL218:AM218">
    <cfRule type="dataBar" priority="13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{607532B9-051C-4ED8-BFA3-41CD09245CCC}</x14:id>
        </ext>
      </extLst>
    </cfRule>
  </conditionalFormatting>
  <conditionalFormatting sqref="AL219:AM219">
    <cfRule type="dataBar" priority="12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{7F7492E3-8140-407C-8B62-55D1CC23949E}</x14:id>
        </ext>
      </extLst>
    </cfRule>
  </conditionalFormatting>
  <conditionalFormatting sqref="AL220:AM220">
    <cfRule type="dataBar" priority="11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{A130A073-1AD1-460B-A85F-94CAF2E86E47}</x14:id>
        </ext>
      </extLst>
    </cfRule>
  </conditionalFormatting>
  <conditionalFormatting sqref="AL221:AM221">
    <cfRule type="dataBar" priority="29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{7459E1C9-E6E8-4F5A-B511-25CFD6C47972}</x14:id>
        </ext>
      </extLst>
    </cfRule>
  </conditionalFormatting>
  <conditionalFormatting sqref="AL223:AM223">
    <cfRule type="dataBar" priority="30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{898BCB8F-BFB9-4261-98E0-40C86B70FE17}</x14:id>
        </ext>
      </extLst>
    </cfRule>
  </conditionalFormatting>
  <conditionalFormatting sqref="AL224:AM224">
    <cfRule type="dataBar" priority="31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{A1476717-2F31-4B34-A9E9-A5BC0B2A20B5}</x14:id>
        </ext>
      </extLst>
    </cfRule>
  </conditionalFormatting>
  <conditionalFormatting sqref="AL225:AM225">
    <cfRule type="dataBar" priority="32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{191B95A8-839A-41E0-8EE8-1D6B55984454}</x14:id>
        </ext>
      </extLst>
    </cfRule>
  </conditionalFormatting>
  <conditionalFormatting sqref="AL226:AM226">
    <cfRule type="dataBar" priority="33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{4C3A32F6-C14C-4F28-8FAB-B6F298E76926}</x14:id>
        </ext>
      </extLst>
    </cfRule>
  </conditionalFormatting>
  <conditionalFormatting sqref="AL227:AM227">
    <cfRule type="dataBar" priority="34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{11F7A328-4AD8-4824-A4CD-6F9F114C97C0}</x14:id>
        </ext>
      </extLst>
    </cfRule>
  </conditionalFormatting>
  <conditionalFormatting sqref="AL228:AM228">
    <cfRule type="dataBar" priority="35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{51DC6CBD-4604-4E73-8024-AD2D621AD431}</x14:id>
        </ext>
      </extLst>
    </cfRule>
  </conditionalFormatting>
  <conditionalFormatting sqref="AL229:AM229">
    <cfRule type="dataBar" priority="10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{A6F24BC7-C843-49D7-AEA0-2373F48425BB}</x14:id>
        </ext>
      </extLst>
    </cfRule>
  </conditionalFormatting>
  <conditionalFormatting sqref="AL230:AM230">
    <cfRule type="dataBar" priority="9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{8CCE7881-573B-4BB9-9A4D-40453C1C9CD2}</x14:id>
        </ext>
      </extLst>
    </cfRule>
  </conditionalFormatting>
  <conditionalFormatting sqref="AL231:AM231">
    <cfRule type="dataBar" priority="8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{40668B23-DAFA-4977-A34E-C6F8ABA36DB8}</x14:id>
        </ext>
      </extLst>
    </cfRule>
  </conditionalFormatting>
  <conditionalFormatting sqref="AL232:AM232">
    <cfRule type="dataBar" priority="7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{4FE41412-7875-41F6-A04C-53F699941FEE}</x14:id>
        </ext>
      </extLst>
    </cfRule>
  </conditionalFormatting>
  <conditionalFormatting sqref="AL233:AM233">
    <cfRule type="dataBar" priority="6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{95726503-73CF-4B4F-B965-BB869E926A98}</x14:id>
        </ext>
      </extLst>
    </cfRule>
  </conditionalFormatting>
  <conditionalFormatting sqref="AL234:AM234">
    <cfRule type="dataBar" priority="5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{EC7C8C6A-B747-492B-8BD0-59F91F661152}</x14:id>
        </ext>
      </extLst>
    </cfRule>
  </conditionalFormatting>
  <conditionalFormatting sqref="AL235:AM235">
    <cfRule type="dataBar" priority="36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{4E481FA9-2650-44FC-8EE5-E3A0C859B424}</x14:id>
        </ext>
      </extLst>
    </cfRule>
  </conditionalFormatting>
  <conditionalFormatting sqref="AL236:AM236">
    <cfRule type="dataBar" priority="37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{DE99E0CB-FFF9-4E03-96CD-775AE60E1DE2}</x14:id>
        </ext>
      </extLst>
    </cfRule>
  </conditionalFormatting>
  <conditionalFormatting sqref="AL237:AM237">
    <cfRule type="dataBar" priority="38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{EB670341-8C1A-4B8F-8608-BC3B90EB7FB4}</x14:id>
        </ext>
      </extLst>
    </cfRule>
  </conditionalFormatting>
  <conditionalFormatting sqref="AL238:AM238">
    <cfRule type="dataBar" priority="39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{E11CFB88-2C0F-4D5E-A603-C5262CEA71BF}</x14:id>
        </ext>
      </extLst>
    </cfRule>
  </conditionalFormatting>
  <conditionalFormatting sqref="AL239:AM239">
    <cfRule type="dataBar" priority="40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{4CB72852-56B4-4069-BE13-011667C7ED44}</x14:id>
        </ext>
      </extLst>
    </cfRule>
  </conditionalFormatting>
  <conditionalFormatting sqref="AL240:AM240">
    <cfRule type="dataBar" priority="41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{DB25946F-E50F-46C2-A602-0A54E12428C3}</x14:id>
        </ext>
      </extLst>
    </cfRule>
  </conditionalFormatting>
  <conditionalFormatting sqref="AL241:AM241">
    <cfRule type="dataBar" priority="42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{69F1E8E1-1FCD-47F8-9E19-D7F57350E820}</x14:id>
        </ext>
      </extLst>
    </cfRule>
  </conditionalFormatting>
  <conditionalFormatting sqref="AL242:AM242">
    <cfRule type="dataBar" priority="43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{7E24BCB8-E2BA-4BD8-8CC4-59741FC2EEC2}</x14:id>
        </ext>
      </extLst>
    </cfRule>
  </conditionalFormatting>
  <conditionalFormatting sqref="AL243:AM243">
    <cfRule type="dataBar" priority="44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{31FBA0B0-E2D1-4A27-8D59-07757B40BD1B}</x14:id>
        </ext>
      </extLst>
    </cfRule>
  </conditionalFormatting>
  <conditionalFormatting sqref="AL244:AM244">
    <cfRule type="dataBar" priority="45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{C1A0783C-C08F-4158-B531-4532DB749CD0}</x14:id>
        </ext>
      </extLst>
    </cfRule>
  </conditionalFormatting>
  <conditionalFormatting sqref="AL245:AM245">
    <cfRule type="dataBar" priority="46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{6BF4BC68-A6BE-4682-8EF9-869B32499A88}</x14:id>
        </ext>
      </extLst>
    </cfRule>
  </conditionalFormatting>
  <conditionalFormatting sqref="AL246:AM246">
    <cfRule type="dataBar" priority="47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{A4B77A6E-CC8A-4428-BE6D-9BD092FB1468}</x14:id>
        </ext>
      </extLst>
    </cfRule>
  </conditionalFormatting>
  <conditionalFormatting sqref="AL247:AM247">
    <cfRule type="dataBar" priority="48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{B23FEDD9-F878-4E27-A8E9-8BBA39BE7142}</x14:id>
        </ext>
      </extLst>
    </cfRule>
  </conditionalFormatting>
  <conditionalFormatting sqref="AL248:AM248">
    <cfRule type="dataBar" priority="4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{1FCDC78A-7804-4C28-BE2F-280767A8DC64}</x14:id>
        </ext>
      </extLst>
    </cfRule>
  </conditionalFormatting>
  <conditionalFormatting sqref="AL249:AM249">
    <cfRule type="dataBar" priority="49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{054703B6-6387-4A3B-9891-1C99799B772B}</x14:id>
        </ext>
      </extLst>
    </cfRule>
  </conditionalFormatting>
  <conditionalFormatting sqref="AL250:AM250">
    <cfRule type="dataBar" priority="50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{AF9402CD-7E50-4904-B2DD-A961570F0F67}</x14:id>
        </ext>
      </extLst>
    </cfRule>
  </conditionalFormatting>
  <conditionalFormatting sqref="AL251:AM251">
    <cfRule type="dataBar" priority="51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{B31B6492-C266-4287-AFBD-4B8262D3BC02}</x14:id>
        </ext>
      </extLst>
    </cfRule>
  </conditionalFormatting>
  <conditionalFormatting sqref="AL252:AM252">
    <cfRule type="dataBar" priority="52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{72CD5527-A2BC-4D64-90DC-E4E5F4A60E06}</x14:id>
        </ext>
      </extLst>
    </cfRule>
  </conditionalFormatting>
  <conditionalFormatting sqref="AL253:AM253">
    <cfRule type="dataBar" priority="53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{5EFB9EF4-4CEA-4EAA-A47F-03F2FF7D8A8A}</x14:id>
        </ext>
      </extLst>
    </cfRule>
  </conditionalFormatting>
  <conditionalFormatting sqref="AL254:AM254">
    <cfRule type="dataBar" priority="54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{57887F31-D7D0-43D0-B928-1564E4A5BC38}</x14:id>
        </ext>
      </extLst>
    </cfRule>
  </conditionalFormatting>
  <conditionalFormatting sqref="AL255:AM255">
    <cfRule type="dataBar" priority="55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{ED802C87-65F6-4302-873F-3464824A168C}</x14:id>
        </ext>
      </extLst>
    </cfRule>
  </conditionalFormatting>
  <conditionalFormatting sqref="AL256:AM256">
    <cfRule type="dataBar" priority="56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{91E7D7B2-B2FF-42B4-BE14-595A53DA544A}</x14:id>
        </ext>
      </extLst>
    </cfRule>
  </conditionalFormatting>
  <conditionalFormatting sqref="AL257:AM257">
    <cfRule type="dataBar" priority="57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{F0203D60-F7A6-4C00-A158-34178D9D3EC8}</x14:id>
        </ext>
      </extLst>
    </cfRule>
  </conditionalFormatting>
  <conditionalFormatting sqref="AL258:AM258">
    <cfRule type="dataBar" priority="3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{B3459636-762F-48FA-92AA-69D59693104E}</x14:id>
        </ext>
      </extLst>
    </cfRule>
  </conditionalFormatting>
  <conditionalFormatting sqref="AL259:AM259">
    <cfRule type="dataBar" priority="2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{9554616A-5E62-4CA3-AD18-5E67EAB2A158}</x14:id>
        </ext>
      </extLst>
    </cfRule>
  </conditionalFormatting>
  <conditionalFormatting sqref="AL260:AM260">
    <cfRule type="dataBar" priority="58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{C8E3874C-DE95-4B15-9F86-0B0D5A0DF2E1}</x14:id>
        </ext>
      </extLst>
    </cfRule>
  </conditionalFormatting>
  <conditionalFormatting sqref="AL261:AM261">
    <cfRule type="dataBar" priority="59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{A76C07E1-768E-4976-ADF4-574D36A05AC7}</x14:id>
        </ext>
      </extLst>
    </cfRule>
  </conditionalFormatting>
  <conditionalFormatting sqref="AL262:AM262">
    <cfRule type="dataBar" priority="60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{5C25482E-D500-418F-A961-98D3DB57AF8A}</x14:id>
        </ext>
      </extLst>
    </cfRule>
  </conditionalFormatting>
  <conditionalFormatting sqref="AL263:AM263">
    <cfRule type="dataBar" priority="61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{144AD4C3-56FF-46A8-A5DF-6D341B83A1E9}</x14:id>
        </ext>
      </extLst>
    </cfRule>
  </conditionalFormatting>
  <conditionalFormatting sqref="AL264:AM264">
    <cfRule type="dataBar" priority="62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{EBCAE9C1-A4ED-466F-8A28-45D9724B3B7C}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98DCB97-FDD1-4EC0-A5A1-8E408A9D19B0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37F534D7-7175-416B-A4D7-A097FFFEA92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B0A716D0-3234-4354-AC2D-124216DE596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1703478F-F2EC-4274-9309-93B065A39F8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44C99CA0-60AC-49DF-8D7C-98E66387F454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CEE7C3A6-90F9-49AB-A092-87AFEB54C41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A847999D-0E4E-461F-B879-2FF5FDD1C11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CFB88D9C-8C24-455D-ADB7-D99407A4F9B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FD137B8-EDF4-4F2D-9419-A1AA3BBCF52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1E4F555F-0558-4B40-AA4A-F039B2DA71EB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4802163-B92C-484E-93E3-39AE4C81F796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849F5645-A0B5-44CB-899C-DF85B75EFCD8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83E2B505-C147-4916-940C-692CF91E0F7E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0FFAA74E-BDFA-4077-A8DD-DCD8CC64B78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C79F6721-3E8D-4561-8062-24AE9F7E19D0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607532B9-051C-4ED8-BFA3-41CD09245CCC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7F7492E3-8140-407C-8B62-55D1CC23949E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A130A073-1AD1-460B-A85F-94CAF2E86E47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7459E1C9-E6E8-4F5A-B511-25CFD6C47972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98BCB8F-BFB9-4261-98E0-40C86B70FE17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1476717-2F31-4B34-A9E9-A5BC0B2A20B5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91B95A8-839A-41E0-8EE8-1D6B5598445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4C3A32F6-C14C-4F28-8FAB-B6F298E7692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11F7A328-4AD8-4824-A4CD-6F9F114C97C0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51DC6CBD-4604-4E73-8024-AD2D621AD43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A6F24BC7-C843-49D7-AEA0-2373F48425B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8CCE7881-573B-4BB9-9A4D-40453C1C9CD2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40668B23-DAFA-4977-A34E-C6F8ABA36DB8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4FE41412-7875-41F6-A04C-53F699941FEE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95726503-73CF-4B4F-B965-BB869E926A98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C7C8C6A-B747-492B-8BD0-59F91F661152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4E481FA9-2650-44FC-8EE5-E3A0C859B424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DE99E0CB-FFF9-4E03-96CD-775AE60E1DE2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EB670341-8C1A-4B8F-8608-BC3B90EB7FB4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E11CFB88-2C0F-4D5E-A603-C5262CEA71BF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CB72852-56B4-4069-BE13-011667C7ED4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DB25946F-E50F-46C2-A602-0A54E12428C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69F1E8E1-1FCD-47F8-9E19-D7F57350E820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7E24BCB8-E2BA-4BD8-8CC4-59741FC2EEC2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31FBA0B0-E2D1-4A27-8D59-07757B40BD1B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C1A0783C-C08F-4158-B531-4532DB749CD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6BF4BC68-A6BE-4682-8EF9-869B32499A88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A4B77A6E-CC8A-4428-BE6D-9BD092FB146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B23FEDD9-F878-4E27-A8E9-8BBA39BE7142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1FCDC78A-7804-4C28-BE2F-280767A8DC64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054703B6-6387-4A3B-9891-1C99799B772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AF9402CD-7E50-4904-B2DD-A961570F0F6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B31B6492-C266-4287-AFBD-4B8262D3BC02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72CD5527-A2BC-4D64-90DC-E4E5F4A60E06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EFB9EF4-4CEA-4EAA-A47F-03F2FF7D8A8A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57887F31-D7D0-43D0-B928-1564E4A5BC38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D802C87-65F6-4302-873F-3464824A168C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1E7D7B2-B2FF-42B4-BE14-595A53DA544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F0203D60-F7A6-4C00-A158-34178D9D3EC8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B3459636-762F-48FA-92AA-69D59693104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9554616A-5E62-4CA3-AD18-5E67EAB2A15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C8E3874C-DE95-4B15-9F86-0B0D5A0DF2E1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A76C07E1-768E-4976-ADF4-574D36A05AC7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C25482E-D500-418F-A961-98D3DB57AF8A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144AD4C3-56FF-46A8-A5DF-6D341B83A1E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EBCAE9C1-A4ED-466F-8A28-45D9724B3B7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F06D5-E228-4BBA-8625-9736E22A0E3B}">
  <dimension ref="A1:AR267"/>
  <sheetViews>
    <sheetView rightToLeft="1" topLeftCell="G43" zoomScale="70" zoomScaleNormal="70" workbookViewId="0">
      <selection activeCell="G56" sqref="G56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.44140625" style="28" bestFit="1" customWidth="1"/>
    <col min="9" max="9" width="24.66406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32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2.664062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85.21875" style="24" bestFit="1" customWidth="1"/>
    <col min="29" max="29" width="15.77734375" style="31" bestFit="1" customWidth="1"/>
    <col min="30" max="30" width="13.6640625" style="32" bestFit="1" customWidth="1"/>
    <col min="31" max="31" width="34.44140625" style="24" bestFit="1" customWidth="1"/>
    <col min="32" max="32" width="28.33203125" style="24" bestFit="1" customWidth="1"/>
    <col min="33" max="33" width="13.5546875" style="24" bestFit="1" customWidth="1"/>
    <col min="34" max="34" width="113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1" t="s">
        <v>0</v>
      </c>
      <c r="B1" s="152"/>
      <c r="C1" s="151" t="s">
        <v>1</v>
      </c>
      <c r="D1" s="152"/>
      <c r="E1" s="151" t="s">
        <v>2</v>
      </c>
      <c r="F1" s="152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3" t="s">
        <v>17</v>
      </c>
      <c r="V1" s="154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6">
        <v>1</v>
      </c>
      <c r="H2" s="67" t="s">
        <v>81</v>
      </c>
      <c r="I2" s="66" t="s">
        <v>75</v>
      </c>
      <c r="J2" s="9" t="s">
        <v>76</v>
      </c>
      <c r="K2" s="11" t="str">
        <f t="shared" ref="K2:K65" ca="1" si="0">IF(C2, TODAY(), "" )</f>
        <v/>
      </c>
      <c r="L2" s="12"/>
      <c r="M2" s="12" t="s">
        <v>77</v>
      </c>
      <c r="N2" s="12" t="s">
        <v>78</v>
      </c>
      <c r="O2" s="9">
        <v>5501.3</v>
      </c>
      <c r="P2" s="9">
        <v>3</v>
      </c>
      <c r="Q2" s="13" t="str">
        <f>VLOOKUP(O2, '[1]لیست محصولات اردیبهشت ۱۴۰۳'!B:C,2,0)</f>
        <v>ورتکس | Vortex</v>
      </c>
      <c r="R2" s="9"/>
      <c r="S2" s="12">
        <f>VLOOKUP(O2, '[1]لیست محصولات اردیبهشت ۱۴۰۳'!B:F,5,0)</f>
        <v>4000</v>
      </c>
      <c r="T2" s="14">
        <f>VLOOKUP(O2, '[1]لیست محصولات اردیبهشت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3</v>
      </c>
      <c r="X2" s="14">
        <f t="shared" ref="X2:X65" si="3">P2*T2</f>
        <v>153600000</v>
      </c>
      <c r="Y2" s="17"/>
      <c r="Z2" s="14">
        <f t="shared" ref="Z2:Z65" si="4">X2-Y2</f>
        <v>153600000</v>
      </c>
      <c r="AA2" s="18" t="s">
        <v>79</v>
      </c>
      <c r="AB2" s="13" t="s">
        <v>70</v>
      </c>
      <c r="AC2" s="19" t="s">
        <v>80</v>
      </c>
      <c r="AD2" s="20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55">
        <v>2</v>
      </c>
      <c r="H3" s="157" t="s">
        <v>74</v>
      </c>
      <c r="I3" s="155" t="s">
        <v>136</v>
      </c>
      <c r="J3" s="132" t="s">
        <v>76</v>
      </c>
      <c r="K3" s="11" t="str">
        <f t="shared" ca="1" si="0"/>
        <v/>
      </c>
      <c r="L3" s="142"/>
      <c r="M3" s="142" t="s">
        <v>77</v>
      </c>
      <c r="N3" s="142" t="s">
        <v>280</v>
      </c>
      <c r="O3" s="9">
        <v>5501.3</v>
      </c>
      <c r="P3" s="9">
        <v>9</v>
      </c>
      <c r="Q3" s="13" t="str">
        <f>VLOOKUP(O3, '[1]لیست محصولات اردیبهشت ۱۴۰۳'!B:C,2,0)</f>
        <v>ورتکس | Vortex</v>
      </c>
      <c r="R3" s="9"/>
      <c r="S3" s="12">
        <f>VLOOKUP(O3, '[1]لیست محصولات اردیبهشت ۱۴۰۳'!B:F,5,0)</f>
        <v>4000</v>
      </c>
      <c r="T3" s="14">
        <f>VLOOKUP(O3, '[1]لیست محصولات اردیبهشت ۱۴۰۳'!B:G,6,0)</f>
        <v>51200000</v>
      </c>
      <c r="U3" s="15"/>
      <c r="V3" s="16">
        <f t="shared" si="1"/>
        <v>0</v>
      </c>
      <c r="W3" s="12">
        <f t="shared" si="2"/>
        <v>9</v>
      </c>
      <c r="X3" s="14">
        <f t="shared" si="3"/>
        <v>460800000</v>
      </c>
      <c r="Y3" s="17"/>
      <c r="Z3" s="14">
        <f t="shared" si="4"/>
        <v>460800000</v>
      </c>
      <c r="AA3" s="140" t="s">
        <v>79</v>
      </c>
      <c r="AB3" s="138" t="s">
        <v>70</v>
      </c>
      <c r="AC3" s="136" t="s">
        <v>80</v>
      </c>
      <c r="AD3" s="134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- کافه بیکری روستار سانا سنتر -  حجتی 09373955769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56"/>
      <c r="H4" s="158"/>
      <c r="I4" s="156"/>
      <c r="J4" s="133"/>
      <c r="K4" s="11" t="str">
        <f t="shared" ca="1" si="0"/>
        <v/>
      </c>
      <c r="L4" s="143"/>
      <c r="M4" s="143"/>
      <c r="N4" s="143"/>
      <c r="O4" s="9">
        <v>5511.3</v>
      </c>
      <c r="P4" s="9">
        <v>5</v>
      </c>
      <c r="Q4" s="13" t="str">
        <f>VLOOKUP(O4, '[1]لیست محصولات اردیبهشت ۱۴۰۳'!B:C,2,0)</f>
        <v>هامبلا | Hambella</v>
      </c>
      <c r="R4" s="9"/>
      <c r="S4" s="12">
        <f>VLOOKUP(O4, '[1]لیست محصولات اردیبهشت ۱۴۰۳'!B:F,5,0)</f>
        <v>4000</v>
      </c>
      <c r="T4" s="14">
        <f>VLOOKUP(O4, '[1]لیست محصولات اردیبهشت ۱۴۰۳'!B:G,6,0)</f>
        <v>69600000</v>
      </c>
      <c r="U4" s="15"/>
      <c r="V4" s="16">
        <f t="shared" si="1"/>
        <v>0</v>
      </c>
      <c r="W4" s="12">
        <f t="shared" si="2"/>
        <v>5</v>
      </c>
      <c r="X4" s="14">
        <f t="shared" si="3"/>
        <v>348000000</v>
      </c>
      <c r="Y4" s="17"/>
      <c r="Z4" s="14">
        <f t="shared" si="4"/>
        <v>348000000</v>
      </c>
      <c r="AA4" s="141"/>
      <c r="AB4" s="139"/>
      <c r="AC4" s="137"/>
      <c r="AD4" s="135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3</v>
      </c>
      <c r="H5" s="10">
        <v>276884253823</v>
      </c>
      <c r="I5" s="25" t="s">
        <v>136</v>
      </c>
      <c r="J5" s="9" t="s">
        <v>76</v>
      </c>
      <c r="K5" s="11" t="str">
        <f t="shared" ca="1" si="0"/>
        <v/>
      </c>
      <c r="L5" s="12" t="s">
        <v>319</v>
      </c>
      <c r="M5" s="12" t="s">
        <v>320</v>
      </c>
      <c r="N5" s="12" t="s">
        <v>321</v>
      </c>
      <c r="O5" s="9">
        <v>5501.3</v>
      </c>
      <c r="P5" s="9">
        <v>1</v>
      </c>
      <c r="Q5" s="13" t="str">
        <f>VLOOKUP(O5, '[1]لیست محصولات اردیبهشت ۱۴۰۳'!B:C,2,0)</f>
        <v>ورتکس | Vortex</v>
      </c>
      <c r="R5" s="9"/>
      <c r="S5" s="12">
        <f>VLOOKUP(O5, '[1]لیست محصولات اردیبهشت ۱۴۰۳'!B:F,5,0)</f>
        <v>4000</v>
      </c>
      <c r="T5" s="14">
        <f>VLOOKUP(O5, '[1]لیست محصولات اردیبهشت ۱۴۰۳'!B:G,6,0)</f>
        <v>51200000</v>
      </c>
      <c r="U5" s="15"/>
      <c r="V5" s="16">
        <f t="shared" si="1"/>
        <v>0</v>
      </c>
      <c r="W5" s="12">
        <f t="shared" si="2"/>
        <v>1</v>
      </c>
      <c r="X5" s="14">
        <f t="shared" si="3"/>
        <v>51200000</v>
      </c>
      <c r="Y5" s="17"/>
      <c r="Z5" s="14">
        <f t="shared" si="4"/>
        <v>51200000</v>
      </c>
      <c r="AA5" s="18" t="s">
        <v>277</v>
      </c>
      <c r="AB5" s="13" t="s">
        <v>322</v>
      </c>
      <c r="AC5" s="19" t="s">
        <v>323</v>
      </c>
      <c r="AD5" s="20"/>
      <c r="AE5" s="19"/>
      <c r="AF5" s="21"/>
      <c r="AG5" s="22" t="str">
        <f t="shared" si="5"/>
        <v>TRUE</v>
      </c>
      <c r="AH5" s="23" t="str">
        <f t="shared" si="6"/>
        <v>ارومیه خیابان درستکار روبروی اکبر جوجه غذای اماده قابلمه کافه بابون - رعنا آزادبخت 09036383804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276902886281</v>
      </c>
      <c r="I6" s="25" t="s">
        <v>136</v>
      </c>
      <c r="J6" s="9"/>
      <c r="K6" s="11" t="str">
        <f t="shared" ca="1" si="0"/>
        <v/>
      </c>
      <c r="L6" s="12" t="s">
        <v>324</v>
      </c>
      <c r="M6" s="12" t="s">
        <v>325</v>
      </c>
      <c r="N6" s="12"/>
      <c r="O6" s="9">
        <v>3326.1</v>
      </c>
      <c r="P6" s="9">
        <v>2</v>
      </c>
      <c r="Q6" s="13" t="str">
        <f>VLOOKUP(O6, '[1]لیست محصولات اردیبهشت ۱۴۰۳'!B:C,2,0)</f>
        <v>میاگروس | Milagros</v>
      </c>
      <c r="R6" s="9" t="s">
        <v>326</v>
      </c>
      <c r="S6" s="12">
        <f>VLOOKUP(O6, '[1]لیست محصولات اردیبهشت ۱۴۰۳'!B:F,5,0)</f>
        <v>150</v>
      </c>
      <c r="T6" s="14">
        <f>VLOOKUP(O6, '[1]لیست محصولات اردیبهشت ۱۴۰۳'!B:G,6,0)</f>
        <v>3750000</v>
      </c>
      <c r="U6" s="15"/>
      <c r="V6" s="16">
        <f t="shared" si="1"/>
        <v>0</v>
      </c>
      <c r="W6" s="12">
        <f t="shared" si="2"/>
        <v>2</v>
      </c>
      <c r="X6" s="14">
        <f t="shared" si="3"/>
        <v>7500000</v>
      </c>
      <c r="Y6" s="17"/>
      <c r="Z6" s="14">
        <f t="shared" si="4"/>
        <v>7500000</v>
      </c>
      <c r="AA6" s="18" t="s">
        <v>79</v>
      </c>
      <c r="AB6" s="13" t="s">
        <v>327</v>
      </c>
      <c r="AC6" s="19" t="s">
        <v>328</v>
      </c>
      <c r="AD6" s="20" t="s">
        <v>99</v>
      </c>
      <c r="AE6" s="68" t="s">
        <v>329</v>
      </c>
      <c r="AF6" s="21"/>
      <c r="AG6" s="22" t="str">
        <f t="shared" si="5"/>
        <v>TRUE</v>
      </c>
      <c r="AH6" s="23" t="str">
        <f t="shared" si="6"/>
        <v>تهران سعادت اباد هتل اسپیناس پالاس .لابی هتل.فروشگاه هاکوپیان  - ابوذر شاد 09901221395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32">
        <v>5</v>
      </c>
      <c r="H7" s="130">
        <v>276905917332</v>
      </c>
      <c r="I7" s="132" t="s">
        <v>136</v>
      </c>
      <c r="J7" s="132"/>
      <c r="K7" s="11" t="str">
        <f t="shared" ca="1" si="0"/>
        <v/>
      </c>
      <c r="L7" s="142" t="s">
        <v>137</v>
      </c>
      <c r="M7" s="142" t="s">
        <v>330</v>
      </c>
      <c r="N7" s="142" t="s">
        <v>331</v>
      </c>
      <c r="O7" s="9">
        <v>5501.3</v>
      </c>
      <c r="P7" s="9">
        <v>1</v>
      </c>
      <c r="Q7" s="13" t="str">
        <f>VLOOKUP(O7, '[1]لیست محصولات اردیبهشت ۱۴۰۳'!B:C,2,0)</f>
        <v>ورتکس | Vortex</v>
      </c>
      <c r="R7" s="9"/>
      <c r="S7" s="12">
        <f>VLOOKUP(O7, '[1]لیست محصولات اردیبهشت ۱۴۰۳'!B:F,5,0)</f>
        <v>4000</v>
      </c>
      <c r="T7" s="14">
        <f>VLOOKUP(O7, '[1]لیست محصولات اردیبهشت ۱۴۰۳'!B:G,6,0)</f>
        <v>51200000</v>
      </c>
      <c r="U7" s="26"/>
      <c r="V7" s="16">
        <f t="shared" si="1"/>
        <v>0</v>
      </c>
      <c r="W7" s="12">
        <f t="shared" si="2"/>
        <v>1</v>
      </c>
      <c r="X7" s="14">
        <f t="shared" si="3"/>
        <v>51200000</v>
      </c>
      <c r="Y7" s="17"/>
      <c r="Z7" s="14">
        <f t="shared" si="4"/>
        <v>51200000</v>
      </c>
      <c r="AA7" s="140" t="s">
        <v>115</v>
      </c>
      <c r="AB7" s="138" t="s">
        <v>332</v>
      </c>
      <c r="AC7" s="136" t="s">
        <v>333</v>
      </c>
      <c r="AD7" s="134"/>
      <c r="AE7" s="19"/>
      <c r="AF7" s="21"/>
      <c r="AG7" s="22" t="str">
        <f t="shared" si="5"/>
        <v>TRUE</v>
      </c>
      <c r="AH7" s="23" t="str">
        <f t="shared" si="6"/>
        <v>زنجان محله کوچه مشکی-میدان رسل-خیابان امامت-خیابان ۱۴متری قائم-روبروی سالن کشتی قائم کافه بن سین - امیرحسین شامی 09395972565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33"/>
      <c r="H8" s="131"/>
      <c r="I8" s="133"/>
      <c r="J8" s="133"/>
      <c r="K8" s="11" t="str">
        <f t="shared" ca="1" si="0"/>
        <v/>
      </c>
      <c r="L8" s="143"/>
      <c r="M8" s="143"/>
      <c r="N8" s="143"/>
      <c r="O8" s="9">
        <v>5522.2</v>
      </c>
      <c r="P8" s="9">
        <v>1</v>
      </c>
      <c r="Q8" s="13" t="str">
        <f>VLOOKUP(O8, '[1]لیست محصولات اردیبهشت ۱۴۰۳'!B:C,2,0)</f>
        <v>تامارا | Tamara</v>
      </c>
      <c r="R8" s="9"/>
      <c r="S8" s="12">
        <f>VLOOKUP(O8, '[1]لیست محصولات اردیبهشت ۱۴۰۳'!B:F,5,0)</f>
        <v>750</v>
      </c>
      <c r="T8" s="14">
        <f>VLOOKUP(O8, '[1]لیست محصولات اردیبهشت ۱۴۰۳'!B:G,6,0)</f>
        <v>12450000</v>
      </c>
      <c r="U8" s="15"/>
      <c r="V8" s="16">
        <f t="shared" si="1"/>
        <v>0</v>
      </c>
      <c r="W8" s="12">
        <f t="shared" si="2"/>
        <v>1</v>
      </c>
      <c r="X8" s="14">
        <f t="shared" si="3"/>
        <v>12450000</v>
      </c>
      <c r="Y8" s="17"/>
      <c r="Z8" s="14">
        <f t="shared" si="4"/>
        <v>12450000</v>
      </c>
      <c r="AA8" s="141"/>
      <c r="AB8" s="139"/>
      <c r="AC8" s="137"/>
      <c r="AD8" s="135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32">
        <v>6</v>
      </c>
      <c r="H9" s="130">
        <v>913466</v>
      </c>
      <c r="I9" s="132" t="s">
        <v>136</v>
      </c>
      <c r="J9" s="132"/>
      <c r="K9" s="11" t="str">
        <f t="shared" ca="1" si="0"/>
        <v/>
      </c>
      <c r="L9" s="142" t="s">
        <v>334</v>
      </c>
      <c r="M9" s="142" t="s">
        <v>335</v>
      </c>
      <c r="N9" s="142" t="s">
        <v>336</v>
      </c>
      <c r="O9" s="9">
        <v>3326.1</v>
      </c>
      <c r="P9" s="9">
        <v>2</v>
      </c>
      <c r="Q9" s="13" t="str">
        <f>VLOOKUP(O9, '[1]لیست محصولات اردیبهشت ۱۴۰۳'!B:C,2,0)</f>
        <v>میاگروس | Milagros</v>
      </c>
      <c r="R9" s="9"/>
      <c r="S9" s="12">
        <f>VLOOKUP(O9, '[1]لیست محصولات اردیبهشت ۱۴۰۳'!B:F,5,0)</f>
        <v>150</v>
      </c>
      <c r="T9" s="14">
        <f>VLOOKUP(O9, '[1]لیست محصولات اردیبهشت ۱۴۰۳'!B:G,6,0)</f>
        <v>3750000</v>
      </c>
      <c r="U9" s="15"/>
      <c r="V9" s="16">
        <f t="shared" si="1"/>
        <v>0</v>
      </c>
      <c r="W9" s="12">
        <f t="shared" si="2"/>
        <v>2</v>
      </c>
      <c r="X9" s="14">
        <f t="shared" si="3"/>
        <v>7500000</v>
      </c>
      <c r="Y9" s="17"/>
      <c r="Z9" s="14">
        <f t="shared" si="4"/>
        <v>7500000</v>
      </c>
      <c r="AA9" s="140" t="s">
        <v>337</v>
      </c>
      <c r="AB9" s="138" t="s">
        <v>338</v>
      </c>
      <c r="AC9" s="136" t="s">
        <v>339</v>
      </c>
      <c r="AD9" s="134"/>
      <c r="AE9" s="19"/>
      <c r="AF9" s="21"/>
      <c r="AG9" s="22" t="str">
        <f t="shared" si="5"/>
        <v>TRUE</v>
      </c>
      <c r="AH9" s="23" t="str">
        <f t="shared" si="6"/>
        <v>کرمانشاه خیابان نوبهار جنب بانک صادرات بستنی نوبهار - کهیار فرامرزی 09188315883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33"/>
      <c r="H10" s="131"/>
      <c r="I10" s="133"/>
      <c r="J10" s="133"/>
      <c r="K10" s="11" t="str">
        <f t="shared" ca="1" si="0"/>
        <v/>
      </c>
      <c r="L10" s="143"/>
      <c r="M10" s="143"/>
      <c r="N10" s="143"/>
      <c r="O10" s="9">
        <v>5523.1</v>
      </c>
      <c r="P10" s="9">
        <v>10</v>
      </c>
      <c r="Q10" s="13" t="str">
        <f>VLOOKUP(O10, '[1]لیست محصولات اردیبهشت ۱۴۰۳'!B:C,2,0)</f>
        <v>کوتوا دانکن | Kotowa Duncan</v>
      </c>
      <c r="R10" s="9"/>
      <c r="S10" s="12">
        <f>VLOOKUP(O10, '[1]لیست محصولات اردیبهشت ۱۴۰۳'!B:F,5,0)</f>
        <v>150</v>
      </c>
      <c r="T10" s="14">
        <f>VLOOKUP(O10, '[1]لیست محصولات اردیبهشت ۱۴۰۳'!B:G,6,0)</f>
        <v>2550000</v>
      </c>
      <c r="U10" s="15"/>
      <c r="V10" s="16">
        <f t="shared" si="1"/>
        <v>0</v>
      </c>
      <c r="W10" s="12">
        <f t="shared" si="2"/>
        <v>10</v>
      </c>
      <c r="X10" s="14">
        <f t="shared" si="3"/>
        <v>25500000</v>
      </c>
      <c r="Y10" s="17"/>
      <c r="Z10" s="14">
        <f t="shared" si="4"/>
        <v>25500000</v>
      </c>
      <c r="AA10" s="141"/>
      <c r="AB10" s="139"/>
      <c r="AC10" s="137"/>
      <c r="AD10" s="135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66">
        <v>7</v>
      </c>
      <c r="H11" s="67" t="s">
        <v>135</v>
      </c>
      <c r="I11" s="66" t="s">
        <v>136</v>
      </c>
      <c r="J11" s="9" t="s">
        <v>76</v>
      </c>
      <c r="K11" s="11" t="str">
        <f t="shared" ca="1" si="0"/>
        <v/>
      </c>
      <c r="L11" s="12" t="s">
        <v>340</v>
      </c>
      <c r="M11" s="12" t="s">
        <v>341</v>
      </c>
      <c r="N11" s="12" t="s">
        <v>342</v>
      </c>
      <c r="O11" s="9">
        <v>5511.2</v>
      </c>
      <c r="P11" s="9">
        <v>2</v>
      </c>
      <c r="Q11" s="13" t="str">
        <f>VLOOKUP(O11, '[1]لیست محصولات اردیبهشت ۱۴۰۳'!B:C,2,0)</f>
        <v>هامبلا | Hambella</v>
      </c>
      <c r="R11" s="9"/>
      <c r="S11" s="12">
        <f>VLOOKUP(O11, '[1]لیست محصولات اردیبهشت ۱۴۰۳'!B:F,5,0)</f>
        <v>750</v>
      </c>
      <c r="T11" s="14">
        <f>VLOOKUP(O11, '[1]لیست محصولات اردیبهشت ۱۴۰۳'!B:G,6,0)</f>
        <v>13350000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26700000</v>
      </c>
      <c r="Y11" s="17"/>
      <c r="Z11" s="14">
        <f t="shared" si="4"/>
        <v>26700000</v>
      </c>
      <c r="AA11" s="18" t="s">
        <v>345</v>
      </c>
      <c r="AB11" s="13" t="s">
        <v>343</v>
      </c>
      <c r="AC11" s="19" t="s">
        <v>344</v>
      </c>
      <c r="AD11" s="20"/>
      <c r="AE11" s="19"/>
      <c r="AF11" s="21"/>
      <c r="AG11" s="22" t="str">
        <f t="shared" si="5"/>
        <v>TRUE</v>
      </c>
      <c r="AH11" s="23" t="str">
        <f t="shared" si="6"/>
        <v>لاهیجان روستاي سوستان بالا خيابان مسجد كوچه مهر پنج (خانه روستايي است و پلاك ندارد) کافه اُپِل - نیما نظری 09393741144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32">
        <v>8</v>
      </c>
      <c r="H12" s="130">
        <v>276923926216</v>
      </c>
      <c r="I12" s="132" t="s">
        <v>136</v>
      </c>
      <c r="J12" s="132"/>
      <c r="K12" s="11" t="str">
        <f t="shared" ca="1" si="0"/>
        <v/>
      </c>
      <c r="L12" s="142" t="s">
        <v>346</v>
      </c>
      <c r="M12" s="142" t="s">
        <v>347</v>
      </c>
      <c r="N12" s="142"/>
      <c r="O12" s="9">
        <v>5523.2</v>
      </c>
      <c r="P12" s="9">
        <v>1</v>
      </c>
      <c r="Q12" s="13" t="str">
        <f>VLOOKUP(O12, '[1]لیست محصولات اردیبهشت ۱۴۰۳'!B:C,2,0)</f>
        <v>کوتوا دانکن | Kotowa Duncan</v>
      </c>
      <c r="R12" s="9"/>
      <c r="S12" s="12">
        <f>VLOOKUP(O12, '[1]لیست محصولات اردیبهشت ۱۴۰۳'!B:F,5,0)</f>
        <v>750</v>
      </c>
      <c r="T12" s="14">
        <f>VLOOKUP(O12, '[1]لیست محصولات اردیبهشت ۱۴۰۳'!B:G,6,0)</f>
        <v>12150000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12150000</v>
      </c>
      <c r="Y12" s="17"/>
      <c r="Z12" s="14">
        <f t="shared" si="4"/>
        <v>12150000</v>
      </c>
      <c r="AA12" s="140" t="s">
        <v>348</v>
      </c>
      <c r="AB12" s="138" t="s">
        <v>349</v>
      </c>
      <c r="AC12" s="136" t="s">
        <v>350</v>
      </c>
      <c r="AD12" s="134"/>
      <c r="AE12" s="19"/>
      <c r="AF12" s="21"/>
      <c r="AG12" s="22" t="str">
        <f t="shared" si="5"/>
        <v>TRUE</v>
      </c>
      <c r="AH12" s="23" t="str">
        <f t="shared" si="6"/>
        <v>شیراز خ شهید مختاری ، خ فرزانگان ، خ دانشپژوهان ، ساختمان سبلان ، واحد ۱۲  - پوریا فرمانیه 09171059574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44"/>
      <c r="H13" s="150"/>
      <c r="I13" s="144"/>
      <c r="J13" s="144"/>
      <c r="K13" s="11" t="str">
        <f t="shared" ca="1" si="0"/>
        <v/>
      </c>
      <c r="L13" s="145"/>
      <c r="M13" s="145"/>
      <c r="N13" s="145"/>
      <c r="O13" s="9">
        <v>5522.2</v>
      </c>
      <c r="P13" s="9">
        <v>1</v>
      </c>
      <c r="Q13" s="13" t="str">
        <f>VLOOKUP(O13, '[1]لیست محصولات اردیبهشت ۱۴۰۳'!B:C,2,0)</f>
        <v>تامارا | Tamara</v>
      </c>
      <c r="R13" s="9"/>
      <c r="S13" s="12">
        <f>VLOOKUP(O13, '[1]لیست محصولات اردیبهشت ۱۴۰۳'!B:F,5,0)</f>
        <v>750</v>
      </c>
      <c r="T13" s="14">
        <f>VLOOKUP(O13, '[1]لیست محصولات اردیبهشت ۱۴۰۳'!B:G,6,0)</f>
        <v>12450000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12450000</v>
      </c>
      <c r="Y13" s="17"/>
      <c r="Z13" s="14">
        <f t="shared" si="4"/>
        <v>12450000</v>
      </c>
      <c r="AA13" s="149"/>
      <c r="AB13" s="148"/>
      <c r="AC13" s="147"/>
      <c r="AD13" s="146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44"/>
      <c r="H14" s="150"/>
      <c r="I14" s="144"/>
      <c r="J14" s="144"/>
      <c r="K14" s="11" t="str">
        <f t="shared" ca="1" si="0"/>
        <v/>
      </c>
      <c r="L14" s="145"/>
      <c r="M14" s="145"/>
      <c r="N14" s="145"/>
      <c r="O14" s="9">
        <v>5511.2</v>
      </c>
      <c r="P14" s="9">
        <v>2</v>
      </c>
      <c r="Q14" s="13" t="str">
        <f>VLOOKUP(O14, '[1]لیست محصولات اردیبهشت ۱۴۰۳'!B:C,2,0)</f>
        <v>هامبلا | Hambella</v>
      </c>
      <c r="R14" s="9"/>
      <c r="S14" s="12">
        <f>VLOOKUP(O14, '[1]لیست محصولات اردیبهشت ۱۴۰۳'!B:F,5,0)</f>
        <v>750</v>
      </c>
      <c r="T14" s="14">
        <f>VLOOKUP(O14, '[1]لیست محصولات اردیبهشت ۱۴۰۳'!B:G,6,0)</f>
        <v>13350000</v>
      </c>
      <c r="U14" s="15"/>
      <c r="V14" s="16">
        <f t="shared" si="1"/>
        <v>0</v>
      </c>
      <c r="W14" s="12">
        <f t="shared" si="2"/>
        <v>2</v>
      </c>
      <c r="X14" s="14">
        <f t="shared" si="3"/>
        <v>26700000</v>
      </c>
      <c r="Y14" s="17"/>
      <c r="Z14" s="14">
        <f t="shared" si="4"/>
        <v>26700000</v>
      </c>
      <c r="AA14" s="149"/>
      <c r="AB14" s="148"/>
      <c r="AC14" s="147"/>
      <c r="AD14" s="146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33"/>
      <c r="H15" s="131"/>
      <c r="I15" s="133"/>
      <c r="J15" s="133"/>
      <c r="K15" s="11" t="str">
        <f t="shared" ca="1" si="0"/>
        <v/>
      </c>
      <c r="L15" s="143"/>
      <c r="M15" s="143"/>
      <c r="N15" s="143"/>
      <c r="O15" s="9">
        <v>5501.2</v>
      </c>
      <c r="P15" s="9">
        <v>1</v>
      </c>
      <c r="Q15" s="13" t="str">
        <f>VLOOKUP(O15, '[1]لیست محصولات اردیبهشت ۱۴۰۳'!B:C,2,0)</f>
        <v>ورتکس | Vortex</v>
      </c>
      <c r="R15" s="9" t="s">
        <v>102</v>
      </c>
      <c r="S15" s="12">
        <f>VLOOKUP(O15, '[1]لیست محصولات اردیبهشت ۱۴۰۳'!B:F,5,0)</f>
        <v>750</v>
      </c>
      <c r="T15" s="14">
        <f>VLOOKUP(O15, '[1]لیست محصولات اردیبهشت ۱۴۰۳'!B:G,6,0)</f>
        <v>9900000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9900000</v>
      </c>
      <c r="Y15" s="17"/>
      <c r="Z15" s="14">
        <f t="shared" si="4"/>
        <v>9900000</v>
      </c>
      <c r="AA15" s="141"/>
      <c r="AB15" s="139"/>
      <c r="AC15" s="137"/>
      <c r="AD15" s="135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32">
        <v>9</v>
      </c>
      <c r="H16" s="130">
        <v>276924335349</v>
      </c>
      <c r="I16" s="132" t="s">
        <v>136</v>
      </c>
      <c r="J16" s="132"/>
      <c r="K16" s="11" t="str">
        <f t="shared" ca="1" si="0"/>
        <v/>
      </c>
      <c r="L16" s="142" t="s">
        <v>351</v>
      </c>
      <c r="M16" s="142" t="s">
        <v>352</v>
      </c>
      <c r="N16" s="142"/>
      <c r="O16" s="9">
        <v>3326.1</v>
      </c>
      <c r="P16" s="9">
        <v>2</v>
      </c>
      <c r="Q16" s="13" t="str">
        <f>VLOOKUP(O16, '[1]لیست محصولات اردیبهشت ۱۴۰۳'!B:C,2,0)</f>
        <v>میاگروس | Milagros</v>
      </c>
      <c r="R16" s="9"/>
      <c r="S16" s="12">
        <f>VLOOKUP(O16, '[1]لیست محصولات اردیبهشت ۱۴۰۳'!B:F,5,0)</f>
        <v>150</v>
      </c>
      <c r="T16" s="14">
        <f>VLOOKUP(O16, '[1]لیست محصولات اردیبهشت ۱۴۰۳'!B:G,6,0)</f>
        <v>3750000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7500000</v>
      </c>
      <c r="Y16" s="17"/>
      <c r="Z16" s="14">
        <f t="shared" si="4"/>
        <v>7500000</v>
      </c>
      <c r="AA16" s="140" t="s">
        <v>212</v>
      </c>
      <c r="AB16" s="138" t="s">
        <v>353</v>
      </c>
      <c r="AC16" s="136" t="s">
        <v>354</v>
      </c>
      <c r="AD16" s="134"/>
      <c r="AE16" s="19"/>
      <c r="AF16" s="21"/>
      <c r="AG16" s="22" t="str">
        <f t="shared" si="5"/>
        <v>TRUE</v>
      </c>
      <c r="AH16" s="23" t="str">
        <f t="shared" si="6"/>
        <v>قم دور شهر 30 پلاك 109 طبقه سوم  - حسن القصاب 09038487821</v>
      </c>
    </row>
    <row r="17" spans="1:34" ht="22.35" customHeight="1">
      <c r="A17" s="7"/>
      <c r="B17" s="7"/>
      <c r="C17" s="7"/>
      <c r="D17" s="7"/>
      <c r="E17" s="7"/>
      <c r="F17" s="8"/>
      <c r="G17" s="144"/>
      <c r="H17" s="150"/>
      <c r="I17" s="144"/>
      <c r="J17" s="144"/>
      <c r="K17" s="11" t="str">
        <f t="shared" ca="1" si="0"/>
        <v/>
      </c>
      <c r="L17" s="145"/>
      <c r="M17" s="145"/>
      <c r="N17" s="145"/>
      <c r="O17" s="9">
        <v>3325.1</v>
      </c>
      <c r="P17" s="9">
        <v>3</v>
      </c>
      <c r="Q17" s="13" t="str">
        <f>VLOOKUP(O17, '[1]لیست محصولات اردیبهشت ۱۴۰۳'!B:C,2,0)</f>
        <v>راتناگری | Ratnagiri</v>
      </c>
      <c r="R17" s="9"/>
      <c r="S17" s="12">
        <f>VLOOKUP(O17, '[1]لیست محصولات اردیبهشت ۱۴۰۳'!B:F,5,0)</f>
        <v>150</v>
      </c>
      <c r="T17" s="14">
        <f>VLOOKUP(O17, '[1]لیست محصولات اردیبهشت ۱۴۰۳'!B:G,6,0)</f>
        <v>4250000</v>
      </c>
      <c r="U17" s="15"/>
      <c r="V17" s="16">
        <f t="shared" si="1"/>
        <v>0</v>
      </c>
      <c r="W17" s="12">
        <f t="shared" si="2"/>
        <v>3</v>
      </c>
      <c r="X17" s="14">
        <f t="shared" si="3"/>
        <v>12750000</v>
      </c>
      <c r="Y17" s="17"/>
      <c r="Z17" s="14">
        <f t="shared" si="4"/>
        <v>12750000</v>
      </c>
      <c r="AA17" s="149"/>
      <c r="AB17" s="148"/>
      <c r="AC17" s="147"/>
      <c r="AD17" s="146"/>
      <c r="AE17" s="19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44"/>
      <c r="H18" s="150"/>
      <c r="I18" s="144"/>
      <c r="J18" s="144"/>
      <c r="K18" s="11" t="str">
        <f t="shared" ca="1" si="0"/>
        <v/>
      </c>
      <c r="L18" s="145"/>
      <c r="M18" s="145"/>
      <c r="N18" s="145"/>
      <c r="O18" s="9">
        <v>5522.1</v>
      </c>
      <c r="P18" s="9">
        <v>3</v>
      </c>
      <c r="Q18" s="13" t="str">
        <f>VLOOKUP(O18, '[1]لیست محصولات اردیبهشت ۱۴۰۳'!B:C,2,0)</f>
        <v>تامارا | Tamara</v>
      </c>
      <c r="R18" s="9"/>
      <c r="S18" s="12">
        <f>VLOOKUP(O18, '[1]لیست محصولات اردیبهشت ۱۴۰۳'!B:F,5,0)</f>
        <v>150</v>
      </c>
      <c r="T18" s="14">
        <f>VLOOKUP(O18, '[1]لیست محصولات اردیبهشت ۱۴۰۳'!B:G,6,0)</f>
        <v>2600000</v>
      </c>
      <c r="U18" s="15"/>
      <c r="V18" s="16">
        <f t="shared" si="1"/>
        <v>0</v>
      </c>
      <c r="W18" s="12">
        <f t="shared" si="2"/>
        <v>3</v>
      </c>
      <c r="X18" s="14">
        <f t="shared" si="3"/>
        <v>7800000</v>
      </c>
      <c r="Y18" s="17"/>
      <c r="Z18" s="14">
        <f t="shared" si="4"/>
        <v>7800000</v>
      </c>
      <c r="AA18" s="149"/>
      <c r="AB18" s="148"/>
      <c r="AC18" s="147"/>
      <c r="AD18" s="146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33"/>
      <c r="H19" s="131"/>
      <c r="I19" s="133"/>
      <c r="J19" s="133"/>
      <c r="K19" s="11" t="str">
        <f t="shared" ca="1" si="0"/>
        <v/>
      </c>
      <c r="L19" s="143"/>
      <c r="M19" s="143"/>
      <c r="N19" s="143"/>
      <c r="O19" s="9">
        <v>5511.1</v>
      </c>
      <c r="P19" s="9">
        <v>4</v>
      </c>
      <c r="Q19" s="13" t="str">
        <f>VLOOKUP(O19, '[1]لیست محصولات اردیبهشت ۱۴۰۳'!B:C,2,0)</f>
        <v>هامبلا | Hambella</v>
      </c>
      <c r="R19" s="9"/>
      <c r="S19" s="12">
        <f>VLOOKUP(O19, '[1]لیست محصولات اردیبهشت ۱۴۰۳'!B:F,5,0)</f>
        <v>150</v>
      </c>
      <c r="T19" s="14">
        <f>VLOOKUP(O19, '[1]لیست محصولات اردیبهشت ۱۴۰۳'!B:G,6,0)</f>
        <v>2800000</v>
      </c>
      <c r="U19" s="15"/>
      <c r="V19" s="16">
        <f t="shared" si="1"/>
        <v>0</v>
      </c>
      <c r="W19" s="12">
        <f t="shared" si="2"/>
        <v>4</v>
      </c>
      <c r="X19" s="14">
        <f t="shared" si="3"/>
        <v>11200000</v>
      </c>
      <c r="Y19" s="17"/>
      <c r="Z19" s="14">
        <f t="shared" si="4"/>
        <v>11200000</v>
      </c>
      <c r="AA19" s="141"/>
      <c r="AB19" s="139"/>
      <c r="AC19" s="137"/>
      <c r="AD19" s="135"/>
      <c r="AE19" s="19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32">
        <v>10</v>
      </c>
      <c r="H20" s="130">
        <v>276924653348</v>
      </c>
      <c r="I20" s="132" t="s">
        <v>136</v>
      </c>
      <c r="J20" s="132"/>
      <c r="K20" s="11" t="str">
        <f t="shared" ca="1" si="0"/>
        <v/>
      </c>
      <c r="L20" s="142" t="s">
        <v>355</v>
      </c>
      <c r="M20" s="142" t="s">
        <v>356</v>
      </c>
      <c r="N20" s="142"/>
      <c r="O20" s="9">
        <v>5523.1</v>
      </c>
      <c r="P20" s="9">
        <v>1</v>
      </c>
      <c r="Q20" s="13" t="str">
        <f>VLOOKUP(O20, '[1]لیست محصولات اردیبهشت ۱۴۰۳'!B:C,2,0)</f>
        <v>کوتوا دانکن | Kotowa Duncan</v>
      </c>
      <c r="R20" s="9"/>
      <c r="S20" s="12">
        <f>VLOOKUP(O20, '[1]لیست محصولات اردیبهشت ۱۴۰۳'!B:F,5,0)</f>
        <v>150</v>
      </c>
      <c r="T20" s="14">
        <f>VLOOKUP(O20, '[1]لیست محصولات اردیبهشت ۱۴۰۳'!B:G,6,0)</f>
        <v>2550000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2550000</v>
      </c>
      <c r="Y20" s="17"/>
      <c r="Z20" s="14">
        <f t="shared" si="4"/>
        <v>2550000</v>
      </c>
      <c r="AA20" s="140" t="s">
        <v>109</v>
      </c>
      <c r="AB20" s="138" t="s">
        <v>357</v>
      </c>
      <c r="AC20" s="136" t="s">
        <v>358</v>
      </c>
      <c r="AD20" s="134"/>
      <c r="AE20" s="19"/>
      <c r="AF20" s="21"/>
      <c r="AG20" s="22" t="str">
        <f t="shared" si="5"/>
        <v>TRUE</v>
      </c>
      <c r="AH20" s="23" t="str">
        <f t="shared" si="6"/>
        <v>اصفهان دانشگاه صنعتي اصفهان  - ارشیا سلیمی 09175270378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44"/>
      <c r="H21" s="150"/>
      <c r="I21" s="144"/>
      <c r="J21" s="144"/>
      <c r="K21" s="11" t="str">
        <f t="shared" ca="1" si="0"/>
        <v/>
      </c>
      <c r="L21" s="145"/>
      <c r="M21" s="145"/>
      <c r="N21" s="145"/>
      <c r="O21" s="9">
        <v>5511.1</v>
      </c>
      <c r="P21" s="9">
        <v>1</v>
      </c>
      <c r="Q21" s="13" t="str">
        <f>VLOOKUP(O21, '[1]لیست محصولات اردیبهشت ۱۴۰۳'!B:C,2,0)</f>
        <v>هامبلا | Hambella</v>
      </c>
      <c r="R21" s="9"/>
      <c r="S21" s="12">
        <f>VLOOKUP(O21, '[1]لیست محصولات اردیبهشت ۱۴۰۳'!B:F,5,0)</f>
        <v>150</v>
      </c>
      <c r="T21" s="14">
        <f>VLOOKUP(O21, '[1]لیست محصولات اردیبهشت ۱۴۰۳'!B:G,6,0)</f>
        <v>2800000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2800000</v>
      </c>
      <c r="Y21" s="17"/>
      <c r="Z21" s="14">
        <f t="shared" si="4"/>
        <v>2800000</v>
      </c>
      <c r="AA21" s="149"/>
      <c r="AB21" s="148"/>
      <c r="AC21" s="147"/>
      <c r="AD21" s="146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33"/>
      <c r="H22" s="131"/>
      <c r="I22" s="133"/>
      <c r="J22" s="133"/>
      <c r="K22" s="11" t="str">
        <f t="shared" ca="1" si="0"/>
        <v/>
      </c>
      <c r="L22" s="143"/>
      <c r="M22" s="143"/>
      <c r="N22" s="143"/>
      <c r="O22" s="9">
        <v>5501.1</v>
      </c>
      <c r="P22" s="9">
        <v>1</v>
      </c>
      <c r="Q22" s="13" t="str">
        <f>VLOOKUP(O22, '[1]لیست محصولات اردیبهشت ۱۴۰۳'!B:C,2,0)</f>
        <v>ورتکس | Vortex</v>
      </c>
      <c r="R22" s="9"/>
      <c r="S22" s="12">
        <f>VLOOKUP(O22, '[1]لیست محصولات اردیبهشت ۱۴۰۳'!B:F,5,0)</f>
        <v>150</v>
      </c>
      <c r="T22" s="14">
        <f>VLOOKUP(O22, '[1]لیست محصولات اردیبهشت ۱۴۰۳'!B:G,6,0)</f>
        <v>2100000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2100000</v>
      </c>
      <c r="Y22" s="17"/>
      <c r="Z22" s="14">
        <f t="shared" si="4"/>
        <v>2100000</v>
      </c>
      <c r="AA22" s="141"/>
      <c r="AB22" s="139"/>
      <c r="AC22" s="137"/>
      <c r="AD22" s="135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>
        <v>11</v>
      </c>
      <c r="H23" s="10">
        <v>276928341578</v>
      </c>
      <c r="I23" s="9" t="s">
        <v>136</v>
      </c>
      <c r="J23" s="9" t="s">
        <v>76</v>
      </c>
      <c r="K23" s="11" t="str">
        <f t="shared" ca="1" si="0"/>
        <v/>
      </c>
      <c r="L23" s="12" t="s">
        <v>359</v>
      </c>
      <c r="M23" s="12" t="s">
        <v>360</v>
      </c>
      <c r="N23" s="12" t="s">
        <v>361</v>
      </c>
      <c r="O23" s="9">
        <v>5501.3</v>
      </c>
      <c r="P23" s="9">
        <v>1</v>
      </c>
      <c r="Q23" s="13" t="str">
        <f>VLOOKUP(O23, '[1]لیست محصولات اردیبهشت ۱۴۰۳'!B:C,2,0)</f>
        <v>ورتکس | Vortex</v>
      </c>
      <c r="R23" s="9"/>
      <c r="S23" s="12">
        <f>VLOOKUP(O23, '[1]لیست محصولات اردیبهشت ۱۴۰۳'!B:F,5,0)</f>
        <v>4000</v>
      </c>
      <c r="T23" s="14">
        <f>VLOOKUP(O23, '[1]لیست محصولات اردیبهشت ۱۴۰۳'!B:G,6,0)</f>
        <v>51200000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51200000</v>
      </c>
      <c r="Y23" s="17"/>
      <c r="Z23" s="14">
        <f t="shared" si="4"/>
        <v>51200000</v>
      </c>
      <c r="AA23" s="18" t="s">
        <v>79</v>
      </c>
      <c r="AB23" s="13" t="s">
        <v>362</v>
      </c>
      <c r="AC23" s="19" t="s">
        <v>363</v>
      </c>
      <c r="AD23" s="20" t="s">
        <v>99</v>
      </c>
      <c r="AE23" s="19"/>
      <c r="AF23" s="21"/>
      <c r="AG23" s="22" t="str">
        <f t="shared" si="5"/>
        <v>TRUE</v>
      </c>
      <c r="AH23" s="23" t="str">
        <f t="shared" si="6"/>
        <v>تهران شهرک غرب خیابان دادمان خیابان محمدرضا شجریان نبش کوچه نوزدهم کافه نامبرتن - علیرضا منصوریان 09125445524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12</v>
      </c>
      <c r="H24" s="10">
        <v>153907</v>
      </c>
      <c r="I24" s="9" t="s">
        <v>136</v>
      </c>
      <c r="J24" s="9"/>
      <c r="K24" s="11" t="str">
        <f t="shared" ca="1" si="0"/>
        <v/>
      </c>
      <c r="L24" s="12" t="s">
        <v>84</v>
      </c>
      <c r="M24" s="12" t="s">
        <v>364</v>
      </c>
      <c r="N24" s="12" t="s">
        <v>365</v>
      </c>
      <c r="O24" s="9">
        <v>5501.2</v>
      </c>
      <c r="P24" s="9">
        <v>3</v>
      </c>
      <c r="Q24" s="13" t="str">
        <f>VLOOKUP(O24, '[1]لیست محصولات اردیبهشت ۱۴۰۳'!B:C,2,0)</f>
        <v>ورتکس | Vortex</v>
      </c>
      <c r="R24" s="9"/>
      <c r="S24" s="12">
        <f>VLOOKUP(O24, '[1]لیست محصولات اردیبهشت ۱۴۰۳'!B:F,5,0)</f>
        <v>750</v>
      </c>
      <c r="T24" s="14">
        <f>VLOOKUP(O24, '[1]لیست محصولات اردیبهشت ۱۴۰۳'!B:G,6,0)</f>
        <v>9900000</v>
      </c>
      <c r="U24" s="15"/>
      <c r="V24" s="16">
        <f t="shared" si="1"/>
        <v>0</v>
      </c>
      <c r="W24" s="12">
        <f t="shared" si="2"/>
        <v>3</v>
      </c>
      <c r="X24" s="14">
        <f t="shared" si="3"/>
        <v>29700000</v>
      </c>
      <c r="Y24" s="17"/>
      <c r="Z24" s="14">
        <f t="shared" si="4"/>
        <v>29700000</v>
      </c>
      <c r="AA24" s="18" t="s">
        <v>79</v>
      </c>
      <c r="AB24" s="13" t="s">
        <v>366</v>
      </c>
      <c r="AC24" s="19" t="s">
        <v>367</v>
      </c>
      <c r="AD24" s="20" t="s">
        <v>99</v>
      </c>
      <c r="AE24" s="19"/>
      <c r="AF24" s="21"/>
      <c r="AG24" s="22" t="str">
        <f t="shared" si="5"/>
        <v>TRUE</v>
      </c>
      <c r="AH24" s="23" t="str">
        <f t="shared" si="6"/>
        <v>تهران ونک خیابان خدامی ،خیابان وسکانیان(آفتاب)،مرکز خرید آفتاب زیرپله واحد یک کافه آفدو - افشین اشتری 09123345417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66">
        <v>13</v>
      </c>
      <c r="H25" s="67"/>
      <c r="I25" s="66" t="s">
        <v>372</v>
      </c>
      <c r="J25" s="9" t="s">
        <v>76</v>
      </c>
      <c r="K25" s="11" t="str">
        <f t="shared" ca="1" si="0"/>
        <v/>
      </c>
      <c r="L25" s="199" t="s">
        <v>368</v>
      </c>
      <c r="M25" s="200"/>
      <c r="N25" s="201"/>
      <c r="O25" s="9">
        <v>5511.2</v>
      </c>
      <c r="P25" s="9">
        <v>2</v>
      </c>
      <c r="Q25" s="13" t="str">
        <f>VLOOKUP(O25, '[1]لیست محصولات اردیبهشت ۱۴۰۳'!B:C,2,0)</f>
        <v>هامبلا | Hambella</v>
      </c>
      <c r="R25" s="9"/>
      <c r="S25" s="12">
        <f>VLOOKUP(O25, '[1]لیست محصولات اردیبهشت ۱۴۰۳'!B:F,5,0)</f>
        <v>750</v>
      </c>
      <c r="T25" s="14">
        <f>VLOOKUP(O25, '[1]لیست محصولات اردیبهشت ۱۴۰۳'!B:G,6,0)</f>
        <v>13350000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26700000</v>
      </c>
      <c r="Y25" s="17"/>
      <c r="Z25" s="14">
        <f t="shared" si="4"/>
        <v>26700000</v>
      </c>
      <c r="AA25" s="140" t="s">
        <v>79</v>
      </c>
      <c r="AB25" s="138" t="s">
        <v>370</v>
      </c>
      <c r="AC25" s="136" t="s">
        <v>371</v>
      </c>
      <c r="AD25" s="134"/>
      <c r="AE25" s="159" t="s">
        <v>430</v>
      </c>
      <c r="AF25" s="21"/>
      <c r="AG25" s="22" t="str">
        <f t="shared" si="5"/>
        <v>TRUE</v>
      </c>
      <c r="AH25" s="23" t="str">
        <f t="shared" si="6"/>
        <v>تهران سفارت نروژ - آقای فرجی  - سفارت نروژ  09123581972</v>
      </c>
    </row>
    <row r="26" spans="1:34" ht="22.35" customHeight="1">
      <c r="A26" s="7"/>
      <c r="B26" s="7"/>
      <c r="C26" s="7"/>
      <c r="D26" s="7"/>
      <c r="E26" s="7"/>
      <c r="F26" s="8"/>
      <c r="G26" s="66">
        <v>14</v>
      </c>
      <c r="H26" s="67"/>
      <c r="I26" s="66" t="s">
        <v>372</v>
      </c>
      <c r="J26" s="9" t="s">
        <v>76</v>
      </c>
      <c r="K26" s="11" t="str">
        <f t="shared" ca="1" si="0"/>
        <v/>
      </c>
      <c r="L26" s="12" t="s">
        <v>369</v>
      </c>
      <c r="M26" s="12"/>
      <c r="N26" s="12"/>
      <c r="O26" s="9">
        <v>5511.2</v>
      </c>
      <c r="P26" s="9">
        <v>3</v>
      </c>
      <c r="Q26" s="13" t="str">
        <f>VLOOKUP(O26, '[1]لیست محصولات اردیبهشت ۱۴۰۳'!B:C,2,0)</f>
        <v>هامبلا | Hambella</v>
      </c>
      <c r="R26" s="9"/>
      <c r="S26" s="12">
        <f>VLOOKUP(O26, '[1]لیست محصولات اردیبهشت ۱۴۰۳'!B:F,5,0)</f>
        <v>750</v>
      </c>
      <c r="T26" s="14">
        <f>VLOOKUP(O26, '[1]لیست محصولات اردیبهشت ۱۴۰۳'!B:G,6,0)</f>
        <v>13350000</v>
      </c>
      <c r="U26" s="15"/>
      <c r="V26" s="16">
        <f t="shared" si="1"/>
        <v>0</v>
      </c>
      <c r="W26" s="12">
        <f t="shared" si="2"/>
        <v>3</v>
      </c>
      <c r="X26" s="14">
        <f t="shared" si="3"/>
        <v>40050000</v>
      </c>
      <c r="Y26" s="17"/>
      <c r="Z26" s="14">
        <f t="shared" si="4"/>
        <v>40050000</v>
      </c>
      <c r="AA26" s="141"/>
      <c r="AB26" s="139"/>
      <c r="AC26" s="137"/>
      <c r="AD26" s="135"/>
      <c r="AE26" s="160"/>
      <c r="AF26" s="21"/>
      <c r="AG26" s="22" t="str">
        <f t="shared" si="5"/>
        <v>TRUE</v>
      </c>
      <c r="AH26" s="23" t="str">
        <f t="shared" si="6"/>
        <v xml:space="preserve">   - اسورره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32">
        <v>15</v>
      </c>
      <c r="H27" s="130">
        <v>530472</v>
      </c>
      <c r="I27" s="132" t="s">
        <v>372</v>
      </c>
      <c r="J27" s="132"/>
      <c r="K27" s="11" t="str">
        <f t="shared" ca="1" si="0"/>
        <v/>
      </c>
      <c r="L27" s="142" t="s">
        <v>373</v>
      </c>
      <c r="M27" s="142" t="s">
        <v>374</v>
      </c>
      <c r="N27" s="142"/>
      <c r="O27" s="9">
        <v>3326.1</v>
      </c>
      <c r="P27" s="9">
        <v>1</v>
      </c>
      <c r="Q27" s="13" t="str">
        <f>VLOOKUP(O27, '[1]لیست محصولات اردیبهشت ۱۴۰۳'!B:C,2,0)</f>
        <v>میاگروس | Milagros</v>
      </c>
      <c r="R27" s="9"/>
      <c r="S27" s="12">
        <f>VLOOKUP(O27, '[1]لیست محصولات اردیبهشت ۱۴۰۳'!B:F,5,0)</f>
        <v>150</v>
      </c>
      <c r="T27" s="14">
        <f>VLOOKUP(O27, '[1]لیست محصولات اردیبهشت ۱۴۰۳'!B:G,6,0)</f>
        <v>3750000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3750000</v>
      </c>
      <c r="Y27" s="17"/>
      <c r="Z27" s="14">
        <f t="shared" si="4"/>
        <v>3750000</v>
      </c>
      <c r="AA27" s="140" t="s">
        <v>79</v>
      </c>
      <c r="AB27" s="13" t="s">
        <v>375</v>
      </c>
      <c r="AC27" s="136" t="s">
        <v>376</v>
      </c>
      <c r="AD27" s="20" t="s">
        <v>99</v>
      </c>
      <c r="AE27" s="68" t="s">
        <v>377</v>
      </c>
      <c r="AF27" s="21"/>
      <c r="AG27" s="22" t="str">
        <f t="shared" si="5"/>
        <v>TRUE</v>
      </c>
      <c r="AH27" s="23" t="str">
        <f t="shared" si="6"/>
        <v>تهران میرداماد نبش آقازاده فرد پلاک 161  - بهرام میرمیران 09121213455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33"/>
      <c r="H28" s="131"/>
      <c r="I28" s="133"/>
      <c r="J28" s="133"/>
      <c r="K28" s="11" t="str">
        <f t="shared" ca="1" si="0"/>
        <v/>
      </c>
      <c r="L28" s="143"/>
      <c r="M28" s="143"/>
      <c r="N28" s="143"/>
      <c r="O28" s="72"/>
      <c r="P28" s="72"/>
      <c r="Q28" s="73"/>
      <c r="R28" s="72"/>
      <c r="S28" s="74"/>
      <c r="T28" s="75"/>
      <c r="U28" s="76"/>
      <c r="V28" s="77"/>
      <c r="W28" s="74"/>
      <c r="X28" s="75"/>
      <c r="Y28" s="78"/>
      <c r="Z28" s="75"/>
      <c r="AA28" s="141"/>
      <c r="AB28" s="13" t="s">
        <v>379</v>
      </c>
      <c r="AC28" s="137"/>
      <c r="AD28" s="20" t="s">
        <v>99</v>
      </c>
      <c r="AE28" s="68" t="s">
        <v>378</v>
      </c>
      <c r="AF28" s="21"/>
      <c r="AG28" s="22" t="str">
        <f t="shared" si="5"/>
        <v>FALSE</v>
      </c>
      <c r="AH28" s="23" t="str">
        <f t="shared" si="6"/>
        <v xml:space="preserve"> تقاطع تخت طاووس و شریعتی - خ شهدا ناجا - خ سلیمی جنوبی - کوچه علایی - پلاک 2 - ط 1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16</v>
      </c>
      <c r="H29" s="10">
        <v>276957701842</v>
      </c>
      <c r="I29" s="9" t="s">
        <v>372</v>
      </c>
      <c r="J29" s="9"/>
      <c r="K29" s="11" t="str">
        <f t="shared" ca="1" si="0"/>
        <v/>
      </c>
      <c r="L29" s="12" t="s">
        <v>380</v>
      </c>
      <c r="M29" s="12" t="s">
        <v>381</v>
      </c>
      <c r="N29" s="12" t="s">
        <v>382</v>
      </c>
      <c r="O29" s="9">
        <v>5501.3</v>
      </c>
      <c r="P29" s="9">
        <v>2</v>
      </c>
      <c r="Q29" s="13" t="str">
        <f>VLOOKUP(O29, '[1]لیست محصولات اردیبهشت ۱۴۰۳'!B:C,2,0)</f>
        <v>ورتکس | Vortex</v>
      </c>
      <c r="R29" s="9"/>
      <c r="S29" s="12">
        <f>VLOOKUP(O29, '[1]لیست محصولات اردیبهشت ۱۴۰۳'!B:F,5,0)</f>
        <v>4000</v>
      </c>
      <c r="T29" s="14">
        <f>VLOOKUP(O29, '[1]لیست محصولات اردیبهشت ۱۴۰۳'!B:G,6,0)</f>
        <v>51200000</v>
      </c>
      <c r="U29" s="15"/>
      <c r="V29" s="16">
        <f t="shared" si="1"/>
        <v>0</v>
      </c>
      <c r="W29" s="12">
        <f t="shared" si="2"/>
        <v>2</v>
      </c>
      <c r="X29" s="14">
        <f t="shared" si="3"/>
        <v>102400000</v>
      </c>
      <c r="Y29" s="17"/>
      <c r="Z29" s="14">
        <f t="shared" si="4"/>
        <v>102400000</v>
      </c>
      <c r="AA29" s="18" t="s">
        <v>250</v>
      </c>
      <c r="AB29" s="13" t="s">
        <v>383</v>
      </c>
      <c r="AC29" s="19" t="s">
        <v>384</v>
      </c>
      <c r="AD29" s="20"/>
      <c r="AE29" s="19"/>
      <c r="AF29" s="21"/>
      <c r="AG29" s="22" t="str">
        <f t="shared" si="5"/>
        <v>TRUE</v>
      </c>
      <c r="AH29" s="23" t="str">
        <f t="shared" si="6"/>
        <v>کرج مهرشهر - خیابان شهرداری - نبش ۲۰۶ کافه لازارو - شهاب بقایی 09125654823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17</v>
      </c>
      <c r="H30" s="10">
        <v>276958266791</v>
      </c>
      <c r="I30" s="9" t="s">
        <v>372</v>
      </c>
      <c r="J30" s="9"/>
      <c r="K30" s="11" t="str">
        <f t="shared" ca="1" si="0"/>
        <v/>
      </c>
      <c r="L30" s="12" t="s">
        <v>385</v>
      </c>
      <c r="M30" s="12" t="s">
        <v>96</v>
      </c>
      <c r="N30" s="12"/>
      <c r="O30" s="9">
        <v>5522.2</v>
      </c>
      <c r="P30" s="9">
        <v>1</v>
      </c>
      <c r="Q30" s="13" t="str">
        <f>VLOOKUP(O30, '[1]لیست محصولات اردیبهشت ۱۴۰۳'!B:C,2,0)</f>
        <v>تامارا | Tamara</v>
      </c>
      <c r="R30" s="9" t="s">
        <v>102</v>
      </c>
      <c r="S30" s="12">
        <f>VLOOKUP(O30, '[1]لیست محصولات اردیبهشت ۱۴۰۳'!B:F,5,0)</f>
        <v>750</v>
      </c>
      <c r="T30" s="14">
        <f>VLOOKUP(O30, '[1]لیست محصولات اردیبهشت ۱۴۰۳'!B:G,6,0)</f>
        <v>12450000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12450000</v>
      </c>
      <c r="Y30" s="17"/>
      <c r="Z30" s="14">
        <f t="shared" si="4"/>
        <v>12450000</v>
      </c>
      <c r="AA30" s="18" t="s">
        <v>79</v>
      </c>
      <c r="AB30" s="13" t="s">
        <v>386</v>
      </c>
      <c r="AC30" s="19" t="s">
        <v>387</v>
      </c>
      <c r="AD30" s="20" t="s">
        <v>99</v>
      </c>
      <c r="AE30" s="19"/>
      <c r="AF30" s="21"/>
      <c r="AG30" s="22" t="str">
        <f t="shared" si="5"/>
        <v>TRUE</v>
      </c>
      <c r="AH30" s="23" t="str">
        <f t="shared" si="6"/>
        <v>تهران سعادت آباد بلوار بهزاد نبش باغستان یکم پلاک ۲ شرکت تپسی  - بردیا میرزایی 09305905763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18</v>
      </c>
      <c r="H31" s="10">
        <v>276960615941</v>
      </c>
      <c r="I31" s="9" t="s">
        <v>372</v>
      </c>
      <c r="J31" s="9"/>
      <c r="K31" s="11" t="str">
        <f t="shared" ca="1" si="0"/>
        <v/>
      </c>
      <c r="L31" s="12" t="s">
        <v>429</v>
      </c>
      <c r="M31" s="12" t="s">
        <v>388</v>
      </c>
      <c r="N31" s="12" t="s">
        <v>389</v>
      </c>
      <c r="O31" s="9">
        <v>5501.2</v>
      </c>
      <c r="P31" s="9">
        <v>15</v>
      </c>
      <c r="Q31" s="13" t="str">
        <f>VLOOKUP(O31, '[1]لیست محصولات اردیبهشت ۱۴۰۳'!B:C,2,0)</f>
        <v>ورتکس | Vortex</v>
      </c>
      <c r="R31" s="9"/>
      <c r="S31" s="12">
        <f>VLOOKUP(O31, '[1]لیست محصولات اردیبهشت ۱۴۰۳'!B:F,5,0)</f>
        <v>750</v>
      </c>
      <c r="T31" s="14">
        <f>VLOOKUP(O31, '[1]لیست محصولات اردیبهشت ۱۴۰۳'!B:G,6,0)</f>
        <v>9900000</v>
      </c>
      <c r="U31" s="15"/>
      <c r="V31" s="16">
        <f t="shared" si="1"/>
        <v>0</v>
      </c>
      <c r="W31" s="12">
        <f t="shared" si="2"/>
        <v>15</v>
      </c>
      <c r="X31" s="14">
        <f t="shared" si="3"/>
        <v>148500000</v>
      </c>
      <c r="Y31" s="17"/>
      <c r="Z31" s="14">
        <f t="shared" si="4"/>
        <v>148500000</v>
      </c>
      <c r="AA31" s="18" t="s">
        <v>345</v>
      </c>
      <c r="AB31" s="13" t="s">
        <v>390</v>
      </c>
      <c r="AC31" s="19" t="s">
        <v>391</v>
      </c>
      <c r="AD31" s="20"/>
      <c r="AE31" s="19"/>
      <c r="AF31" s="21"/>
      <c r="AG31" s="22" t="str">
        <f t="shared" si="5"/>
        <v>TRUE</v>
      </c>
      <c r="AH31" s="23" t="str">
        <f t="shared" si="6"/>
        <v>لاهیجان خیابان حشمت رو به رو ورزشگاه شهدا ما بین حشمت ۶ و ۸ کافه کیوباکس - میر پوریا سید حاتمی 09194153151</v>
      </c>
    </row>
    <row r="32" spans="1:34" ht="22.35" customHeight="1">
      <c r="A32" s="7"/>
      <c r="B32" s="7"/>
      <c r="C32" s="7"/>
      <c r="D32" s="7"/>
      <c r="E32" s="7"/>
      <c r="F32" s="8"/>
      <c r="G32" s="9">
        <v>19</v>
      </c>
      <c r="H32" s="10">
        <v>276961612554</v>
      </c>
      <c r="I32" s="9" t="s">
        <v>372</v>
      </c>
      <c r="J32" s="9"/>
      <c r="K32" s="11" t="str">
        <f t="shared" ca="1" si="0"/>
        <v/>
      </c>
      <c r="L32" s="12" t="s">
        <v>392</v>
      </c>
      <c r="M32" s="12" t="s">
        <v>393</v>
      </c>
      <c r="N32" s="12"/>
      <c r="O32" s="9">
        <v>5501.2</v>
      </c>
      <c r="P32" s="9">
        <v>1</v>
      </c>
      <c r="Q32" s="13" t="str">
        <f>VLOOKUP(O32, '[1]لیست محصولات اردیبهشت ۱۴۰۳'!B:C,2,0)</f>
        <v>ورتکس | Vortex</v>
      </c>
      <c r="R32" s="9"/>
      <c r="S32" s="12">
        <f>VLOOKUP(O32, '[1]لیست محصولات اردیبهشت ۱۴۰۳'!B:F,5,0)</f>
        <v>750</v>
      </c>
      <c r="T32" s="14">
        <f>VLOOKUP(O32, '[1]لیست محصولات اردیبهشت ۱۴۰۳'!B:G,6,0)</f>
        <v>9900000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9900000</v>
      </c>
      <c r="Y32" s="17"/>
      <c r="Z32" s="14">
        <f t="shared" si="4"/>
        <v>9900000</v>
      </c>
      <c r="AA32" s="18" t="s">
        <v>79</v>
      </c>
      <c r="AB32" s="13" t="s">
        <v>394</v>
      </c>
      <c r="AC32" s="19" t="s">
        <v>395</v>
      </c>
      <c r="AD32" s="20" t="s">
        <v>99</v>
      </c>
      <c r="AE32" s="68" t="s">
        <v>396</v>
      </c>
      <c r="AF32" s="21"/>
      <c r="AG32" s="22" t="str">
        <f t="shared" si="5"/>
        <v>TRUE</v>
      </c>
      <c r="AH32" s="23" t="str">
        <f t="shared" si="6"/>
        <v>تهران جردن، تقاطع آرش، بالاتر از آرش، بن بست ایرج، پلاک 8، واحد لابی  - مازیار اسکندری 09124084834</v>
      </c>
    </row>
    <row r="33" spans="1:34" ht="22.35" customHeight="1">
      <c r="A33" s="7"/>
      <c r="B33" s="7"/>
      <c r="C33" s="7"/>
      <c r="D33" s="7"/>
      <c r="E33" s="7"/>
      <c r="F33" s="8"/>
      <c r="G33" s="132">
        <v>20</v>
      </c>
      <c r="H33" s="130">
        <v>276966807985</v>
      </c>
      <c r="I33" s="132" t="s">
        <v>372</v>
      </c>
      <c r="J33" s="132" t="s">
        <v>76</v>
      </c>
      <c r="K33" s="11" t="str">
        <f t="shared" ca="1" si="0"/>
        <v/>
      </c>
      <c r="L33" s="142" t="s">
        <v>286</v>
      </c>
      <c r="M33" s="142" t="s">
        <v>397</v>
      </c>
      <c r="N33" s="142" t="s">
        <v>398</v>
      </c>
      <c r="O33" s="9">
        <v>5501.3</v>
      </c>
      <c r="P33" s="9">
        <v>5</v>
      </c>
      <c r="Q33" s="13" t="str">
        <f>VLOOKUP(O33, '[1]لیست محصولات اردیبهشت ۱۴۰۳'!B:C,2,0)</f>
        <v>ورتکس | Vortex</v>
      </c>
      <c r="R33" s="9"/>
      <c r="S33" s="12">
        <f>VLOOKUP(O33, '[1]لیست محصولات اردیبهشت ۱۴۰۳'!B:F,5,0)</f>
        <v>4000</v>
      </c>
      <c r="T33" s="14">
        <f>VLOOKUP(O33, '[1]لیست محصولات اردیبهشت ۱۴۰۳'!B:G,6,0)</f>
        <v>51200000</v>
      </c>
      <c r="U33" s="15"/>
      <c r="V33" s="16">
        <f t="shared" si="1"/>
        <v>0</v>
      </c>
      <c r="W33" s="12">
        <f t="shared" si="2"/>
        <v>5</v>
      </c>
      <c r="X33" s="14">
        <f t="shared" si="3"/>
        <v>256000000</v>
      </c>
      <c r="Y33" s="17"/>
      <c r="Z33" s="14">
        <f t="shared" si="4"/>
        <v>256000000</v>
      </c>
      <c r="AA33" s="140" t="s">
        <v>79</v>
      </c>
      <c r="AB33" s="138" t="s">
        <v>400</v>
      </c>
      <c r="AC33" s="136" t="s">
        <v>401</v>
      </c>
      <c r="AD33" s="134"/>
      <c r="AE33" s="19"/>
      <c r="AF33" s="21"/>
      <c r="AG33" s="22" t="str">
        <f t="shared" si="5"/>
        <v>TRUE</v>
      </c>
      <c r="AH33" s="23" t="str">
        <f t="shared" si="6"/>
        <v>تهران خیابان ایرانشهر پایینتر از کوچه دهخدا پلاک ۵۷ پشت دکه روزنامه فروشی کافه آندورا - علی بختیاری 09214428591</v>
      </c>
    </row>
    <row r="34" spans="1:34" ht="22.35" customHeight="1">
      <c r="A34" s="7"/>
      <c r="B34" s="7"/>
      <c r="C34" s="7"/>
      <c r="D34" s="7"/>
      <c r="E34" s="7"/>
      <c r="F34" s="8"/>
      <c r="G34" s="133"/>
      <c r="H34" s="131"/>
      <c r="I34" s="133"/>
      <c r="J34" s="133"/>
      <c r="K34" s="11" t="str">
        <f t="shared" ca="1" si="0"/>
        <v/>
      </c>
      <c r="L34" s="143"/>
      <c r="M34" s="143"/>
      <c r="N34" s="143"/>
      <c r="O34" s="9">
        <v>5511.22</v>
      </c>
      <c r="P34" s="9">
        <v>2</v>
      </c>
      <c r="Q34" s="69" t="str">
        <f>VLOOKUP(O34, '[1]لیست محصولات اردیبهشت ۱۴۰۳'!B:C,2,0)</f>
        <v>هامبلا(رست دمی) | Hambella( Filter Roast)</v>
      </c>
      <c r="R34" s="9" t="s">
        <v>399</v>
      </c>
      <c r="S34" s="12">
        <f>VLOOKUP(O34, '[1]لیست محصولات اردیبهشت ۱۴۰۳'!B:F,5,0)</f>
        <v>750</v>
      </c>
      <c r="T34" s="14">
        <f>VLOOKUP(O34, '[1]لیست محصولات اردیبهشت ۱۴۰۳'!B:G,6,0)</f>
        <v>13350000</v>
      </c>
      <c r="U34" s="15"/>
      <c r="V34" s="16">
        <f t="shared" si="1"/>
        <v>0</v>
      </c>
      <c r="W34" s="12">
        <f t="shared" si="2"/>
        <v>2</v>
      </c>
      <c r="X34" s="14">
        <f t="shared" si="3"/>
        <v>26700000</v>
      </c>
      <c r="Y34" s="17"/>
      <c r="Z34" s="14">
        <f t="shared" si="4"/>
        <v>26700000</v>
      </c>
      <c r="AA34" s="141"/>
      <c r="AB34" s="139"/>
      <c r="AC34" s="137"/>
      <c r="AD34" s="135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>
        <v>21</v>
      </c>
      <c r="H35" s="10">
        <v>276972253830</v>
      </c>
      <c r="I35" s="9" t="s">
        <v>372</v>
      </c>
      <c r="J35" s="9"/>
      <c r="K35" s="11" t="str">
        <f t="shared" ca="1" si="0"/>
        <v/>
      </c>
      <c r="L35" s="12" t="s">
        <v>402</v>
      </c>
      <c r="M35" s="12" t="s">
        <v>388</v>
      </c>
      <c r="N35" s="12"/>
      <c r="O35" s="9">
        <v>5501.2</v>
      </c>
      <c r="P35" s="9">
        <v>2</v>
      </c>
      <c r="Q35" s="13" t="str">
        <f>VLOOKUP(O35, '[1]لیست محصولات اردیبهشت ۱۴۰۳'!B:C,2,0)</f>
        <v>ورتکس | Vortex</v>
      </c>
      <c r="R35" s="9"/>
      <c r="S35" s="12">
        <f>VLOOKUP(O35, '[1]لیست محصولات اردیبهشت ۱۴۰۳'!B:F,5,0)</f>
        <v>750</v>
      </c>
      <c r="T35" s="14">
        <f>VLOOKUP(O35, '[1]لیست محصولات اردیبهشت ۱۴۰۳'!B:G,6,0)</f>
        <v>9900000</v>
      </c>
      <c r="U35" s="15"/>
      <c r="V35" s="16">
        <f t="shared" si="1"/>
        <v>0</v>
      </c>
      <c r="W35" s="12">
        <f t="shared" si="2"/>
        <v>2</v>
      </c>
      <c r="X35" s="14">
        <f t="shared" si="3"/>
        <v>19800000</v>
      </c>
      <c r="Y35" s="17"/>
      <c r="Z35" s="14">
        <f t="shared" si="4"/>
        <v>19800000</v>
      </c>
      <c r="AA35" s="18" t="s">
        <v>79</v>
      </c>
      <c r="AB35" s="13" t="s">
        <v>403</v>
      </c>
      <c r="AC35" s="19" t="s">
        <v>404</v>
      </c>
      <c r="AD35" s="20" t="s">
        <v>99</v>
      </c>
      <c r="AE35" s="19"/>
      <c r="AF35" s="21"/>
      <c r="AG35" s="22" t="str">
        <f t="shared" si="5"/>
        <v>TRUE</v>
      </c>
      <c r="AH35" s="23" t="str">
        <f t="shared" si="6"/>
        <v>تهران اکباتان فاز دو خیابان صارمی خیابان محقق سعید پاساژ گلها  - سید حسین سید حاتمی 09192168701</v>
      </c>
    </row>
    <row r="36" spans="1:34" ht="22.35" customHeight="1">
      <c r="A36" s="7"/>
      <c r="B36" s="7"/>
      <c r="C36" s="7"/>
      <c r="D36" s="7"/>
      <c r="E36" s="7"/>
      <c r="F36" s="8"/>
      <c r="G36" s="9">
        <v>22</v>
      </c>
      <c r="H36" s="10">
        <v>276973203821</v>
      </c>
      <c r="I36" s="9" t="s">
        <v>372</v>
      </c>
      <c r="J36" s="9" t="s">
        <v>76</v>
      </c>
      <c r="K36" s="11" t="str">
        <f t="shared" ca="1" si="0"/>
        <v/>
      </c>
      <c r="L36" s="12" t="s">
        <v>253</v>
      </c>
      <c r="M36" s="12" t="s">
        <v>405</v>
      </c>
      <c r="N36" s="12" t="s">
        <v>406</v>
      </c>
      <c r="O36" s="9">
        <v>5501.3</v>
      </c>
      <c r="P36" s="9">
        <v>2</v>
      </c>
      <c r="Q36" s="13" t="str">
        <f>VLOOKUP(O36, '[1]لیست محصولات اردیبهشت ۱۴۰۳'!B:C,2,0)</f>
        <v>ورتکس | Vortex</v>
      </c>
      <c r="R36" s="9"/>
      <c r="S36" s="12">
        <f>VLOOKUP(O36, '[1]لیست محصولات اردیبهشت ۱۴۰۳'!B:F,5,0)</f>
        <v>4000</v>
      </c>
      <c r="T36" s="14">
        <f>VLOOKUP(O36, '[1]لیست محصولات اردیبهشت ۱۴۰۳'!B:G,6,0)</f>
        <v>51200000</v>
      </c>
      <c r="U36" s="15"/>
      <c r="V36" s="16">
        <f t="shared" si="1"/>
        <v>0</v>
      </c>
      <c r="W36" s="12">
        <f t="shared" si="2"/>
        <v>2</v>
      </c>
      <c r="X36" s="14">
        <f t="shared" si="3"/>
        <v>102400000</v>
      </c>
      <c r="Y36" s="17"/>
      <c r="Z36" s="14">
        <f t="shared" si="4"/>
        <v>102400000</v>
      </c>
      <c r="AA36" s="18" t="s">
        <v>79</v>
      </c>
      <c r="AB36" s="13" t="s">
        <v>407</v>
      </c>
      <c r="AC36" s="19" t="s">
        <v>408</v>
      </c>
      <c r="AD36" s="20"/>
      <c r="AE36" s="19"/>
      <c r="AF36" s="21"/>
      <c r="AG36" s="22" t="str">
        <f t="shared" si="5"/>
        <v>TRUE</v>
      </c>
      <c r="AH36" s="23" t="str">
        <f t="shared" si="6"/>
        <v>تهران بزرگراه حقانى بلوار كتابخانه ملى ضلع جنوبى پرديس تئاتر موسيقى کافه کُر - فهیمه قدم یاری 09124431359</v>
      </c>
    </row>
    <row r="37" spans="1:34" ht="22.35" customHeight="1">
      <c r="A37" s="7"/>
      <c r="B37" s="7"/>
      <c r="C37" s="7"/>
      <c r="D37" s="7"/>
      <c r="E37" s="7"/>
      <c r="F37" s="8"/>
      <c r="G37" s="9">
        <v>23</v>
      </c>
      <c r="H37" s="10">
        <v>276978540567</v>
      </c>
      <c r="I37" s="9" t="s">
        <v>372</v>
      </c>
      <c r="J37" s="9" t="s">
        <v>76</v>
      </c>
      <c r="K37" s="11" t="str">
        <f t="shared" ca="1" si="0"/>
        <v/>
      </c>
      <c r="L37" s="12" t="s">
        <v>137</v>
      </c>
      <c r="M37" s="12" t="s">
        <v>409</v>
      </c>
      <c r="N37" s="12" t="s">
        <v>410</v>
      </c>
      <c r="O37" s="9">
        <v>5501.3</v>
      </c>
      <c r="P37" s="9">
        <v>1</v>
      </c>
      <c r="Q37" s="13" t="str">
        <f>VLOOKUP(O37, '[1]لیست محصولات اردیبهشت ۱۴۰۳'!B:C,2,0)</f>
        <v>ورتکس | Vortex</v>
      </c>
      <c r="R37" s="9"/>
      <c r="S37" s="12">
        <f>VLOOKUP(O37, '[1]لیست محصولات اردیبهشت ۱۴۰۳'!B:F,5,0)</f>
        <v>4000</v>
      </c>
      <c r="T37" s="14">
        <f>VLOOKUP(O37, '[1]لیست محصولات اردیبهشت ۱۴۰۳'!B:G,6,0)</f>
        <v>51200000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51200000</v>
      </c>
      <c r="Y37" s="17"/>
      <c r="Z37" s="14">
        <f t="shared" si="4"/>
        <v>51200000</v>
      </c>
      <c r="AA37" s="18" t="s">
        <v>79</v>
      </c>
      <c r="AB37" s="13" t="s">
        <v>411</v>
      </c>
      <c r="AC37" s="19" t="s">
        <v>412</v>
      </c>
      <c r="AD37" s="20" t="s">
        <v>99</v>
      </c>
      <c r="AE37" s="19"/>
      <c r="AF37" s="21"/>
      <c r="AG37" s="22" t="str">
        <f t="shared" si="5"/>
        <v>TRUE</v>
      </c>
      <c r="AH37" s="23" t="str">
        <f t="shared" si="6"/>
        <v>تهران تهرانپارس فلکه اول بلوار برادران قانع جنب بوستان آب ایوارلانژ - امیرحسین تاجیک 09391942344</v>
      </c>
    </row>
    <row r="38" spans="1:34" ht="22.35" customHeight="1">
      <c r="A38" s="7"/>
      <c r="B38" s="7"/>
      <c r="C38" s="7"/>
      <c r="D38" s="7"/>
      <c r="E38" s="7"/>
      <c r="F38" s="8"/>
      <c r="G38" s="66">
        <v>24</v>
      </c>
      <c r="H38" s="67" t="s">
        <v>135</v>
      </c>
      <c r="I38" s="66" t="s">
        <v>136</v>
      </c>
      <c r="J38" s="9" t="s">
        <v>76</v>
      </c>
      <c r="K38" s="11" t="str">
        <f t="shared" ca="1" si="0"/>
        <v/>
      </c>
      <c r="L38" s="12" t="s">
        <v>415</v>
      </c>
      <c r="M38" s="12" t="s">
        <v>416</v>
      </c>
      <c r="N38" s="12" t="s">
        <v>413</v>
      </c>
      <c r="O38" s="9">
        <v>5501.3</v>
      </c>
      <c r="P38" s="9">
        <v>3</v>
      </c>
      <c r="Q38" s="13" t="str">
        <f>VLOOKUP(O38, '[1]لیست محصولات اردیبهشت ۱۴۰۳'!B:C,2,0)</f>
        <v>ورتکس | Vortex</v>
      </c>
      <c r="R38" s="9"/>
      <c r="S38" s="12">
        <f>VLOOKUP(O38, '[1]لیست محصولات اردیبهشت ۱۴۰۳'!B:F,5,0)</f>
        <v>4000</v>
      </c>
      <c r="T38" s="14">
        <f>VLOOKUP(O38, '[1]لیست محصولات اردیبهشت ۱۴۰۳'!B:G,6,0)</f>
        <v>51200000</v>
      </c>
      <c r="U38" s="15"/>
      <c r="V38" s="16">
        <f t="shared" si="1"/>
        <v>0</v>
      </c>
      <c r="W38" s="12">
        <f t="shared" si="2"/>
        <v>3</v>
      </c>
      <c r="X38" s="14">
        <f t="shared" si="3"/>
        <v>153600000</v>
      </c>
      <c r="Y38" s="17"/>
      <c r="Z38" s="14">
        <f t="shared" si="4"/>
        <v>153600000</v>
      </c>
      <c r="AA38" s="18" t="s">
        <v>206</v>
      </c>
      <c r="AB38" s="13" t="s">
        <v>414</v>
      </c>
      <c r="AC38" s="19" t="s">
        <v>417</v>
      </c>
      <c r="AD38" s="20"/>
      <c r="AE38" s="19"/>
      <c r="AF38" s="21"/>
      <c r="AG38" s="22" t="str">
        <f t="shared" si="5"/>
        <v>TRUE</v>
      </c>
      <c r="AH38" s="23" t="str">
        <f t="shared" si="6"/>
        <v>ساری خيابان پيوندي-چهارراه فدك به پيوندي رستوران مارشو-طبقه 3 کافه رستوران مارشو  - نسا میرشجاعی 09112561453</v>
      </c>
    </row>
    <row r="39" spans="1:34" ht="22.35" customHeight="1">
      <c r="A39" s="7"/>
      <c r="B39" s="7"/>
      <c r="C39" s="7"/>
      <c r="D39" s="7"/>
      <c r="E39" s="7"/>
      <c r="F39" s="8"/>
      <c r="G39" s="9">
        <v>25</v>
      </c>
      <c r="H39" s="10">
        <v>276983491707</v>
      </c>
      <c r="I39" s="9" t="s">
        <v>372</v>
      </c>
      <c r="J39" s="9"/>
      <c r="K39" s="11" t="str">
        <f t="shared" ca="1" si="0"/>
        <v/>
      </c>
      <c r="L39" s="12" t="s">
        <v>418</v>
      </c>
      <c r="M39" s="12" t="s">
        <v>419</v>
      </c>
      <c r="N39" s="12"/>
      <c r="O39" s="9">
        <v>5501.2</v>
      </c>
      <c r="P39" s="9">
        <v>1</v>
      </c>
      <c r="Q39" s="13" t="str">
        <f>VLOOKUP(O39, '[1]لیست محصولات اردیبهشت ۱۴۰۳'!B:C,2,0)</f>
        <v>ورتکس | Vortex</v>
      </c>
      <c r="R39" s="9"/>
      <c r="S39" s="12">
        <f>VLOOKUP(O39, '[1]لیست محصولات اردیبهشت ۱۴۰۳'!B:F,5,0)</f>
        <v>750</v>
      </c>
      <c r="T39" s="14">
        <f>VLOOKUP(O39, '[1]لیست محصولات اردیبهشت ۱۴۰۳'!B:G,6,0)</f>
        <v>9900000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9900000</v>
      </c>
      <c r="Y39" s="17"/>
      <c r="Z39" s="14">
        <f t="shared" si="4"/>
        <v>9900000</v>
      </c>
      <c r="AA39" s="18" t="s">
        <v>79</v>
      </c>
      <c r="AB39" s="13" t="s">
        <v>420</v>
      </c>
      <c r="AC39" s="19" t="s">
        <v>421</v>
      </c>
      <c r="AD39" s="20" t="s">
        <v>99</v>
      </c>
      <c r="AE39" s="19"/>
      <c r="AF39" s="21"/>
      <c r="AG39" s="22" t="str">
        <f t="shared" si="5"/>
        <v>TRUE</v>
      </c>
      <c r="AH39" s="23" t="str">
        <f t="shared" si="6"/>
        <v>تهران خیابان شریعتی نرسیده به میدان قدس کوچه شهید تقی رفعت  - رضا نایبی 09121448026</v>
      </c>
    </row>
    <row r="40" spans="1:34" ht="22.35" customHeight="1">
      <c r="A40" s="7"/>
      <c r="B40" s="7"/>
      <c r="C40" s="7"/>
      <c r="D40" s="7"/>
      <c r="E40" s="7"/>
      <c r="F40" s="8"/>
      <c r="G40" s="155">
        <v>26</v>
      </c>
      <c r="H40" s="157"/>
      <c r="I40" s="155" t="s">
        <v>372</v>
      </c>
      <c r="J40" s="132" t="s">
        <v>76</v>
      </c>
      <c r="K40" s="11" t="str">
        <f t="shared" ca="1" si="0"/>
        <v/>
      </c>
      <c r="L40" s="142" t="s">
        <v>286</v>
      </c>
      <c r="M40" s="142" t="s">
        <v>422</v>
      </c>
      <c r="N40" s="142" t="s">
        <v>423</v>
      </c>
      <c r="O40" s="9">
        <v>5501.3</v>
      </c>
      <c r="P40" s="9">
        <v>6</v>
      </c>
      <c r="Q40" s="13" t="str">
        <f>VLOOKUP(O40, '[1]لیست محصولات اردیبهشت ۱۴۰۳'!B:C,2,0)</f>
        <v>ورتکس | Vortex</v>
      </c>
      <c r="R40" s="9"/>
      <c r="S40" s="12">
        <f>VLOOKUP(O40, '[1]لیست محصولات اردیبهشت ۱۴۰۳'!B:F,5,0)</f>
        <v>4000</v>
      </c>
      <c r="T40" s="14">
        <f>VLOOKUP(O40, '[1]لیست محصولات اردیبهشت ۱۴۰۳'!B:G,6,0)</f>
        <v>51200000</v>
      </c>
      <c r="U40" s="15"/>
      <c r="V40" s="16">
        <f t="shared" si="1"/>
        <v>0</v>
      </c>
      <c r="W40" s="12">
        <f t="shared" si="2"/>
        <v>6</v>
      </c>
      <c r="X40" s="14">
        <f t="shared" si="3"/>
        <v>307200000</v>
      </c>
      <c r="Y40" s="17"/>
      <c r="Z40" s="14">
        <f t="shared" si="4"/>
        <v>307200000</v>
      </c>
      <c r="AA40" s="140" t="s">
        <v>212</v>
      </c>
      <c r="AB40" s="138" t="s">
        <v>427</v>
      </c>
      <c r="AC40" s="136" t="s">
        <v>428</v>
      </c>
      <c r="AD40" s="134"/>
      <c r="AE40" s="19"/>
      <c r="AF40" s="21"/>
      <c r="AG40" s="22" t="str">
        <f t="shared" si="5"/>
        <v>TRUE</v>
      </c>
      <c r="AH40" s="23" t="str">
        <f t="shared" si="6"/>
        <v>قم خيابان شهيد صدوقي ميدان مفتح خيابان مفتح نبش كوچه 8  کافه کی آر بی - علی کرباسچی 09191954192</v>
      </c>
    </row>
    <row r="41" spans="1:34" ht="22.35" customHeight="1">
      <c r="A41" s="7"/>
      <c r="B41" s="7"/>
      <c r="C41" s="7"/>
      <c r="D41" s="7"/>
      <c r="E41" s="7"/>
      <c r="F41" s="8"/>
      <c r="G41" s="156"/>
      <c r="H41" s="158"/>
      <c r="I41" s="156"/>
      <c r="J41" s="133"/>
      <c r="K41" s="11" t="str">
        <f t="shared" ca="1" si="0"/>
        <v/>
      </c>
      <c r="L41" s="143"/>
      <c r="M41" s="143"/>
      <c r="N41" s="143"/>
      <c r="O41" s="9">
        <v>5511.2</v>
      </c>
      <c r="P41" s="9">
        <v>4</v>
      </c>
      <c r="Q41" s="13" t="str">
        <f>VLOOKUP(O41, '[1]لیست محصولات اردیبهشت ۱۴۰۳'!B:C,2,0)</f>
        <v>هامبلا | Hambella</v>
      </c>
      <c r="R41" s="9"/>
      <c r="S41" s="12">
        <f>VLOOKUP(O41, '[1]لیست محصولات اردیبهشت ۱۴۰۳'!B:F,5,0)</f>
        <v>750</v>
      </c>
      <c r="T41" s="14">
        <f>VLOOKUP(O41, '[1]لیست محصولات اردیبهشت ۱۴۰۳'!B:G,6,0)</f>
        <v>13350000</v>
      </c>
      <c r="U41" s="15"/>
      <c r="V41" s="16">
        <f t="shared" si="1"/>
        <v>0</v>
      </c>
      <c r="W41" s="12">
        <f t="shared" si="2"/>
        <v>4</v>
      </c>
      <c r="X41" s="14">
        <f t="shared" si="3"/>
        <v>53400000</v>
      </c>
      <c r="Y41" s="17"/>
      <c r="Z41" s="14">
        <f t="shared" si="4"/>
        <v>53400000</v>
      </c>
      <c r="AA41" s="141"/>
      <c r="AB41" s="139"/>
      <c r="AC41" s="137"/>
      <c r="AD41" s="135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55">
        <v>27</v>
      </c>
      <c r="H42" s="157"/>
      <c r="I42" s="155" t="s">
        <v>372</v>
      </c>
      <c r="J42" s="132" t="s">
        <v>76</v>
      </c>
      <c r="K42" s="11" t="str">
        <f t="shared" ca="1" si="0"/>
        <v/>
      </c>
      <c r="L42" s="142"/>
      <c r="M42" s="142"/>
      <c r="N42" s="142" t="s">
        <v>424</v>
      </c>
      <c r="O42" s="9">
        <v>5501.3</v>
      </c>
      <c r="P42" s="9">
        <v>2</v>
      </c>
      <c r="Q42" s="13" t="str">
        <f>VLOOKUP(O42, '[1]لیست محصولات اردیبهشت ۱۴۰۳'!B:C,2,0)</f>
        <v>ورتکس | Vortex</v>
      </c>
      <c r="R42" s="9"/>
      <c r="S42" s="12">
        <f>VLOOKUP(O42, '[1]لیست محصولات اردیبهشت ۱۴۰۳'!B:F,5,0)</f>
        <v>4000</v>
      </c>
      <c r="T42" s="14">
        <f>VLOOKUP(O42, '[1]لیست محصولات اردیبهشت ۱۴۰۳'!B:G,6,0)</f>
        <v>51200000</v>
      </c>
      <c r="U42" s="15"/>
      <c r="V42" s="16">
        <f t="shared" si="1"/>
        <v>0</v>
      </c>
      <c r="W42" s="12">
        <f t="shared" si="2"/>
        <v>2</v>
      </c>
      <c r="X42" s="14">
        <f t="shared" si="3"/>
        <v>102400000</v>
      </c>
      <c r="Y42" s="17"/>
      <c r="Z42" s="14">
        <f t="shared" si="4"/>
        <v>102400000</v>
      </c>
      <c r="AA42" s="140" t="s">
        <v>79</v>
      </c>
      <c r="AB42" s="138" t="s">
        <v>70</v>
      </c>
      <c r="AC42" s="136" t="s">
        <v>426</v>
      </c>
      <c r="AD42" s="134"/>
      <c r="AE42" s="19"/>
      <c r="AF42" s="21"/>
      <c r="AG42" s="22" t="str">
        <f t="shared" si="5"/>
        <v>TRUE</v>
      </c>
      <c r="AH42" s="23" t="str">
        <f t="shared" si="6"/>
        <v>تهران - کافه آرمه -   09124047817</v>
      </c>
    </row>
    <row r="43" spans="1:34" ht="22.35" customHeight="1">
      <c r="A43" s="7"/>
      <c r="B43" s="7"/>
      <c r="C43" s="7"/>
      <c r="D43" s="7"/>
      <c r="E43" s="7"/>
      <c r="F43" s="8"/>
      <c r="G43" s="156"/>
      <c r="H43" s="158"/>
      <c r="I43" s="156"/>
      <c r="J43" s="133"/>
      <c r="K43" s="11" t="str">
        <f t="shared" ca="1" si="0"/>
        <v/>
      </c>
      <c r="L43" s="143"/>
      <c r="M43" s="143"/>
      <c r="N43" s="143"/>
      <c r="O43" s="9">
        <v>5511.11</v>
      </c>
      <c r="P43" s="9">
        <v>1</v>
      </c>
      <c r="Q43" s="69" t="str">
        <f>VLOOKUP(O43, '[1]لیست محصولات اردیبهشت ۱۴۰۳'!B:C,2,0)</f>
        <v>هامبلا(رست دمی) | Hambella( Filter Roast)</v>
      </c>
      <c r="R43" s="9" t="s">
        <v>425</v>
      </c>
      <c r="S43" s="12">
        <f>VLOOKUP(O43, '[1]لیست محصولات اردیبهشت ۱۴۰۳'!B:F,5,0)</f>
        <v>150</v>
      </c>
      <c r="T43" s="14">
        <f>VLOOKUP(O43, '[1]لیست محصولات اردیبهشت ۱۴۰۳'!B:G,6,0)</f>
        <v>2800000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2800000</v>
      </c>
      <c r="Y43" s="17"/>
      <c r="Z43" s="14">
        <f t="shared" si="4"/>
        <v>2800000</v>
      </c>
      <c r="AA43" s="141"/>
      <c r="AB43" s="139"/>
      <c r="AC43" s="137"/>
      <c r="AD43" s="135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66">
        <v>28</v>
      </c>
      <c r="H44" s="67" t="s">
        <v>135</v>
      </c>
      <c r="I44" s="66" t="s">
        <v>372</v>
      </c>
      <c r="J44" s="9" t="s">
        <v>76</v>
      </c>
      <c r="K44" s="11" t="str">
        <f t="shared" ca="1" si="0"/>
        <v/>
      </c>
      <c r="L44" s="12"/>
      <c r="M44" s="12" t="s">
        <v>431</v>
      </c>
      <c r="N44" s="12" t="s">
        <v>432</v>
      </c>
      <c r="O44" s="9">
        <v>5501.2</v>
      </c>
      <c r="P44" s="9">
        <v>6</v>
      </c>
      <c r="Q44" s="13" t="str">
        <f>VLOOKUP(O44, '[1]لیست محصولات اردیبهشت ۱۴۰۳'!B:C,2,0)</f>
        <v>ورتکس | Vortex</v>
      </c>
      <c r="R44" s="9"/>
      <c r="S44" s="12">
        <f>VLOOKUP(O44, '[1]لیست محصولات اردیبهشت ۱۴۰۳'!B:F,5,0)</f>
        <v>750</v>
      </c>
      <c r="T44" s="14">
        <f>VLOOKUP(O44, '[1]لیست محصولات اردیبهشت ۱۴۰۳'!B:G,6,0)</f>
        <v>9900000</v>
      </c>
      <c r="U44" s="15"/>
      <c r="V44" s="16">
        <f t="shared" si="1"/>
        <v>0</v>
      </c>
      <c r="W44" s="12">
        <f t="shared" si="2"/>
        <v>6</v>
      </c>
      <c r="X44" s="14">
        <f t="shared" si="3"/>
        <v>59400000</v>
      </c>
      <c r="Y44" s="17"/>
      <c r="Z44" s="14">
        <f t="shared" si="4"/>
        <v>59400000</v>
      </c>
      <c r="AA44" s="18" t="s">
        <v>79</v>
      </c>
      <c r="AB44" s="13" t="s">
        <v>70</v>
      </c>
      <c r="AC44" s="19" t="s">
        <v>436</v>
      </c>
      <c r="AD44" s="20"/>
      <c r="AE44" s="68" t="s">
        <v>438</v>
      </c>
      <c r="AF44" s="21"/>
      <c r="AG44" s="22" t="str">
        <f t="shared" si="5"/>
        <v>TRUE</v>
      </c>
      <c r="AH44" s="23" t="str">
        <f t="shared" si="6"/>
        <v>تهران - شرکت سامسونگ گلف الکترونیکس -  قفل گری 09123504435</v>
      </c>
    </row>
    <row r="45" spans="1:34" ht="22.35" customHeight="1">
      <c r="A45" s="7"/>
      <c r="B45" s="7"/>
      <c r="C45" s="7"/>
      <c r="D45" s="7"/>
      <c r="E45" s="7"/>
      <c r="F45" s="8"/>
      <c r="G45" s="66">
        <v>29</v>
      </c>
      <c r="H45" s="67"/>
      <c r="I45" s="66" t="s">
        <v>372</v>
      </c>
      <c r="J45" s="9" t="s">
        <v>76</v>
      </c>
      <c r="K45" s="11" t="str">
        <f t="shared" ca="1" si="0"/>
        <v/>
      </c>
      <c r="L45" s="12" t="s">
        <v>433</v>
      </c>
      <c r="M45" s="12" t="s">
        <v>434</v>
      </c>
      <c r="N45" s="12" t="s">
        <v>435</v>
      </c>
      <c r="O45" s="9">
        <v>5501.3</v>
      </c>
      <c r="P45" s="9">
        <v>2</v>
      </c>
      <c r="Q45" s="13" t="str">
        <f>VLOOKUP(O45, '[1]لیست محصولات اردیبهشت ۱۴۰۳'!B:C,2,0)</f>
        <v>ورتکس | Vortex</v>
      </c>
      <c r="R45" s="9"/>
      <c r="S45" s="12">
        <f>VLOOKUP(O45, '[1]لیست محصولات اردیبهشت ۱۴۰۳'!B:F,5,0)</f>
        <v>4000</v>
      </c>
      <c r="T45" s="14">
        <f>VLOOKUP(O45, '[1]لیست محصولات اردیبهشت ۱۴۰۳'!B:G,6,0)</f>
        <v>51200000</v>
      </c>
      <c r="U45" s="26"/>
      <c r="V45" s="16">
        <f t="shared" si="1"/>
        <v>0</v>
      </c>
      <c r="W45" s="12">
        <f t="shared" si="2"/>
        <v>2</v>
      </c>
      <c r="X45" s="14">
        <f t="shared" si="3"/>
        <v>102400000</v>
      </c>
      <c r="Y45" s="17"/>
      <c r="Z45" s="14">
        <f t="shared" si="4"/>
        <v>102400000</v>
      </c>
      <c r="AA45" s="18" t="s">
        <v>79</v>
      </c>
      <c r="AB45" s="13" t="s">
        <v>70</v>
      </c>
      <c r="AC45" s="19" t="s">
        <v>437</v>
      </c>
      <c r="AD45" s="20"/>
      <c r="AE45" s="19"/>
      <c r="AF45" s="21"/>
      <c r="AG45" s="22" t="str">
        <f t="shared" si="5"/>
        <v>TRUE</v>
      </c>
      <c r="AH45" s="23" t="str">
        <f t="shared" si="6"/>
        <v>تهران - کافه ویوو لانژ - مهدی مولایی 09197844409</v>
      </c>
    </row>
    <row r="46" spans="1:34" s="89" customFormat="1" ht="22.35" customHeight="1">
      <c r="A46" s="79"/>
      <c r="B46" s="79"/>
      <c r="C46" s="79"/>
      <c r="D46" s="79"/>
      <c r="E46" s="79"/>
      <c r="F46" s="79"/>
      <c r="G46" s="172">
        <v>30</v>
      </c>
      <c r="H46" s="180" t="s">
        <v>70</v>
      </c>
      <c r="I46" s="172" t="s">
        <v>372</v>
      </c>
      <c r="J46" s="172" t="s">
        <v>443</v>
      </c>
      <c r="K46" s="80" t="str">
        <f t="shared" ca="1" si="0"/>
        <v/>
      </c>
      <c r="L46" s="188" t="s">
        <v>439</v>
      </c>
      <c r="M46" s="189"/>
      <c r="N46" s="190"/>
      <c r="O46" s="81">
        <v>3325.1</v>
      </c>
      <c r="P46" s="81">
        <v>4</v>
      </c>
      <c r="Q46" s="82" t="str">
        <f>VLOOKUP(O46, '[1]لیست محصولات اردیبهشت ۱۴۰۳'!B:C,2,0)</f>
        <v>راتناگری | Ratnagiri</v>
      </c>
      <c r="R46" s="81"/>
      <c r="S46" s="83">
        <f>VLOOKUP(O46, '[1]لیست محصولات اردیبهشت ۱۴۰۳'!B:F,5,0)</f>
        <v>150</v>
      </c>
      <c r="T46" s="84">
        <f>VLOOKUP(O46, '[1]لیست محصولات اردیبهشت ۱۴۰۳'!B:G,6,0)</f>
        <v>4250000</v>
      </c>
      <c r="U46" s="85"/>
      <c r="V46" s="86">
        <f t="shared" si="1"/>
        <v>0</v>
      </c>
      <c r="W46" s="83">
        <f t="shared" si="2"/>
        <v>4</v>
      </c>
      <c r="X46" s="84">
        <f t="shared" si="3"/>
        <v>17000000</v>
      </c>
      <c r="Y46" s="87"/>
      <c r="Z46" s="84">
        <f t="shared" si="4"/>
        <v>17000000</v>
      </c>
      <c r="AA46" s="182" t="s">
        <v>440</v>
      </c>
      <c r="AB46" s="183"/>
      <c r="AC46" s="183"/>
      <c r="AD46" s="183"/>
      <c r="AE46" s="184"/>
      <c r="AF46" s="88"/>
      <c r="AH46" s="90" t="e">
        <f>AA46&amp;" "&amp;AB46&amp;" "&amp;L46&amp;" - "&amp;#REF!&amp;" "&amp;M46&amp;" "&amp;AC46</f>
        <v>#REF!</v>
      </c>
    </row>
    <row r="47" spans="1:34" s="89" customFormat="1" ht="22.35" customHeight="1">
      <c r="A47" s="79"/>
      <c r="B47" s="79"/>
      <c r="C47" s="79"/>
      <c r="D47" s="79"/>
      <c r="E47" s="79"/>
      <c r="F47" s="79"/>
      <c r="G47" s="173"/>
      <c r="H47" s="181"/>
      <c r="I47" s="173"/>
      <c r="J47" s="173"/>
      <c r="K47" s="80" t="str">
        <f t="shared" ca="1" si="0"/>
        <v/>
      </c>
      <c r="L47" s="191"/>
      <c r="M47" s="192"/>
      <c r="N47" s="193"/>
      <c r="O47" s="81">
        <v>3326.1</v>
      </c>
      <c r="P47" s="81">
        <v>4</v>
      </c>
      <c r="Q47" s="82" t="str">
        <f>VLOOKUP(O47, '[1]لیست محصولات اردیبهشت ۱۴۰۳'!B:C,2,0)</f>
        <v>میاگروس | Milagros</v>
      </c>
      <c r="R47" s="81"/>
      <c r="S47" s="83">
        <f>VLOOKUP(O47, '[1]لیست محصولات اردیبهشت ۱۴۰۳'!B:F,5,0)</f>
        <v>150</v>
      </c>
      <c r="T47" s="84">
        <f>VLOOKUP(O47, '[1]لیست محصولات اردیبهشت ۱۴۰۳'!B:G,6,0)</f>
        <v>3750000</v>
      </c>
      <c r="U47" s="91"/>
      <c r="V47" s="86">
        <f t="shared" si="1"/>
        <v>0</v>
      </c>
      <c r="W47" s="83">
        <f t="shared" si="2"/>
        <v>4</v>
      </c>
      <c r="X47" s="84">
        <f t="shared" si="3"/>
        <v>15000000</v>
      </c>
      <c r="Y47" s="87"/>
      <c r="Z47" s="84">
        <f t="shared" si="4"/>
        <v>15000000</v>
      </c>
      <c r="AA47" s="185"/>
      <c r="AB47" s="186"/>
      <c r="AC47" s="186"/>
      <c r="AD47" s="186"/>
      <c r="AE47" s="187"/>
      <c r="AF47" s="88"/>
      <c r="AH47" s="90" t="str">
        <f t="shared" si="6"/>
        <v xml:space="preserve">   -   </v>
      </c>
    </row>
    <row r="48" spans="1:34" s="89" customFormat="1" ht="22.35" customHeight="1">
      <c r="A48" s="79" t="b">
        <v>0</v>
      </c>
      <c r="B48" s="79"/>
      <c r="C48" s="79"/>
      <c r="D48" s="79"/>
      <c r="E48" s="79"/>
      <c r="F48" s="79"/>
      <c r="G48" s="172">
        <v>31</v>
      </c>
      <c r="H48" s="180" t="s">
        <v>70</v>
      </c>
      <c r="I48" s="172" t="s">
        <v>442</v>
      </c>
      <c r="J48" s="172"/>
      <c r="K48" s="80" t="str">
        <f t="shared" ca="1" si="0"/>
        <v/>
      </c>
      <c r="L48" s="191"/>
      <c r="M48" s="192"/>
      <c r="N48" s="193"/>
      <c r="O48" s="81">
        <v>3325.1</v>
      </c>
      <c r="P48" s="81">
        <v>4</v>
      </c>
      <c r="Q48" s="82" t="str">
        <f>VLOOKUP(O48, '[1]لیست محصولات اردیبهشت ۱۴۰۳'!B:C,2,0)</f>
        <v>راتناگری | Ratnagiri</v>
      </c>
      <c r="R48" s="81"/>
      <c r="S48" s="83">
        <f>VLOOKUP(O48, '[1]لیست محصولات اردیبهشت ۱۴۰۳'!B:F,5,0)</f>
        <v>150</v>
      </c>
      <c r="T48" s="84">
        <f>VLOOKUP(O48, '[1]لیست محصولات اردیبهشت ۱۴۰۳'!B:G,6,0)</f>
        <v>4250000</v>
      </c>
      <c r="U48" s="91"/>
      <c r="V48" s="86">
        <f t="shared" si="1"/>
        <v>0</v>
      </c>
      <c r="W48" s="83">
        <f t="shared" si="2"/>
        <v>4</v>
      </c>
      <c r="X48" s="84">
        <f t="shared" si="3"/>
        <v>17000000</v>
      </c>
      <c r="Y48" s="87"/>
      <c r="Z48" s="84">
        <f t="shared" si="4"/>
        <v>17000000</v>
      </c>
      <c r="AA48" s="202" t="s">
        <v>444</v>
      </c>
      <c r="AB48" s="203"/>
      <c r="AC48" s="203"/>
      <c r="AD48" s="203"/>
      <c r="AE48" s="204"/>
      <c r="AF48" s="88"/>
      <c r="AH48" s="90" t="str">
        <f t="shared" si="6"/>
        <v xml:space="preserve">تحویل آر اند دی داده شود.   -   </v>
      </c>
    </row>
    <row r="49" spans="1:34" s="89" customFormat="1" ht="22.35" customHeight="1">
      <c r="A49" s="79"/>
      <c r="B49" s="79"/>
      <c r="C49" s="79"/>
      <c r="D49" s="79"/>
      <c r="E49" s="79" t="b">
        <v>0</v>
      </c>
      <c r="F49" s="79"/>
      <c r="G49" s="197"/>
      <c r="H49" s="198"/>
      <c r="I49" s="197"/>
      <c r="J49" s="197"/>
      <c r="K49" s="80" t="str">
        <f t="shared" ca="1" si="0"/>
        <v/>
      </c>
      <c r="L49" s="191"/>
      <c r="M49" s="192"/>
      <c r="N49" s="193"/>
      <c r="O49" s="81">
        <v>3326.1</v>
      </c>
      <c r="P49" s="81">
        <v>4</v>
      </c>
      <c r="Q49" s="82" t="str">
        <f>VLOOKUP(O49, '[1]لیست محصولات اردیبهشت ۱۴۰۳'!B:C,2,0)</f>
        <v>میاگروس | Milagros</v>
      </c>
      <c r="R49" s="81"/>
      <c r="S49" s="83">
        <f>VLOOKUP(O49, '[1]لیست محصولات اردیبهشت ۱۴۰۳'!B:F,5,0)</f>
        <v>150</v>
      </c>
      <c r="T49" s="84">
        <f>VLOOKUP(O49, '[1]لیست محصولات اردیبهشت ۱۴۰۳'!B:G,6,0)</f>
        <v>3750000</v>
      </c>
      <c r="U49" s="91"/>
      <c r="V49" s="86">
        <f t="shared" si="1"/>
        <v>0</v>
      </c>
      <c r="W49" s="83">
        <f t="shared" si="2"/>
        <v>4</v>
      </c>
      <c r="X49" s="84">
        <f t="shared" si="3"/>
        <v>15000000</v>
      </c>
      <c r="Y49" s="87"/>
      <c r="Z49" s="84">
        <f t="shared" si="4"/>
        <v>15000000</v>
      </c>
      <c r="AA49" s="205"/>
      <c r="AB49" s="206"/>
      <c r="AC49" s="206"/>
      <c r="AD49" s="206"/>
      <c r="AE49" s="207"/>
      <c r="AF49" s="88"/>
      <c r="AH49" s="90" t="str">
        <f t="shared" si="6"/>
        <v xml:space="preserve">   -   </v>
      </c>
    </row>
    <row r="50" spans="1:34" s="89" customFormat="1" ht="22.35" customHeight="1">
      <c r="A50" s="79"/>
      <c r="B50" s="79"/>
      <c r="C50" s="79" t="b">
        <v>0</v>
      </c>
      <c r="D50" s="79"/>
      <c r="E50" s="79"/>
      <c r="F50" s="79"/>
      <c r="G50" s="173"/>
      <c r="H50" s="181"/>
      <c r="I50" s="173"/>
      <c r="J50" s="173"/>
      <c r="K50" s="80" t="str">
        <f t="shared" ca="1" si="0"/>
        <v/>
      </c>
      <c r="L50" s="191"/>
      <c r="M50" s="192"/>
      <c r="N50" s="193"/>
      <c r="O50" s="81">
        <v>5522.1</v>
      </c>
      <c r="P50" s="81">
        <v>4</v>
      </c>
      <c r="Q50" s="82" t="str">
        <f>VLOOKUP(O50, '[1]لیست محصولات اردیبهشت ۱۴۰۳'!B:C,2,0)</f>
        <v>تامارا | Tamara</v>
      </c>
      <c r="R50" s="81"/>
      <c r="S50" s="83">
        <f>VLOOKUP(O50, '[1]لیست محصولات اردیبهشت ۱۴۰۳'!B:F,5,0)</f>
        <v>150</v>
      </c>
      <c r="T50" s="84">
        <f>VLOOKUP(O50, '[1]لیست محصولات اردیبهشت ۱۴۰۳'!B:G,6,0)</f>
        <v>2600000</v>
      </c>
      <c r="U50" s="85"/>
      <c r="V50" s="86">
        <f t="shared" si="1"/>
        <v>0</v>
      </c>
      <c r="W50" s="83">
        <f t="shared" si="2"/>
        <v>4</v>
      </c>
      <c r="X50" s="84">
        <f t="shared" si="3"/>
        <v>10400000</v>
      </c>
      <c r="Y50" s="87"/>
      <c r="Z50" s="84">
        <f t="shared" si="4"/>
        <v>10400000</v>
      </c>
      <c r="AA50" s="208"/>
      <c r="AB50" s="209"/>
      <c r="AC50" s="209"/>
      <c r="AD50" s="209"/>
      <c r="AE50" s="210"/>
      <c r="AF50" s="88"/>
      <c r="AH50" s="90" t="str">
        <f t="shared" si="6"/>
        <v xml:space="preserve">   -   </v>
      </c>
    </row>
    <row r="51" spans="1:34" s="89" customFormat="1" ht="22.35" customHeight="1">
      <c r="A51" s="79" t="b">
        <v>0</v>
      </c>
      <c r="B51" s="79"/>
      <c r="C51" s="79" t="b">
        <v>0</v>
      </c>
      <c r="D51" s="79"/>
      <c r="E51" s="79" t="b">
        <v>0</v>
      </c>
      <c r="F51" s="79"/>
      <c r="G51" s="172">
        <v>32</v>
      </c>
      <c r="H51" s="180"/>
      <c r="I51" s="172" t="s">
        <v>511</v>
      </c>
      <c r="J51" s="172"/>
      <c r="K51" s="80" t="str">
        <f t="shared" ca="1" si="0"/>
        <v/>
      </c>
      <c r="L51" s="191"/>
      <c r="M51" s="192"/>
      <c r="N51" s="193"/>
      <c r="O51" s="81">
        <v>5522.1</v>
      </c>
      <c r="P51" s="81">
        <v>1</v>
      </c>
      <c r="Q51" s="82" t="str">
        <f>VLOOKUP(O51, '[1]لیست محصولات اردیبهشت ۱۴۰۳'!B:C,2,0)</f>
        <v>تامارا | Tamara</v>
      </c>
      <c r="R51" s="81"/>
      <c r="S51" s="83">
        <f>VLOOKUP(O51, '[1]لیست محصولات اردیبهشت ۱۴۰۳'!B:F,5,0)</f>
        <v>150</v>
      </c>
      <c r="T51" s="84">
        <f>VLOOKUP(O51, '[1]لیست محصولات اردیبهشت ۱۴۰۳'!B:G,6,0)</f>
        <v>2600000</v>
      </c>
      <c r="U51" s="91"/>
      <c r="V51" s="86">
        <f t="shared" si="1"/>
        <v>0</v>
      </c>
      <c r="W51" s="83">
        <f t="shared" si="2"/>
        <v>1</v>
      </c>
      <c r="X51" s="84">
        <f t="shared" si="3"/>
        <v>2600000</v>
      </c>
      <c r="Y51" s="87"/>
      <c r="Z51" s="84">
        <f t="shared" si="4"/>
        <v>2600000</v>
      </c>
      <c r="AA51" s="174" t="s">
        <v>512</v>
      </c>
      <c r="AB51" s="175"/>
      <c r="AC51" s="175"/>
      <c r="AD51" s="175"/>
      <c r="AE51" s="176"/>
      <c r="AF51" s="88"/>
      <c r="AH51" s="90" t="str">
        <f t="shared" si="6"/>
        <v xml:space="preserve">تحویل داده شد.   -   </v>
      </c>
    </row>
    <row r="52" spans="1:34" s="89" customFormat="1" ht="22.35" customHeight="1">
      <c r="A52" s="79"/>
      <c r="B52" s="79"/>
      <c r="C52" s="79"/>
      <c r="D52" s="79"/>
      <c r="E52" s="79"/>
      <c r="F52" s="79"/>
      <c r="G52" s="173"/>
      <c r="H52" s="181"/>
      <c r="I52" s="173"/>
      <c r="J52" s="173"/>
      <c r="K52" s="80" t="str">
        <f t="shared" ca="1" si="0"/>
        <v/>
      </c>
      <c r="L52" s="194"/>
      <c r="M52" s="195"/>
      <c r="N52" s="196"/>
      <c r="O52" s="81">
        <v>3325.1</v>
      </c>
      <c r="P52" s="81">
        <v>1</v>
      </c>
      <c r="Q52" s="82" t="str">
        <f>VLOOKUP(O52, '[1]لیست محصولات اردیبهشت ۱۴۰۳'!B:C,2,0)</f>
        <v>راتناگری | Ratnagiri</v>
      </c>
      <c r="R52" s="81"/>
      <c r="S52" s="83">
        <f>VLOOKUP(O52, '[1]لیست محصولات اردیبهشت ۱۴۰۳'!B:F,5,0)</f>
        <v>150</v>
      </c>
      <c r="T52" s="84">
        <f>VLOOKUP(O52, '[1]لیست محصولات اردیبهشت ۱۴۰۳'!B:G,6,0)</f>
        <v>4250000</v>
      </c>
      <c r="U52" s="91"/>
      <c r="V52" s="86">
        <f t="shared" si="1"/>
        <v>0</v>
      </c>
      <c r="W52" s="83">
        <f t="shared" si="2"/>
        <v>1</v>
      </c>
      <c r="X52" s="84">
        <f t="shared" si="3"/>
        <v>4250000</v>
      </c>
      <c r="Y52" s="87"/>
      <c r="Z52" s="84">
        <f t="shared" si="4"/>
        <v>4250000</v>
      </c>
      <c r="AA52" s="177"/>
      <c r="AB52" s="178"/>
      <c r="AC52" s="178"/>
      <c r="AD52" s="178"/>
      <c r="AE52" s="179"/>
      <c r="AF52" s="88"/>
      <c r="AH52" s="90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55">
        <v>33</v>
      </c>
      <c r="H53" s="157"/>
      <c r="I53" s="155" t="s">
        <v>442</v>
      </c>
      <c r="J53" s="132" t="s">
        <v>76</v>
      </c>
      <c r="K53" s="11" t="str">
        <f t="shared" ca="1" si="0"/>
        <v/>
      </c>
      <c r="L53" s="142"/>
      <c r="M53" s="142"/>
      <c r="N53" s="142" t="s">
        <v>517</v>
      </c>
      <c r="O53" s="9">
        <v>3326.1</v>
      </c>
      <c r="P53" s="9">
        <v>1</v>
      </c>
      <c r="Q53" s="13" t="str">
        <f>VLOOKUP(O53, '[1]لیست محصولات اردیبهشت ۱۴۰۳'!B:C,2,0)</f>
        <v>میاگروس | Milagros</v>
      </c>
      <c r="R53" s="9"/>
      <c r="S53" s="12">
        <f>VLOOKUP(O53, '[1]لیست محصولات اردیبهشت ۱۴۰۳'!B:F,5,0)</f>
        <v>150</v>
      </c>
      <c r="T53" s="14">
        <f>VLOOKUP(O53, '[1]لیست محصولات اردیبهشت ۱۴۰۳'!B:G,6,0)</f>
        <v>3750000</v>
      </c>
      <c r="U53" s="15"/>
      <c r="V53" s="16">
        <f t="shared" si="1"/>
        <v>0</v>
      </c>
      <c r="W53" s="12">
        <f t="shared" si="2"/>
        <v>1</v>
      </c>
      <c r="X53" s="14">
        <f t="shared" si="3"/>
        <v>3750000</v>
      </c>
      <c r="Y53" s="17"/>
      <c r="Z53" s="14">
        <f t="shared" si="4"/>
        <v>3750000</v>
      </c>
      <c r="AA53" s="140"/>
      <c r="AB53" s="138"/>
      <c r="AC53" s="136"/>
      <c r="AD53" s="134"/>
      <c r="AE53" s="19"/>
      <c r="AF53" s="21"/>
      <c r="AG53" s="22" t="str">
        <f t="shared" si="5"/>
        <v>TRUE</v>
      </c>
      <c r="AH53" s="23" t="str">
        <f t="shared" si="6"/>
        <v xml:space="preserve">  کافه لاویدا -   </v>
      </c>
    </row>
    <row r="54" spans="1:34" ht="22.35" customHeight="1">
      <c r="A54" s="7"/>
      <c r="B54" s="7"/>
      <c r="C54" s="7"/>
      <c r="D54" s="7"/>
      <c r="E54" s="7"/>
      <c r="F54" s="8"/>
      <c r="G54" s="164"/>
      <c r="H54" s="165"/>
      <c r="I54" s="164"/>
      <c r="J54" s="144"/>
      <c r="K54" s="11" t="str">
        <f t="shared" ca="1" si="0"/>
        <v/>
      </c>
      <c r="L54" s="145"/>
      <c r="M54" s="145"/>
      <c r="N54" s="145"/>
      <c r="O54" s="9">
        <v>5501.2</v>
      </c>
      <c r="P54" s="9">
        <v>2</v>
      </c>
      <c r="Q54" s="13" t="str">
        <f>VLOOKUP(O54, '[1]لیست محصولات اردیبهشت ۱۴۰۳'!B:C,2,0)</f>
        <v>ورتکس | Vortex</v>
      </c>
      <c r="R54" s="9"/>
      <c r="S54" s="12">
        <f>VLOOKUP(O54, '[1]لیست محصولات اردیبهشت ۱۴۰۳'!B:F,5,0)</f>
        <v>750</v>
      </c>
      <c r="T54" s="14">
        <f>VLOOKUP(O54, '[1]لیست محصولات اردیبهشت ۱۴۰۳'!B:G,6,0)</f>
        <v>9900000</v>
      </c>
      <c r="U54" s="15"/>
      <c r="V54" s="16">
        <f t="shared" si="1"/>
        <v>0</v>
      </c>
      <c r="W54" s="12">
        <f t="shared" si="2"/>
        <v>2</v>
      </c>
      <c r="X54" s="14">
        <f t="shared" si="3"/>
        <v>19800000</v>
      </c>
      <c r="Y54" s="17"/>
      <c r="Z54" s="14">
        <f t="shared" si="4"/>
        <v>19800000</v>
      </c>
      <c r="AA54" s="149"/>
      <c r="AB54" s="148"/>
      <c r="AC54" s="147"/>
      <c r="AD54" s="146"/>
      <c r="AE54" s="19"/>
      <c r="AF54" s="21"/>
      <c r="AG54" s="22" t="str">
        <f t="shared" si="5"/>
        <v>TRUE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56"/>
      <c r="H55" s="158"/>
      <c r="I55" s="156"/>
      <c r="J55" s="133"/>
      <c r="K55" s="11" t="str">
        <f t="shared" ca="1" si="0"/>
        <v/>
      </c>
      <c r="L55" s="143"/>
      <c r="M55" s="143"/>
      <c r="N55" s="143"/>
      <c r="O55" s="9">
        <v>3326.2</v>
      </c>
      <c r="P55" s="9">
        <v>1</v>
      </c>
      <c r="Q55" s="13" t="str">
        <f>VLOOKUP(O55, '[1]لیست محصولات اردیبهشت ۱۴۰۳'!B:C,2,0)</f>
        <v>میاگروس | Milagros</v>
      </c>
      <c r="R55" s="9"/>
      <c r="S55" s="12">
        <f>VLOOKUP(O55, '[1]لیست محصولات اردیبهشت ۱۴۰۳'!B:F,5,0)</f>
        <v>750</v>
      </c>
      <c r="T55" s="14">
        <f>VLOOKUP(O55, '[1]لیست محصولات اردیبهشت ۱۴۰۳'!B:G,6,0)</f>
        <v>18150000</v>
      </c>
      <c r="U55" s="26"/>
      <c r="V55" s="16">
        <f t="shared" si="1"/>
        <v>0</v>
      </c>
      <c r="W55" s="12">
        <f t="shared" si="2"/>
        <v>1</v>
      </c>
      <c r="X55" s="14">
        <f t="shared" si="3"/>
        <v>18150000</v>
      </c>
      <c r="Y55" s="17"/>
      <c r="Z55" s="14">
        <f t="shared" si="4"/>
        <v>18150000</v>
      </c>
      <c r="AA55" s="141"/>
      <c r="AB55" s="139"/>
      <c r="AC55" s="137"/>
      <c r="AD55" s="135"/>
      <c r="AE55" s="19"/>
      <c r="AF55" s="21"/>
      <c r="AG55" s="22" t="str">
        <f t="shared" si="5"/>
        <v>TRUE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</v>
      </c>
      <c r="AI240" s="56">
        <f t="shared" si="19"/>
        <v>0</v>
      </c>
      <c r="AJ240" s="57">
        <f>AH240-AI240</f>
        <v>1</v>
      </c>
      <c r="AK240" s="58">
        <f t="shared" si="23"/>
        <v>0.15</v>
      </c>
      <c r="AL240" s="59">
        <f>AO240+AQ240-[2]Sheet1!$AH241</f>
        <v>0</v>
      </c>
      <c r="AM240" s="59">
        <f t="shared" si="25"/>
        <v>-1</v>
      </c>
      <c r="AN240" s="58">
        <f t="shared" si="21"/>
        <v>0</v>
      </c>
      <c r="AO240" s="59"/>
      <c r="AP240" s="58">
        <f t="shared" si="22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31</v>
      </c>
      <c r="AI241" s="56">
        <f t="shared" si="19"/>
        <v>0</v>
      </c>
      <c r="AJ241" s="57">
        <f t="shared" ref="AJ241:AJ264" si="27">AH241-AI241</f>
        <v>31</v>
      </c>
      <c r="AK241" s="58">
        <f>AH241*AG241/1000</f>
        <v>23.25</v>
      </c>
      <c r="AL241" s="59">
        <f>AO241+AQ241-[2]Sheet1!$AH242</f>
        <v>0</v>
      </c>
      <c r="AM241" s="59">
        <f t="shared" si="25"/>
        <v>-31</v>
      </c>
      <c r="AN241" s="58">
        <f t="shared" si="21"/>
        <v>0</v>
      </c>
      <c r="AO241" s="59"/>
      <c r="AP241" s="58">
        <f t="shared" si="22"/>
        <v>-23.25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38</v>
      </c>
      <c r="AI242" s="56">
        <f t="shared" si="19"/>
        <v>0</v>
      </c>
      <c r="AJ242" s="57">
        <f t="shared" si="27"/>
        <v>38</v>
      </c>
      <c r="AK242" s="58">
        <f t="shared" ref="AK242:AK267" si="28">AH242*AG242/1000</f>
        <v>152</v>
      </c>
      <c r="AL242" s="59">
        <f>AO242+AQ242-[2]Sheet1!$AH243</f>
        <v>0</v>
      </c>
      <c r="AM242" s="59">
        <f t="shared" si="25"/>
        <v>-38</v>
      </c>
      <c r="AN242" s="58">
        <f t="shared" si="21"/>
        <v>0</v>
      </c>
      <c r="AO242" s="59"/>
      <c r="AP242" s="58">
        <f t="shared" si="22"/>
        <v>-152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5</v>
      </c>
      <c r="AI251" s="56">
        <f t="shared" si="19"/>
        <v>0</v>
      </c>
      <c r="AJ251" s="57">
        <f t="shared" si="27"/>
        <v>5</v>
      </c>
      <c r="AK251" s="58">
        <f t="shared" si="28"/>
        <v>0.75</v>
      </c>
      <c r="AL251" s="59">
        <f>AO251+AQ251-[2]Sheet1!$AH252</f>
        <v>0</v>
      </c>
      <c r="AM251" s="59">
        <f t="shared" si="25"/>
        <v>-5</v>
      </c>
      <c r="AN251" s="58">
        <f t="shared" si="21"/>
        <v>0</v>
      </c>
      <c r="AO251" s="59"/>
      <c r="AP251" s="58">
        <f t="shared" si="22"/>
        <v>-0.75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13</v>
      </c>
      <c r="AI252" s="56">
        <f t="shared" si="19"/>
        <v>0</v>
      </c>
      <c r="AJ252" s="57">
        <f t="shared" si="27"/>
        <v>13</v>
      </c>
      <c r="AK252" s="58">
        <f t="shared" si="28"/>
        <v>9.75</v>
      </c>
      <c r="AL252" s="59">
        <f>AO252+AQ252-[2]Sheet1!$AH253</f>
        <v>0</v>
      </c>
      <c r="AM252" s="59">
        <f t="shared" si="25"/>
        <v>-13</v>
      </c>
      <c r="AN252" s="58">
        <f t="shared" si="21"/>
        <v>0</v>
      </c>
      <c r="AO252" s="59"/>
      <c r="AP252" s="58">
        <f t="shared" si="22"/>
        <v>-9.75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1</v>
      </c>
      <c r="AI253" s="56">
        <f t="shared" si="19"/>
        <v>0</v>
      </c>
      <c r="AJ253" s="57">
        <f t="shared" si="27"/>
        <v>1</v>
      </c>
      <c r="AK253" s="58">
        <f t="shared" si="28"/>
        <v>0.15</v>
      </c>
      <c r="AL253" s="59">
        <f>AO253+AQ253-[2]Sheet1!$AH254</f>
        <v>0</v>
      </c>
      <c r="AM253" s="59">
        <f t="shared" si="25"/>
        <v>-1</v>
      </c>
      <c r="AN253" s="58">
        <f t="shared" si="21"/>
        <v>0</v>
      </c>
      <c r="AO253" s="59"/>
      <c r="AP253" s="58">
        <f t="shared" si="22"/>
        <v>-0.15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2</v>
      </c>
      <c r="AI254" s="56">
        <f t="shared" si="19"/>
        <v>0</v>
      </c>
      <c r="AJ254" s="57">
        <f t="shared" si="27"/>
        <v>2</v>
      </c>
      <c r="AK254" s="58">
        <f t="shared" si="28"/>
        <v>1.5</v>
      </c>
      <c r="AL254" s="59">
        <f>AO254+AQ254-[2]Sheet1!$AH255</f>
        <v>0</v>
      </c>
      <c r="AM254" s="59">
        <f t="shared" si="25"/>
        <v>-2</v>
      </c>
      <c r="AN254" s="58">
        <f t="shared" si="21"/>
        <v>0</v>
      </c>
      <c r="AO254" s="59"/>
      <c r="AP254" s="58">
        <f t="shared" si="22"/>
        <v>-1.5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45">
    <mergeCell ref="N53:N55"/>
    <mergeCell ref="M53:M55"/>
    <mergeCell ref="L53:L55"/>
    <mergeCell ref="J53:J55"/>
    <mergeCell ref="I53:I55"/>
    <mergeCell ref="H53:H55"/>
    <mergeCell ref="G53:G55"/>
    <mergeCell ref="AD53:AD55"/>
    <mergeCell ref="AC53:AC55"/>
    <mergeCell ref="AB53:AB55"/>
    <mergeCell ref="AA53:AA55"/>
    <mergeCell ref="G48:G50"/>
    <mergeCell ref="J48:J50"/>
    <mergeCell ref="AA48:AE50"/>
    <mergeCell ref="AD3:AD4"/>
    <mergeCell ref="AC3:AC4"/>
    <mergeCell ref="AB3:AB4"/>
    <mergeCell ref="AA3:AA4"/>
    <mergeCell ref="H7:H8"/>
    <mergeCell ref="G7:G8"/>
    <mergeCell ref="AD7:AD8"/>
    <mergeCell ref="AC7:AC8"/>
    <mergeCell ref="AB7:AB8"/>
    <mergeCell ref="AA7:AA8"/>
    <mergeCell ref="N7:N8"/>
    <mergeCell ref="M7:M8"/>
    <mergeCell ref="L7:L8"/>
    <mergeCell ref="J7:J8"/>
    <mergeCell ref="I7:I8"/>
    <mergeCell ref="H9:H10"/>
    <mergeCell ref="G9:G10"/>
    <mergeCell ref="AD9:AD10"/>
    <mergeCell ref="AC9:AC10"/>
    <mergeCell ref="AB9:AB10"/>
    <mergeCell ref="AA9:AA10"/>
    <mergeCell ref="A1:B1"/>
    <mergeCell ref="C1:D1"/>
    <mergeCell ref="E1:F1"/>
    <mergeCell ref="U1:V1"/>
    <mergeCell ref="N3:N4"/>
    <mergeCell ref="M3:M4"/>
    <mergeCell ref="L3:L4"/>
    <mergeCell ref="J3:J4"/>
    <mergeCell ref="I3:I4"/>
    <mergeCell ref="H3:H4"/>
    <mergeCell ref="G3:G4"/>
    <mergeCell ref="N9:N10"/>
    <mergeCell ref="M9:M10"/>
    <mergeCell ref="L9:L10"/>
    <mergeCell ref="J9:J10"/>
    <mergeCell ref="I9:I10"/>
    <mergeCell ref="M12:M15"/>
    <mergeCell ref="N12:N15"/>
    <mergeCell ref="AD12:AD15"/>
    <mergeCell ref="AC12:AC15"/>
    <mergeCell ref="AB12:AB15"/>
    <mergeCell ref="AA12:AA15"/>
    <mergeCell ref="G12:G15"/>
    <mergeCell ref="H12:H15"/>
    <mergeCell ref="I12:I15"/>
    <mergeCell ref="J12:J15"/>
    <mergeCell ref="L12:L15"/>
    <mergeCell ref="G20:G22"/>
    <mergeCell ref="H20:H22"/>
    <mergeCell ref="I20:I22"/>
    <mergeCell ref="J20:J22"/>
    <mergeCell ref="L20:L22"/>
    <mergeCell ref="AD16:AD19"/>
    <mergeCell ref="AC16:AC19"/>
    <mergeCell ref="AB16:AB19"/>
    <mergeCell ref="AA16:AA19"/>
    <mergeCell ref="G16:G19"/>
    <mergeCell ref="H16:H19"/>
    <mergeCell ref="I16:I19"/>
    <mergeCell ref="J16:J19"/>
    <mergeCell ref="L16:L19"/>
    <mergeCell ref="M16:M19"/>
    <mergeCell ref="N16:N19"/>
    <mergeCell ref="AD40:AD41"/>
    <mergeCell ref="AC40:AC41"/>
    <mergeCell ref="AB40:AB41"/>
    <mergeCell ref="L25:N25"/>
    <mergeCell ref="AD25:AD26"/>
    <mergeCell ref="AC25:AC26"/>
    <mergeCell ref="AB25:AB26"/>
    <mergeCell ref="AA25:AA26"/>
    <mergeCell ref="AD20:AD22"/>
    <mergeCell ref="AC20:AC22"/>
    <mergeCell ref="AB20:AB22"/>
    <mergeCell ref="AA20:AA22"/>
    <mergeCell ref="M40:M41"/>
    <mergeCell ref="L40:L41"/>
    <mergeCell ref="M20:M22"/>
    <mergeCell ref="N20:N22"/>
    <mergeCell ref="G27:G28"/>
    <mergeCell ref="H33:H34"/>
    <mergeCell ref="G33:G34"/>
    <mergeCell ref="AD33:AD34"/>
    <mergeCell ref="AC33:AC34"/>
    <mergeCell ref="AB33:AB34"/>
    <mergeCell ref="AA33:AA34"/>
    <mergeCell ref="N33:N34"/>
    <mergeCell ref="M33:M34"/>
    <mergeCell ref="L33:L34"/>
    <mergeCell ref="J33:J34"/>
    <mergeCell ref="I33:I34"/>
    <mergeCell ref="AA27:AA28"/>
    <mergeCell ref="AC27:AC28"/>
    <mergeCell ref="N27:N28"/>
    <mergeCell ref="M27:M28"/>
    <mergeCell ref="L27:L28"/>
    <mergeCell ref="J40:J41"/>
    <mergeCell ref="J51:J52"/>
    <mergeCell ref="I51:I52"/>
    <mergeCell ref="H51:H52"/>
    <mergeCell ref="I40:I41"/>
    <mergeCell ref="J27:J28"/>
    <mergeCell ref="I27:I28"/>
    <mergeCell ref="H27:H28"/>
    <mergeCell ref="I48:I50"/>
    <mergeCell ref="H48:H50"/>
    <mergeCell ref="G51:G52"/>
    <mergeCell ref="AA51:AE52"/>
    <mergeCell ref="G42:G43"/>
    <mergeCell ref="AE25:AE26"/>
    <mergeCell ref="J46:J47"/>
    <mergeCell ref="I46:I47"/>
    <mergeCell ref="H46:H47"/>
    <mergeCell ref="G46:G47"/>
    <mergeCell ref="AA46:AE47"/>
    <mergeCell ref="M42:M43"/>
    <mergeCell ref="L42:L43"/>
    <mergeCell ref="J42:J43"/>
    <mergeCell ref="I42:I43"/>
    <mergeCell ref="H42:H43"/>
    <mergeCell ref="AD42:AD43"/>
    <mergeCell ref="AC42:AC43"/>
    <mergeCell ref="AB42:AB43"/>
    <mergeCell ref="AA42:AA43"/>
    <mergeCell ref="N42:N43"/>
    <mergeCell ref="H40:H41"/>
    <mergeCell ref="G40:G41"/>
    <mergeCell ref="AA40:AA41"/>
    <mergeCell ref="L46:N52"/>
    <mergeCell ref="N40:N41"/>
  </mergeCells>
  <conditionalFormatting sqref="G2:J3 AD2:AD3 Z2:Z200 J5:J7 AD5:AD7 J9 AD9 G11:J12 AD11:AD12 G16:J16 AD16 G20:J20 AD20 AD23:AD25 G23:J27 AD27:AD33 G29:J33 G35:J40 AD35:AD40 G42:J42 AD42 AD44:AD45 G44:J46 G48:J48 G51:J51 G53:J53 AD53 G56:J200 AD56:AD200">
    <cfRule type="expression" dxfId="57" priority="63">
      <formula>$A2</formula>
    </cfRule>
    <cfRule type="expression" dxfId="56" priority="65">
      <formula>$E2</formula>
    </cfRule>
  </conditionalFormatting>
  <conditionalFormatting sqref="K2:Z2 G2:J3 AA2:AF3 Q3:Z200 J5:J7 AA5:AF7 J9 AA9:AF9 G11:P12 AA11:AF12 G16:P16 AA16:AF16 G20:P20 AA20:AF20 G23:P24 AA23:AF25 G25:L25 G26:P27 AA27:AF27 AD28:AF28 G29:P33 AA29:AF33 G35:P40 AA35:AF40 G42:P42 AA42:AF42 G44:P45 AA44:AF45 G46:L46 G48:K48 G51:K51 G53:P53 AA53:AF53 G56:P200 AA56:AF200 K3:P3 AE4:AF4 K4:K10 O4:P10 H5:H7 AE8:AF8 H9 AE10:AF10 K13:K15 O13:P15 AE13:AF15 K17:K19 O17:P19 AE17:AF19 K21:K22 O21:P22 AE21:AF22 O25:P25 AF26 K28 O28:P28 AB28 K34 O34:P34 AE34:AF34 K41 O41:P41 AE41:AF41 K43 O43:P43 AE43:AF43 O46:P52 AF46:AF52 K47 AA48 K49:K50 AA51 K52 K54:K55 O54:P55 AE54:AF55">
    <cfRule type="expression" dxfId="55" priority="64">
      <formula>$C2</formula>
    </cfRule>
  </conditionalFormatting>
  <conditionalFormatting sqref="W2:W200">
    <cfRule type="expression" dxfId="54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{2ACDA101-BAA7-4F98-8946-33911FF2FCC6}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{29940C3A-64DD-4EDD-8D98-5FCFDA7ABB0E}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{2416C6BD-10A7-4BF8-BA1D-97EBB435AF24}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{5C913A75-46CA-4939-AA45-9BF815734A56}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{600DB514-7F76-4A72-BC9E-A6CFF4FAE9BE}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{864BE2C9-FA77-41A2-B6DC-B5F85A951DF6}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{EC4211B4-6751-40B8-AF7E-177BF84AC2C8}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{5AC73FDF-4038-44F8-A578-F896174AEACF}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{DD2258FB-B366-402A-9B66-17932EBDA46E}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{79468271-D35F-4E07-9E22-8135D220ADD4}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{0DB7F416-69F8-4F39-90B5-72652A2ABAC9}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{108F3359-7AF1-47E0-A3E0-3CDE28017281}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{200B8D6D-B9D1-492D-8F93-B66D6E53AB2A}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{19E89D34-6933-470F-84AF-1576D431E4BD}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{7182214D-B0B1-4F32-90BC-F2CBA95BAD65}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{F7DEE7B2-F512-4C27-B59E-216DD29A5764}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{C57C8524-F62D-47C5-8C90-011BAF5FF664}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{05A40C99-1EEF-4B65-B1E4-E733ED6F5E3D}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{49EB8A52-5EB4-4893-AEE4-CB421BF4E778}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{82443526-F0CC-488D-BEE5-BE908D16229C}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{01AA922B-85FF-4BF8-A3F6-4AD5E8AB49B8}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{C396AE83-5ADD-4866-B1AE-891EFF1F9B6A}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{09D97FFA-4891-4CDD-9567-EF808AEABD03}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{F5321367-54CE-4B5A-A9CF-A2D5BF8E64DC}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{FDAB0AB4-001D-4D22-8014-1D1677E38A05}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{5F0A4EEB-A851-434C-AB76-770DBD354115}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{18602834-2DD3-41D6-9CB2-C5C6CF8C6349}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{ABBC9B06-EDCF-447D-9C3E-B5BCB0127BE2}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{E80F723A-3761-4B69-8819-B3FA6DBF7B74}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{4A48889C-C75F-4A60-9C46-1CD3616E8DAE}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{948F35AF-EA53-4224-8EBD-4A9CD7A91131}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{97D3856C-9408-43F3-8F4F-A6AECD2B436A}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{03C9D52D-E1E2-46F7-8740-395BD7978F9C}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{FE0AB206-FD0F-4C15-BD53-AC31D4F50BB7}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{74F28534-8236-422F-B8D0-057A2B8124E5}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{75FBAA0E-A426-42FB-BC2B-5C0CCDC62F86}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{FF5EC062-499B-454D-87A3-CA76552793B8}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{50DE6235-113B-4184-B8CC-9F1AC0646688}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{B1F7F1E2-BFF6-4CC6-B246-4B0A5DA0B629}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{46C24810-A55A-43F9-9F49-67D5991F2853}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{3C502A19-1D2A-4EDF-B15D-AFF6C7AA0BE9}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{87D2F2AE-C2BC-468F-B66D-F0BA2A4D6C6C}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{5BD8C827-995F-4023-B5DD-F904B04DC882}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{F2244FE7-1CC5-4A01-8627-1ECD85E3E48D}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{289F0B6B-6AEC-4F36-9CF0-48892D624968}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{CE7CA3B9-1F77-45AA-BE7E-169D721BAA76}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{5FFBF42D-1DC7-4767-A8AB-CDB361326364}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{68F232D0-3155-441A-A81F-DD4B2940E13A}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{FC44DCDB-3ECE-4751-931A-218D2B6371AD}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{80A66AC1-DFA5-497D-B6DB-EBEDD0F4B848}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{6AFE6757-CD3C-4560-981D-86990A7022CE}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{755CFA53-B1F5-4AD3-A682-88BB83300B49}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{8629D077-1C6F-496F-86E6-DA5237299E5A}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{6E115D1A-F16B-4A15-B104-0942653B3DDF}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{46D11883-E3AA-4A71-A92C-C45DD3F73062}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{4CF261C9-7312-491E-AADB-A4102F31B2C5}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{08584E03-B864-4B27-91E4-959968F9D022}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{86CC8EA5-4FF8-48B7-8866-900B02DDD0F9}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{B1907E1B-E01B-4DE7-BE1B-7E651C20859F}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{3620A1E4-4903-4B66-8724-CE02214CDD52}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{1ADCBF68-8571-4F70-B226-F6BEA3B0728E}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ACDA101-BAA7-4F98-8946-33911FF2FCC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29940C3A-64DD-4EDD-8D98-5FCFDA7ABB0E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2416C6BD-10A7-4BF8-BA1D-97EBB435AF24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C913A75-46CA-4939-AA45-9BF815734A56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600DB514-7F76-4A72-BC9E-A6CFF4FAE9BE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864BE2C9-FA77-41A2-B6DC-B5F85A951DF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EC4211B4-6751-40B8-AF7E-177BF84AC2C8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AC73FDF-4038-44F8-A578-F896174AEAC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DD2258FB-B366-402A-9B66-17932EBDA46E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79468271-D35F-4E07-9E22-8135D220ADD4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0DB7F416-69F8-4F39-90B5-72652A2ABAC9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108F3359-7AF1-47E0-A3E0-3CDE2801728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200B8D6D-B9D1-492D-8F93-B66D6E53AB2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19E89D34-6933-470F-84AF-1576D431E4BD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182214D-B0B1-4F32-90BC-F2CBA95BAD65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7DEE7B2-F512-4C27-B59E-216DD29A5764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57C8524-F62D-47C5-8C90-011BAF5FF66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05A40C99-1EEF-4B65-B1E4-E733ED6F5E3D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49EB8A52-5EB4-4893-AEE4-CB421BF4E778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82443526-F0CC-488D-BEE5-BE908D16229C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01AA922B-85FF-4BF8-A3F6-4AD5E8AB49B8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C396AE83-5ADD-4866-B1AE-891EFF1F9B6A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09D97FFA-4891-4CDD-9567-EF808AEABD0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5321367-54CE-4B5A-A9CF-A2D5BF8E64DC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DAB0AB4-001D-4D22-8014-1D1677E38A0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F0A4EEB-A851-434C-AB76-770DBD354115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18602834-2DD3-41D6-9CB2-C5C6CF8C6349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ABBC9B06-EDCF-447D-9C3E-B5BCB0127BE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E80F723A-3761-4B69-8819-B3FA6DBF7B7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4A48889C-C75F-4A60-9C46-1CD3616E8DAE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948F35AF-EA53-4224-8EBD-4A9CD7A91131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97D3856C-9408-43F3-8F4F-A6AECD2B436A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3C9D52D-E1E2-46F7-8740-395BD7978F9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FE0AB206-FD0F-4C15-BD53-AC31D4F50BB7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74F28534-8236-422F-B8D0-057A2B8124E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5FBAA0E-A426-42FB-BC2B-5C0CCDC62F8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FF5EC062-499B-454D-87A3-CA76552793B8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50DE6235-113B-4184-B8CC-9F1AC0646688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B1F7F1E2-BFF6-4CC6-B246-4B0A5DA0B629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46C24810-A55A-43F9-9F49-67D5991F2853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3C502A19-1D2A-4EDF-B15D-AFF6C7AA0BE9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87D2F2AE-C2BC-468F-B66D-F0BA2A4D6C6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5BD8C827-995F-4023-B5DD-F904B04DC882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F2244FE7-1CC5-4A01-8627-1ECD85E3E48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289F0B6B-6AEC-4F36-9CF0-48892D624968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E7CA3B9-1F77-45AA-BE7E-169D721BAA76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5FFBF42D-1DC7-4767-A8AB-CDB361326364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68F232D0-3155-441A-A81F-DD4B2940E13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FC44DCDB-3ECE-4751-931A-218D2B6371A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80A66AC1-DFA5-497D-B6DB-EBEDD0F4B84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6AFE6757-CD3C-4560-981D-86990A7022CE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755CFA53-B1F5-4AD3-A682-88BB83300B49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8629D077-1C6F-496F-86E6-DA5237299E5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6E115D1A-F16B-4A15-B104-0942653B3DDF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6D11883-E3AA-4A71-A92C-C45DD3F7306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4CF261C9-7312-491E-AADB-A4102F31B2C5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08584E03-B864-4B27-91E4-959968F9D022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86CC8EA5-4FF8-48B7-8866-900B02DDD0F9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B1907E1B-E01B-4DE7-BE1B-7E651C20859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3620A1E4-4903-4B66-8724-CE02214CDD52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1ADCBF68-8571-4F70-B226-F6BEA3B0728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954F0-B9C0-48F5-ABFA-D501FFE35AFF}">
  <dimension ref="A1:AR267"/>
  <sheetViews>
    <sheetView rightToLeft="1" topLeftCell="G1" zoomScale="70" zoomScaleNormal="70" workbookViewId="0">
      <selection activeCell="J20" sqref="J20:J21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8.88671875" style="28" bestFit="1" customWidth="1"/>
    <col min="9" max="9" width="20.5546875" style="24" bestFit="1" customWidth="1"/>
    <col min="10" max="10" width="16.33203125" style="24" customWidth="1"/>
    <col min="11" max="11" width="14.109375" style="24" hidden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91.33203125" style="24" bestFit="1" customWidth="1"/>
    <col min="29" max="29" width="15.77734375" style="31" bestFit="1" customWidth="1"/>
    <col min="30" max="30" width="13.6640625" style="32" bestFit="1" customWidth="1"/>
    <col min="31" max="31" width="58.6640625" style="24" bestFit="1" customWidth="1"/>
    <col min="32" max="32" width="28.33203125" style="24" bestFit="1" customWidth="1"/>
    <col min="33" max="33" width="13.5546875" style="24" bestFit="1" customWidth="1"/>
    <col min="34" max="34" width="114.5546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1" t="s">
        <v>0</v>
      </c>
      <c r="B1" s="152"/>
      <c r="C1" s="151" t="s">
        <v>1</v>
      </c>
      <c r="D1" s="152"/>
      <c r="E1" s="151" t="s">
        <v>2</v>
      </c>
      <c r="F1" s="152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3" t="s">
        <v>17</v>
      </c>
      <c r="V1" s="154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>
        <v>1</v>
      </c>
      <c r="H2" s="10">
        <v>276986484188</v>
      </c>
      <c r="I2" s="9" t="s">
        <v>372</v>
      </c>
      <c r="J2" s="9"/>
      <c r="K2" s="11" t="str">
        <f t="shared" ref="K2:K65" ca="1" si="0">IF(C2, TODAY(), "" )</f>
        <v/>
      </c>
      <c r="L2" s="12" t="s">
        <v>112</v>
      </c>
      <c r="M2" s="12" t="s">
        <v>445</v>
      </c>
      <c r="N2" s="12"/>
      <c r="O2" s="9">
        <v>3326.2</v>
      </c>
      <c r="P2" s="9">
        <v>1</v>
      </c>
      <c r="Q2" s="13" t="str">
        <f>VLOOKUP(O2, '[1]لیست محصولات اردیبهشت ۱۴۰۳'!B:C,2,0)</f>
        <v>میاگروس | Milagros</v>
      </c>
      <c r="R2" s="9"/>
      <c r="S2" s="12">
        <f>VLOOKUP(O2, '[1]لیست محصولات اردیبهشت ۱۴۰۳'!B:F,5,0)</f>
        <v>750</v>
      </c>
      <c r="T2" s="14">
        <f>VLOOKUP(O2, '[1]لیست محصولات اردیبهشت ۱۴۰۳'!B:G,6,0)</f>
        <v>18150000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18150000</v>
      </c>
      <c r="Y2" s="17"/>
      <c r="Z2" s="14">
        <f t="shared" ref="Z2:Z65" si="4">X2-Y2</f>
        <v>18150000</v>
      </c>
      <c r="AA2" s="18" t="s">
        <v>79</v>
      </c>
      <c r="AB2" s="13" t="s">
        <v>446</v>
      </c>
      <c r="AC2" s="19" t="s">
        <v>447</v>
      </c>
      <c r="AD2" s="20" t="s">
        <v>99</v>
      </c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سعادت آباد بلوار دریا خیابان صرافهای جنوبی کوچه قره تپه ای پلاک ۶۶ واحد ۱  - محمدرضا محمدی رفیع 09194189788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276988252937</v>
      </c>
      <c r="I3" s="9" t="s">
        <v>372</v>
      </c>
      <c r="J3" s="9"/>
      <c r="K3" s="11" t="str">
        <f t="shared" ca="1" si="0"/>
        <v/>
      </c>
      <c r="L3" s="12" t="s">
        <v>176</v>
      </c>
      <c r="M3" s="12" t="s">
        <v>448</v>
      </c>
      <c r="N3" s="12"/>
      <c r="O3" s="9">
        <v>5522.2</v>
      </c>
      <c r="P3" s="9">
        <v>1</v>
      </c>
      <c r="Q3" s="13" t="str">
        <f>VLOOKUP(O3, '[1]لیست محصولات اردیبهشت ۱۴۰۳'!B:C,2,0)</f>
        <v>تامارا | Tamara</v>
      </c>
      <c r="R3" s="9"/>
      <c r="S3" s="12">
        <f>VLOOKUP(O3, '[1]لیست محصولات اردیبهشت ۱۴۰۳'!B:F,5,0)</f>
        <v>750</v>
      </c>
      <c r="T3" s="14">
        <f>VLOOKUP(O3, '[1]لیست محصولات اردیبهشت ۱۴۰۳'!B:G,6,0)</f>
        <v>12450000</v>
      </c>
      <c r="U3" s="15"/>
      <c r="V3" s="16">
        <f t="shared" si="1"/>
        <v>0</v>
      </c>
      <c r="W3" s="12">
        <f t="shared" si="2"/>
        <v>1</v>
      </c>
      <c r="X3" s="14">
        <f t="shared" si="3"/>
        <v>12450000</v>
      </c>
      <c r="Y3" s="17"/>
      <c r="Z3" s="14">
        <f t="shared" si="4"/>
        <v>12450000</v>
      </c>
      <c r="AA3" s="18" t="s">
        <v>449</v>
      </c>
      <c r="AB3" s="13" t="s">
        <v>450</v>
      </c>
      <c r="AC3" s="19" t="s">
        <v>451</v>
      </c>
      <c r="AD3" s="20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خراسان رضوی تایباد بلوار آزادی بین ازادی9و11  - معین عبدالهی 09100142274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>
        <v>3</v>
      </c>
      <c r="H4" s="10">
        <v>276988803388</v>
      </c>
      <c r="I4" s="25" t="s">
        <v>372</v>
      </c>
      <c r="J4" s="9"/>
      <c r="K4" s="11" t="str">
        <f t="shared" ca="1" si="0"/>
        <v/>
      </c>
      <c r="L4" s="12" t="s">
        <v>452</v>
      </c>
      <c r="M4" s="12" t="s">
        <v>453</v>
      </c>
      <c r="N4" s="12" t="s">
        <v>456</v>
      </c>
      <c r="O4" s="9">
        <v>5501.3</v>
      </c>
      <c r="P4" s="9">
        <v>1</v>
      </c>
      <c r="Q4" s="13" t="str">
        <f>VLOOKUP(O4, '[1]لیست محصولات اردیبهشت ۱۴۰۳'!B:C,2,0)</f>
        <v>ورتکس | Vortex</v>
      </c>
      <c r="R4" s="9"/>
      <c r="S4" s="12">
        <f>VLOOKUP(O4, '[1]لیست محصولات اردیبهشت ۱۴۰۳'!B:F,5,0)</f>
        <v>4000</v>
      </c>
      <c r="T4" s="14">
        <f>VLOOKUP(O4, '[1]لیست محصولات اردیبهشت ۱۴۰۳'!B:G,6,0)</f>
        <v>51200000</v>
      </c>
      <c r="U4" s="15"/>
      <c r="V4" s="16">
        <f t="shared" si="1"/>
        <v>0</v>
      </c>
      <c r="W4" s="12">
        <f t="shared" si="2"/>
        <v>1</v>
      </c>
      <c r="X4" s="14">
        <f t="shared" si="3"/>
        <v>51200000</v>
      </c>
      <c r="Y4" s="17"/>
      <c r="Z4" s="14">
        <f t="shared" si="4"/>
        <v>51200000</v>
      </c>
      <c r="AA4" s="18" t="s">
        <v>79</v>
      </c>
      <c r="AB4" s="13" t="s">
        <v>454</v>
      </c>
      <c r="AC4" s="19" t="s">
        <v>455</v>
      </c>
      <c r="AD4" s="20" t="s">
        <v>99</v>
      </c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چهار راه ولیعصر به سمت میدان انقلاب ، بعد از خیابان فلسطین پلاک ۹۵۵ کافه فلسطین (کندو) - امیر اسدی 09102706059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4</v>
      </c>
      <c r="H5" s="10">
        <v>276990471292</v>
      </c>
      <c r="I5" s="25" t="s">
        <v>372</v>
      </c>
      <c r="J5" s="9"/>
      <c r="K5" s="11" t="str">
        <f t="shared" ca="1" si="0"/>
        <v/>
      </c>
      <c r="L5" s="12" t="s">
        <v>457</v>
      </c>
      <c r="M5" s="12" t="s">
        <v>458</v>
      </c>
      <c r="N5" s="12" t="s">
        <v>459</v>
      </c>
      <c r="O5" s="9">
        <v>3326.2</v>
      </c>
      <c r="P5" s="9">
        <v>1</v>
      </c>
      <c r="Q5" s="13" t="str">
        <f>VLOOKUP(O5, '[1]لیست محصولات اردیبهشت ۱۴۰۳'!B:C,2,0)</f>
        <v>میاگروس | Milagros</v>
      </c>
      <c r="R5" s="9"/>
      <c r="S5" s="12">
        <f>VLOOKUP(O5, '[1]لیست محصولات اردیبهشت ۱۴۰۳'!B:F,5,0)</f>
        <v>750</v>
      </c>
      <c r="T5" s="14">
        <f>VLOOKUP(O5, '[1]لیست محصولات اردیبهشت ۱۴۰۳'!B:G,6,0)</f>
        <v>18150000</v>
      </c>
      <c r="U5" s="15"/>
      <c r="V5" s="16">
        <f t="shared" si="1"/>
        <v>0</v>
      </c>
      <c r="W5" s="12">
        <f t="shared" si="2"/>
        <v>1</v>
      </c>
      <c r="X5" s="14">
        <f t="shared" si="3"/>
        <v>18150000</v>
      </c>
      <c r="Y5" s="17"/>
      <c r="Z5" s="14">
        <f t="shared" si="4"/>
        <v>18150000</v>
      </c>
      <c r="AA5" s="18" t="s">
        <v>79</v>
      </c>
      <c r="AB5" s="13" t="s">
        <v>460</v>
      </c>
      <c r="AC5" s="19" t="s">
        <v>461</v>
      </c>
      <c r="AD5" s="20" t="s">
        <v>99</v>
      </c>
      <c r="AE5" s="19"/>
      <c r="AF5" s="21"/>
      <c r="AG5" s="22" t="str">
        <f t="shared" si="5"/>
        <v>TRUE</v>
      </c>
      <c r="AH5" s="23" t="str">
        <f t="shared" si="6"/>
        <v>تهران میدان هفت تیر . خ مفتح جنوبی . خ ورکش . نبش کوچه سیاسی پ ۱۷.۷ کافه راب - اشکان رستمی 09384346362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5</v>
      </c>
      <c r="H6" s="10">
        <v>277005182535</v>
      </c>
      <c r="I6" s="25" t="s">
        <v>372</v>
      </c>
      <c r="J6" s="9"/>
      <c r="K6" s="11" t="str">
        <f t="shared" ca="1" si="0"/>
        <v/>
      </c>
      <c r="L6" s="12" t="s">
        <v>462</v>
      </c>
      <c r="M6" s="12" t="s">
        <v>463</v>
      </c>
      <c r="N6" s="12"/>
      <c r="O6" s="9">
        <v>5523.2</v>
      </c>
      <c r="P6" s="9">
        <v>1</v>
      </c>
      <c r="Q6" s="13" t="str">
        <f>VLOOKUP(O6, '[1]لیست محصولات اردیبهشت ۱۴۰۳'!B:C,2,0)</f>
        <v>کوتوا دانکن | Kotowa Duncan</v>
      </c>
      <c r="R6" s="9"/>
      <c r="S6" s="12">
        <f>VLOOKUP(O6, '[1]لیست محصولات اردیبهشت ۱۴۰۳'!B:F,5,0)</f>
        <v>750</v>
      </c>
      <c r="T6" s="14">
        <f>VLOOKUP(O6, '[1]لیست محصولات اردیبهشت ۱۴۰۳'!B:G,6,0)</f>
        <v>12150000</v>
      </c>
      <c r="U6" s="15"/>
      <c r="V6" s="16">
        <f t="shared" si="1"/>
        <v>0</v>
      </c>
      <c r="W6" s="12">
        <f t="shared" si="2"/>
        <v>1</v>
      </c>
      <c r="X6" s="14">
        <f t="shared" si="3"/>
        <v>12150000</v>
      </c>
      <c r="Y6" s="17"/>
      <c r="Z6" s="14">
        <f t="shared" si="4"/>
        <v>12150000</v>
      </c>
      <c r="AA6" s="18" t="s">
        <v>464</v>
      </c>
      <c r="AB6" s="13" t="s">
        <v>465</v>
      </c>
      <c r="AC6" s="19" t="s">
        <v>466</v>
      </c>
      <c r="AD6" s="20"/>
      <c r="AE6" s="68" t="s">
        <v>467</v>
      </c>
      <c r="AF6" s="21"/>
      <c r="AG6" s="22" t="str">
        <f t="shared" si="5"/>
        <v>TRUE</v>
      </c>
      <c r="AH6" s="23" t="str">
        <f t="shared" si="6"/>
        <v>اهواز شهرک نفت،فاز ۵،خیابان آبان ۲،پلاک ۱۲۱۷  - دانیال دهبان نژاد 09376324393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6</v>
      </c>
      <c r="H7" s="10">
        <v>277054175024</v>
      </c>
      <c r="I7" s="9" t="s">
        <v>442</v>
      </c>
      <c r="J7" s="9"/>
      <c r="K7" s="11" t="str">
        <f t="shared" ca="1" si="0"/>
        <v/>
      </c>
      <c r="L7" s="12" t="s">
        <v>204</v>
      </c>
      <c r="M7" s="12" t="s">
        <v>468</v>
      </c>
      <c r="N7" s="12"/>
      <c r="O7" s="9">
        <v>5511.22</v>
      </c>
      <c r="P7" s="9">
        <v>1</v>
      </c>
      <c r="Q7" s="69" t="str">
        <f>VLOOKUP(O7, '[1]لیست محصولات اردیبهشت ۱۴۰۳'!B:C,2,0)</f>
        <v>هامبلا(رست دمی) | Hambella( Filter Roast)</v>
      </c>
      <c r="R7" s="9"/>
      <c r="S7" s="12">
        <f>VLOOKUP(O7, '[1]لیست محصولات اردیبهشت ۱۴۰۳'!B:F,5,0)</f>
        <v>750</v>
      </c>
      <c r="T7" s="14">
        <f>VLOOKUP(O7, '[1]لیست محصولات اردیبهشت ۱۴۰۳'!B:G,6,0)</f>
        <v>13350000</v>
      </c>
      <c r="U7" s="26"/>
      <c r="V7" s="16">
        <f t="shared" si="1"/>
        <v>0</v>
      </c>
      <c r="W7" s="12">
        <f t="shared" si="2"/>
        <v>1</v>
      </c>
      <c r="X7" s="14">
        <f t="shared" si="3"/>
        <v>13350000</v>
      </c>
      <c r="Y7" s="17"/>
      <c r="Z7" s="14">
        <f t="shared" si="4"/>
        <v>13350000</v>
      </c>
      <c r="AA7" s="18" t="s">
        <v>250</v>
      </c>
      <c r="AB7" s="13" t="s">
        <v>469</v>
      </c>
      <c r="AC7" s="19" t="s">
        <v>470</v>
      </c>
      <c r="AD7" s="20"/>
      <c r="AE7" s="19"/>
      <c r="AF7" s="21"/>
      <c r="AG7" s="22" t="str">
        <f t="shared" si="5"/>
        <v>TRUE</v>
      </c>
      <c r="AH7" s="23" t="str">
        <f t="shared" si="6"/>
        <v>کرج خیابان کسری - خیابان شهید بهشتی - میدان گلها - کوچه نسیم - ساختمان نسیم - طبقه 5 - واحد 11  - محمدمهدی علیا 09307770110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66">
        <v>7</v>
      </c>
      <c r="H8" s="67"/>
      <c r="I8" s="66" t="s">
        <v>442</v>
      </c>
      <c r="J8" s="9" t="s">
        <v>76</v>
      </c>
      <c r="K8" s="11" t="str">
        <f t="shared" ca="1" si="0"/>
        <v/>
      </c>
      <c r="L8" s="12" t="s">
        <v>471</v>
      </c>
      <c r="M8" s="12"/>
      <c r="N8" s="12" t="s">
        <v>472</v>
      </c>
      <c r="O8" s="9">
        <v>5501.3</v>
      </c>
      <c r="P8" s="9">
        <v>4</v>
      </c>
      <c r="Q8" s="13" t="str">
        <f>VLOOKUP(O8, '[1]لیست محصولات اردیبهشت ۱۴۰۳'!B:C,2,0)</f>
        <v>ورتکس | Vortex</v>
      </c>
      <c r="R8" s="9"/>
      <c r="S8" s="12">
        <f>VLOOKUP(O8, '[1]لیست محصولات اردیبهشت ۱۴۰۳'!B:F,5,0)</f>
        <v>4000</v>
      </c>
      <c r="T8" s="14">
        <f>VLOOKUP(O8, '[1]لیست محصولات اردیبهشت ۱۴۰۳'!B:G,6,0)</f>
        <v>51200000</v>
      </c>
      <c r="U8" s="15"/>
      <c r="V8" s="16">
        <f t="shared" si="1"/>
        <v>0</v>
      </c>
      <c r="W8" s="12">
        <f t="shared" si="2"/>
        <v>4</v>
      </c>
      <c r="X8" s="14">
        <f t="shared" si="3"/>
        <v>204800000</v>
      </c>
      <c r="Y8" s="17"/>
      <c r="Z8" s="14">
        <f t="shared" si="4"/>
        <v>204800000</v>
      </c>
      <c r="AA8" s="18" t="s">
        <v>79</v>
      </c>
      <c r="AB8" s="13" t="s">
        <v>474</v>
      </c>
      <c r="AC8" s="19" t="s">
        <v>473</v>
      </c>
      <c r="AD8" s="20"/>
      <c r="AE8" s="19"/>
      <c r="AF8" s="21"/>
      <c r="AG8" s="22" t="str">
        <f t="shared" si="5"/>
        <v>TRUE</v>
      </c>
      <c r="AH8" s="23" t="str">
        <f t="shared" si="6"/>
        <v>تهران خ حافظ خ نوفل لوشاتو خ هانری کوربن پلاک ۸ کافه پلتفرم وست - واهه  09124753526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32">
        <v>8</v>
      </c>
      <c r="H9" s="130">
        <v>277063695130</v>
      </c>
      <c r="I9" s="132" t="s">
        <v>442</v>
      </c>
      <c r="J9" s="132"/>
      <c r="K9" s="11" t="str">
        <f t="shared" ca="1" si="0"/>
        <v/>
      </c>
      <c r="L9" s="142" t="s">
        <v>475</v>
      </c>
      <c r="M9" s="142" t="s">
        <v>476</v>
      </c>
      <c r="N9" s="142"/>
      <c r="O9" s="9">
        <v>1130.0999999999999</v>
      </c>
      <c r="P9" s="9">
        <v>1</v>
      </c>
      <c r="Q9" s="13" t="str">
        <f>VLOOKUP(O9, '[1]لیست محصولات اردیبهشت ۱۴۰۳'!B:C,2,0)</f>
        <v>الیدا پلانو | Elida Plano</v>
      </c>
      <c r="R9" s="9" t="s">
        <v>255</v>
      </c>
      <c r="S9" s="12">
        <f>VLOOKUP(O9, '[1]لیست محصولات اردیبهشت ۱۴۰۳'!B:F,5,0)</f>
        <v>80</v>
      </c>
      <c r="T9" s="14">
        <f>VLOOKUP(O9, '[1]لیست محصولات اردیبهشت ۱۴۰۳'!B:G,6,0)</f>
        <v>13100000</v>
      </c>
      <c r="U9" s="15"/>
      <c r="V9" s="16">
        <f t="shared" si="1"/>
        <v>0</v>
      </c>
      <c r="W9" s="12">
        <f t="shared" si="2"/>
        <v>1</v>
      </c>
      <c r="X9" s="14">
        <f t="shared" si="3"/>
        <v>13100000</v>
      </c>
      <c r="Y9" s="17"/>
      <c r="Z9" s="14">
        <f t="shared" si="4"/>
        <v>13100000</v>
      </c>
      <c r="AA9" s="140" t="s">
        <v>79</v>
      </c>
      <c r="AB9" s="138" t="s">
        <v>477</v>
      </c>
      <c r="AC9" s="136" t="s">
        <v>478</v>
      </c>
      <c r="AD9" s="134" t="s">
        <v>99</v>
      </c>
      <c r="AE9" s="19"/>
      <c r="AF9" s="21"/>
      <c r="AG9" s="22" t="str">
        <f t="shared" si="5"/>
        <v>TRUE</v>
      </c>
      <c r="AH9" s="23" t="str">
        <f t="shared" si="6"/>
        <v>تهران الهیه، خیابان مریم شرقی، پلاک 34 شرکت استیل البرز  - جمال فلاحت گر 09121309416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33"/>
      <c r="H10" s="131"/>
      <c r="I10" s="133"/>
      <c r="J10" s="133"/>
      <c r="K10" s="11" t="str">
        <f t="shared" ca="1" si="0"/>
        <v/>
      </c>
      <c r="L10" s="143"/>
      <c r="M10" s="143"/>
      <c r="N10" s="143"/>
      <c r="O10" s="9">
        <v>5511.2</v>
      </c>
      <c r="P10" s="9">
        <v>1</v>
      </c>
      <c r="Q10" s="13" t="str">
        <f>VLOOKUP(O10, '[1]لیست محصولات اردیبهشت ۱۴۰۳'!B:C,2,0)</f>
        <v>هامبلا | Hambella</v>
      </c>
      <c r="R10" s="9" t="s">
        <v>255</v>
      </c>
      <c r="S10" s="12">
        <f>VLOOKUP(O10, '[1]لیست محصولات اردیبهشت ۱۴۰۳'!B:F,5,0)</f>
        <v>750</v>
      </c>
      <c r="T10" s="14">
        <f>VLOOKUP(O10, '[1]لیست محصولات اردیبهشت ۱۴۰۳'!B:G,6,0)</f>
        <v>13350000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13350000</v>
      </c>
      <c r="Y10" s="17"/>
      <c r="Z10" s="14">
        <f t="shared" si="4"/>
        <v>13350000</v>
      </c>
      <c r="AA10" s="141"/>
      <c r="AB10" s="139"/>
      <c r="AC10" s="137"/>
      <c r="AD10" s="135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9</v>
      </c>
      <c r="H11" s="10">
        <v>606823</v>
      </c>
      <c r="I11" s="9" t="s">
        <v>442</v>
      </c>
      <c r="J11" s="9"/>
      <c r="K11" s="11" t="str">
        <f t="shared" ca="1" si="0"/>
        <v/>
      </c>
      <c r="L11" s="12" t="s">
        <v>479</v>
      </c>
      <c r="M11" s="12" t="s">
        <v>480</v>
      </c>
      <c r="N11" s="12" t="s">
        <v>481</v>
      </c>
      <c r="O11" s="9">
        <v>5501.2</v>
      </c>
      <c r="P11" s="9">
        <v>3</v>
      </c>
      <c r="Q11" s="13" t="str">
        <f>VLOOKUP(O11, '[1]لیست محصولات اردیبهشت ۱۴۰۳'!B:C,2,0)</f>
        <v>ورتکس | Vortex</v>
      </c>
      <c r="R11" s="9"/>
      <c r="S11" s="12">
        <f>VLOOKUP(O11, '[1]لیست محصولات اردیبهشت ۱۴۰۳'!B:F,5,0)</f>
        <v>750</v>
      </c>
      <c r="T11" s="14">
        <f>VLOOKUP(O11, '[1]لیست محصولات اردیبهشت ۱۴۰۳'!B:G,6,0)</f>
        <v>9900000</v>
      </c>
      <c r="U11" s="15"/>
      <c r="V11" s="16">
        <f t="shared" si="1"/>
        <v>0</v>
      </c>
      <c r="W11" s="12">
        <f t="shared" si="2"/>
        <v>3</v>
      </c>
      <c r="X11" s="14">
        <f t="shared" si="3"/>
        <v>29700000</v>
      </c>
      <c r="Y11" s="17"/>
      <c r="Z11" s="14">
        <f t="shared" si="4"/>
        <v>29700000</v>
      </c>
      <c r="AA11" s="18" t="s">
        <v>79</v>
      </c>
      <c r="AB11" s="13" t="s">
        <v>482</v>
      </c>
      <c r="AC11" s="19" t="s">
        <v>483</v>
      </c>
      <c r="AD11" s="20" t="s">
        <v>99</v>
      </c>
      <c r="AE11" s="19"/>
      <c r="AF11" s="21"/>
      <c r="AG11" s="22" t="str">
        <f t="shared" si="5"/>
        <v>TRUE</v>
      </c>
      <c r="AH11" s="23" t="str">
        <f t="shared" si="6"/>
        <v>تهران بلوار دریا . خیابان موج.مابین توحید سه و چهار پلاک ۸ کافه لین - محمدامین اتابکی 09198362066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10</v>
      </c>
      <c r="H12" s="10">
        <v>277071938599</v>
      </c>
      <c r="I12" s="9" t="s">
        <v>442</v>
      </c>
      <c r="J12" s="9"/>
      <c r="K12" s="11" t="str">
        <f t="shared" ca="1" si="0"/>
        <v/>
      </c>
      <c r="L12" s="12" t="s">
        <v>433</v>
      </c>
      <c r="M12" s="12" t="s">
        <v>484</v>
      </c>
      <c r="N12" s="12" t="s">
        <v>485</v>
      </c>
      <c r="O12" s="9">
        <v>5501.2</v>
      </c>
      <c r="P12" s="9">
        <v>1</v>
      </c>
      <c r="Q12" s="13" t="str">
        <f>VLOOKUP(O12, '[1]لیست محصولات اردیبهشت ۱۴۰۳'!B:C,2,0)</f>
        <v>ورتکس | Vortex</v>
      </c>
      <c r="R12" s="9"/>
      <c r="S12" s="12">
        <f>VLOOKUP(O12, '[1]لیست محصولات اردیبهشت ۱۴۰۳'!B:F,5,0)</f>
        <v>750</v>
      </c>
      <c r="T12" s="14">
        <f>VLOOKUP(O12, '[1]لیست محصولات اردیبهشت ۱۴۰۳'!B:G,6,0)</f>
        <v>9900000</v>
      </c>
      <c r="U12" s="15"/>
      <c r="V12" s="16">
        <f t="shared" si="1"/>
        <v>0</v>
      </c>
      <c r="W12" s="12">
        <f t="shared" si="2"/>
        <v>1</v>
      </c>
      <c r="X12" s="14">
        <f t="shared" si="3"/>
        <v>9900000</v>
      </c>
      <c r="Y12" s="17"/>
      <c r="Z12" s="14">
        <f t="shared" si="4"/>
        <v>9900000</v>
      </c>
      <c r="AA12" s="18" t="s">
        <v>250</v>
      </c>
      <c r="AB12" s="13" t="s">
        <v>486</v>
      </c>
      <c r="AC12" s="19" t="s">
        <v>487</v>
      </c>
      <c r="AD12" s="20"/>
      <c r="AE12" s="19"/>
      <c r="AF12" s="21"/>
      <c r="AG12" s="22" t="str">
        <f t="shared" si="5"/>
        <v>TRUE</v>
      </c>
      <c r="AH12" s="23" t="str">
        <f t="shared" si="6"/>
        <v>کرج رجایی شهر بلوار موذن روبروی بانک ملی دانشگاه آزاد ساختمان البرز طبقه زیرین شهرکتاب البرز کافه مُستطاب - مهدی رهبری 09106009059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32">
        <v>11</v>
      </c>
      <c r="H13" s="130">
        <v>55027264701</v>
      </c>
      <c r="I13" s="132" t="s">
        <v>442</v>
      </c>
      <c r="J13" s="132" t="s">
        <v>76</v>
      </c>
      <c r="K13" s="11" t="str">
        <f t="shared" ca="1" si="0"/>
        <v/>
      </c>
      <c r="L13" s="142" t="s">
        <v>112</v>
      </c>
      <c r="M13" s="142" t="s">
        <v>488</v>
      </c>
      <c r="N13" s="142" t="s">
        <v>489</v>
      </c>
      <c r="O13" s="9">
        <v>5523.2</v>
      </c>
      <c r="P13" s="9">
        <v>1</v>
      </c>
      <c r="Q13" s="13" t="str">
        <f>VLOOKUP(O13, '[1]لیست محصولات اردیبهشت ۱۴۰۳'!B:C,2,0)</f>
        <v>کوتوا دانکن | Kotowa Duncan</v>
      </c>
      <c r="R13" s="9"/>
      <c r="S13" s="12">
        <f>VLOOKUP(O13, '[1]لیست محصولات اردیبهشت ۱۴۰۳'!B:F,5,0)</f>
        <v>750</v>
      </c>
      <c r="T13" s="14">
        <f>VLOOKUP(O13, '[1]لیست محصولات اردیبهشت ۱۴۰۳'!B:G,6,0)</f>
        <v>12150000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12150000</v>
      </c>
      <c r="Y13" s="17"/>
      <c r="Z13" s="14">
        <f t="shared" si="4"/>
        <v>12150000</v>
      </c>
      <c r="AA13" s="140" t="s">
        <v>206</v>
      </c>
      <c r="AB13" s="138" t="s">
        <v>490</v>
      </c>
      <c r="AC13" s="136" t="s">
        <v>491</v>
      </c>
      <c r="AD13" s="134"/>
      <c r="AE13" s="19"/>
      <c r="AF13" s="21"/>
      <c r="AG13" s="22" t="str">
        <f t="shared" si="5"/>
        <v>TRUE</v>
      </c>
      <c r="AH13" s="23" t="str">
        <f t="shared" si="6"/>
        <v>ساری میدان امام بلوار آزادی خیابان بعثت بین بعثت ۲ و ۴ کافه قهومون - محمدرضا غلامی شه بندی 09376143341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33"/>
      <c r="H14" s="131"/>
      <c r="I14" s="133"/>
      <c r="J14" s="133"/>
      <c r="K14" s="11" t="str">
        <f t="shared" ca="1" si="0"/>
        <v/>
      </c>
      <c r="L14" s="143"/>
      <c r="M14" s="143"/>
      <c r="N14" s="143"/>
      <c r="O14" s="9">
        <v>5501.3</v>
      </c>
      <c r="P14" s="9">
        <v>3</v>
      </c>
      <c r="Q14" s="13" t="str">
        <f>VLOOKUP(O14, '[1]لیست محصولات اردیبهشت ۱۴۰۳'!B:C,2,0)</f>
        <v>ورتکس | Vortex</v>
      </c>
      <c r="R14" s="9"/>
      <c r="S14" s="12">
        <f>VLOOKUP(O14, '[1]لیست محصولات اردیبهشت ۱۴۰۳'!B:F,5,0)</f>
        <v>4000</v>
      </c>
      <c r="T14" s="14">
        <f>VLOOKUP(O14, '[1]لیست محصولات اردیبهشت ۱۴۰۳'!B:G,6,0)</f>
        <v>51200000</v>
      </c>
      <c r="U14" s="15"/>
      <c r="V14" s="16">
        <f t="shared" si="1"/>
        <v>0</v>
      </c>
      <c r="W14" s="12">
        <f t="shared" si="2"/>
        <v>3</v>
      </c>
      <c r="X14" s="14">
        <f t="shared" si="3"/>
        <v>153600000</v>
      </c>
      <c r="Y14" s="17"/>
      <c r="Z14" s="14">
        <f t="shared" si="4"/>
        <v>153600000</v>
      </c>
      <c r="AA14" s="141"/>
      <c r="AB14" s="139"/>
      <c r="AC14" s="137"/>
      <c r="AD14" s="135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>
        <v>12</v>
      </c>
      <c r="H15" s="10">
        <v>277087377282</v>
      </c>
      <c r="I15" s="9" t="s">
        <v>442</v>
      </c>
      <c r="J15" s="132" t="s">
        <v>76</v>
      </c>
      <c r="K15" s="11" t="str">
        <f t="shared" ca="1" si="0"/>
        <v/>
      </c>
      <c r="L15" s="142" t="s">
        <v>137</v>
      </c>
      <c r="M15" s="142" t="s">
        <v>409</v>
      </c>
      <c r="N15" s="142" t="s">
        <v>410</v>
      </c>
      <c r="O15" s="107"/>
      <c r="P15" s="107"/>
      <c r="Q15" s="108"/>
      <c r="R15" s="107"/>
      <c r="S15" s="109"/>
      <c r="T15" s="110"/>
      <c r="U15" s="111"/>
      <c r="V15" s="112"/>
      <c r="W15" s="109"/>
      <c r="X15" s="110"/>
      <c r="Y15" s="113"/>
      <c r="Z15" s="110"/>
      <c r="AA15" s="140" t="s">
        <v>79</v>
      </c>
      <c r="AB15" s="138" t="s">
        <v>411</v>
      </c>
      <c r="AC15" s="136" t="s">
        <v>412</v>
      </c>
      <c r="AD15" s="134"/>
      <c r="AE15" s="71" t="s">
        <v>492</v>
      </c>
      <c r="AF15" s="21"/>
      <c r="AG15" s="22" t="str">
        <f t="shared" si="5"/>
        <v>FALSE</v>
      </c>
      <c r="AH15" s="23" t="str">
        <f t="shared" si="6"/>
        <v>تهران تهرانپارس فلکه اول بلوار برادران قانع جنب بوستان آب ایوارلانژ - امیرحسین تاجیک 09391942344</v>
      </c>
    </row>
    <row r="16" spans="1:34" ht="22.35" customHeight="1">
      <c r="A16" s="7"/>
      <c r="B16" s="7"/>
      <c r="C16" s="7"/>
      <c r="D16" s="7"/>
      <c r="E16" s="7"/>
      <c r="F16" s="8"/>
      <c r="G16" s="132">
        <v>13</v>
      </c>
      <c r="H16" s="212" t="s">
        <v>493</v>
      </c>
      <c r="I16" s="132" t="s">
        <v>442</v>
      </c>
      <c r="J16" s="144"/>
      <c r="K16" s="11" t="str">
        <f t="shared" ca="1" si="0"/>
        <v/>
      </c>
      <c r="L16" s="145"/>
      <c r="M16" s="145"/>
      <c r="N16" s="145"/>
      <c r="O16" s="9">
        <v>5501.3</v>
      </c>
      <c r="P16" s="9">
        <v>3</v>
      </c>
      <c r="Q16" s="13" t="str">
        <f>VLOOKUP(O16, '[1]لیست محصولات اردیبهشت ۱۴۰۳'!B:C,2,0)</f>
        <v>ورتکس | Vortex</v>
      </c>
      <c r="R16" s="9"/>
      <c r="S16" s="12">
        <f>VLOOKUP(O16, '[1]لیست محصولات اردیبهشت ۱۴۰۳'!B:F,5,0)</f>
        <v>4000</v>
      </c>
      <c r="T16" s="14">
        <f>VLOOKUP(O16, '[1]لیست محصولات اردیبهشت ۱۴۰۳'!B:G,6,0)</f>
        <v>51200000</v>
      </c>
      <c r="U16" s="15"/>
      <c r="V16" s="16">
        <f t="shared" si="1"/>
        <v>0</v>
      </c>
      <c r="W16" s="12">
        <f t="shared" si="2"/>
        <v>3</v>
      </c>
      <c r="X16" s="14">
        <f t="shared" si="3"/>
        <v>153600000</v>
      </c>
      <c r="Y16" s="17"/>
      <c r="Z16" s="14">
        <f t="shared" si="4"/>
        <v>153600000</v>
      </c>
      <c r="AA16" s="149"/>
      <c r="AB16" s="148"/>
      <c r="AC16" s="147"/>
      <c r="AD16" s="146"/>
      <c r="AE16" s="159" t="s">
        <v>493</v>
      </c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44"/>
      <c r="H17" s="213"/>
      <c r="I17" s="144"/>
      <c r="J17" s="144"/>
      <c r="K17" s="11" t="str">
        <f t="shared" ca="1" si="0"/>
        <v/>
      </c>
      <c r="L17" s="145"/>
      <c r="M17" s="145"/>
      <c r="N17" s="145"/>
      <c r="O17" s="9">
        <v>5511.3</v>
      </c>
      <c r="P17" s="9">
        <v>1</v>
      </c>
      <c r="Q17" s="13" t="str">
        <f>VLOOKUP(O17, '[1]لیست محصولات اردیبهشت ۱۴۰۳'!B:C,2,0)</f>
        <v>هامبلا | Hambella</v>
      </c>
      <c r="R17" s="9"/>
      <c r="S17" s="12">
        <f>VLOOKUP(O17, '[1]لیست محصولات اردیبهشت ۱۴۰۳'!B:F,5,0)</f>
        <v>4000</v>
      </c>
      <c r="T17" s="14">
        <f>VLOOKUP(O17, '[1]لیست محصولات اردیبهشت ۱۴۰۳'!B:G,6,0)</f>
        <v>69600000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69600000</v>
      </c>
      <c r="Y17" s="17"/>
      <c r="Z17" s="14">
        <f t="shared" si="4"/>
        <v>69600000</v>
      </c>
      <c r="AA17" s="149"/>
      <c r="AB17" s="148"/>
      <c r="AC17" s="147"/>
      <c r="AD17" s="146"/>
      <c r="AE17" s="211"/>
      <c r="AF17" s="21"/>
      <c r="AG17" s="22" t="str">
        <f t="shared" si="5"/>
        <v>TRUE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144"/>
      <c r="H18" s="213"/>
      <c r="I18" s="144"/>
      <c r="J18" s="144"/>
      <c r="K18" s="11" t="str">
        <f t="shared" ca="1" si="0"/>
        <v/>
      </c>
      <c r="L18" s="145"/>
      <c r="M18" s="145"/>
      <c r="N18" s="145"/>
      <c r="O18" s="9">
        <v>5523.2</v>
      </c>
      <c r="P18" s="9">
        <v>1</v>
      </c>
      <c r="Q18" s="13" t="str">
        <f>VLOOKUP(O18, '[1]لیست محصولات اردیبهشت ۱۴۰۳'!B:C,2,0)</f>
        <v>کوتوا دانکن | Kotowa Duncan</v>
      </c>
      <c r="R18" s="9"/>
      <c r="S18" s="12">
        <f>VLOOKUP(O18, '[1]لیست محصولات اردیبهشت ۱۴۰۳'!B:F,5,0)</f>
        <v>750</v>
      </c>
      <c r="T18" s="14">
        <f>VLOOKUP(O18, '[1]لیست محصولات اردیبهشت ۱۴۰۳'!B:G,6,0)</f>
        <v>12150000</v>
      </c>
      <c r="U18" s="15"/>
      <c r="V18" s="16">
        <f t="shared" si="1"/>
        <v>0</v>
      </c>
      <c r="W18" s="12">
        <f t="shared" si="2"/>
        <v>1</v>
      </c>
      <c r="X18" s="14">
        <f t="shared" si="3"/>
        <v>12150000</v>
      </c>
      <c r="Y18" s="17"/>
      <c r="Z18" s="14">
        <f t="shared" si="4"/>
        <v>12150000</v>
      </c>
      <c r="AA18" s="149"/>
      <c r="AB18" s="148"/>
      <c r="AC18" s="147"/>
      <c r="AD18" s="146"/>
      <c r="AE18" s="211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133"/>
      <c r="H19" s="214"/>
      <c r="I19" s="133"/>
      <c r="J19" s="133"/>
      <c r="K19" s="11" t="str">
        <f t="shared" ca="1" si="0"/>
        <v/>
      </c>
      <c r="L19" s="143"/>
      <c r="M19" s="143"/>
      <c r="N19" s="143"/>
      <c r="O19" s="9">
        <v>5522.2</v>
      </c>
      <c r="P19" s="9">
        <v>1</v>
      </c>
      <c r="Q19" s="13" t="str">
        <f>VLOOKUP(O19, '[1]لیست محصولات اردیبهشت ۱۴۰۳'!B:C,2,0)</f>
        <v>تامارا | Tamara</v>
      </c>
      <c r="R19" s="9"/>
      <c r="S19" s="12">
        <f>VLOOKUP(O19, '[1]لیست محصولات اردیبهشت ۱۴۰۳'!B:F,5,0)</f>
        <v>750</v>
      </c>
      <c r="T19" s="14">
        <f>VLOOKUP(O19, '[1]لیست محصولات اردیبهشت ۱۴۰۳'!B:G,6,0)</f>
        <v>12450000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12450000</v>
      </c>
      <c r="Y19" s="17"/>
      <c r="Z19" s="14">
        <f t="shared" si="4"/>
        <v>12450000</v>
      </c>
      <c r="AA19" s="141"/>
      <c r="AB19" s="139"/>
      <c r="AC19" s="137"/>
      <c r="AD19" s="135"/>
      <c r="AE19" s="160"/>
      <c r="AF19" s="21"/>
      <c r="AG19" s="22" t="str">
        <f t="shared" si="5"/>
        <v>TRUE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132">
        <v>14</v>
      </c>
      <c r="H20" s="130">
        <v>277088484123</v>
      </c>
      <c r="I20" s="132" t="s">
        <v>442</v>
      </c>
      <c r="J20" s="132"/>
      <c r="K20" s="11" t="str">
        <f t="shared" ca="1" si="0"/>
        <v/>
      </c>
      <c r="L20" s="142" t="s">
        <v>494</v>
      </c>
      <c r="M20" s="142" t="s">
        <v>495</v>
      </c>
      <c r="N20" s="142" t="s">
        <v>496</v>
      </c>
      <c r="O20" s="9">
        <v>5501.3</v>
      </c>
      <c r="P20" s="9">
        <v>2</v>
      </c>
      <c r="Q20" s="13" t="str">
        <f>VLOOKUP(O20, '[1]لیست محصولات اردیبهشت ۱۴۰۳'!B:C,2,0)</f>
        <v>ورتکس | Vortex</v>
      </c>
      <c r="R20" s="9"/>
      <c r="S20" s="12">
        <f>VLOOKUP(O20, '[1]لیست محصولات اردیبهشت ۱۴۰۳'!B:F,5,0)</f>
        <v>4000</v>
      </c>
      <c r="T20" s="14">
        <f>VLOOKUP(O20, '[1]لیست محصولات اردیبهشت ۱۴۰۳'!B:G,6,0)</f>
        <v>51200000</v>
      </c>
      <c r="U20" s="15"/>
      <c r="V20" s="16">
        <f t="shared" si="1"/>
        <v>0</v>
      </c>
      <c r="W20" s="12">
        <f t="shared" si="2"/>
        <v>2</v>
      </c>
      <c r="X20" s="14">
        <f t="shared" si="3"/>
        <v>102400000</v>
      </c>
      <c r="Y20" s="17"/>
      <c r="Z20" s="14">
        <f t="shared" si="4"/>
        <v>102400000</v>
      </c>
      <c r="AA20" s="140" t="s">
        <v>497</v>
      </c>
      <c r="AB20" s="138" t="s">
        <v>498</v>
      </c>
      <c r="AC20" s="136" t="s">
        <v>499</v>
      </c>
      <c r="AD20" s="134"/>
      <c r="AE20" s="19"/>
      <c r="AF20" s="21"/>
      <c r="AG20" s="22" t="str">
        <f t="shared" si="5"/>
        <v>TRUE</v>
      </c>
      <c r="AH20" s="23" t="str">
        <f t="shared" si="6"/>
        <v>طرقبه بینالود - طرقبه بعد از پل طرقدر نرسیده به عنبران 2  رستوران باغبان - سید هاشم باغبان عنبران 09152002090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33"/>
      <c r="H21" s="131"/>
      <c r="I21" s="133"/>
      <c r="J21" s="133"/>
      <c r="K21" s="11" t="str">
        <f t="shared" ca="1" si="0"/>
        <v/>
      </c>
      <c r="L21" s="143"/>
      <c r="M21" s="143"/>
      <c r="N21" s="143"/>
      <c r="O21" s="9">
        <v>5511.3</v>
      </c>
      <c r="P21" s="9">
        <v>2</v>
      </c>
      <c r="Q21" s="13" t="str">
        <f>VLOOKUP(O21, '[1]لیست محصولات اردیبهشت ۱۴۰۳'!B:C,2,0)</f>
        <v>هامبلا | Hambella</v>
      </c>
      <c r="R21" s="9"/>
      <c r="S21" s="12">
        <f>VLOOKUP(O21, '[1]لیست محصولات اردیبهشت ۱۴۰۳'!B:F,5,0)</f>
        <v>4000</v>
      </c>
      <c r="T21" s="14">
        <f>VLOOKUP(O21, '[1]لیست محصولات اردیبهشت ۱۴۰۳'!B:G,6,0)</f>
        <v>69600000</v>
      </c>
      <c r="U21" s="15"/>
      <c r="V21" s="16">
        <f t="shared" si="1"/>
        <v>0</v>
      </c>
      <c r="W21" s="12">
        <f t="shared" si="2"/>
        <v>2</v>
      </c>
      <c r="X21" s="14">
        <f t="shared" si="3"/>
        <v>139200000</v>
      </c>
      <c r="Y21" s="17"/>
      <c r="Z21" s="14">
        <f t="shared" si="4"/>
        <v>139200000</v>
      </c>
      <c r="AA21" s="141"/>
      <c r="AB21" s="139"/>
      <c r="AC21" s="137"/>
      <c r="AD21" s="135"/>
      <c r="AE21" s="19"/>
      <c r="AF21" s="21"/>
      <c r="AG21" s="22" t="str">
        <f t="shared" si="5"/>
        <v>TRUE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66">
        <v>15</v>
      </c>
      <c r="H22" s="67" t="s">
        <v>135</v>
      </c>
      <c r="I22" s="66" t="s">
        <v>500</v>
      </c>
      <c r="J22" s="9" t="s">
        <v>76</v>
      </c>
      <c r="K22" s="11" t="str">
        <f t="shared" ca="1" si="0"/>
        <v/>
      </c>
      <c r="L22" s="12" t="s">
        <v>505</v>
      </c>
      <c r="M22" s="12" t="s">
        <v>506</v>
      </c>
      <c r="N22" s="12" t="s">
        <v>501</v>
      </c>
      <c r="O22" s="9">
        <v>5501.3</v>
      </c>
      <c r="P22" s="9">
        <v>3</v>
      </c>
      <c r="Q22" s="13" t="str">
        <f>VLOOKUP(O22, '[1]لیست محصولات اردیبهشت ۱۴۰۳'!B:C,2,0)</f>
        <v>ورتکس | Vortex</v>
      </c>
      <c r="R22" s="9"/>
      <c r="S22" s="12">
        <f>VLOOKUP(O22, '[1]لیست محصولات اردیبهشت ۱۴۰۳'!B:F,5,0)</f>
        <v>4000</v>
      </c>
      <c r="T22" s="14">
        <f>VLOOKUP(O22, '[1]لیست محصولات اردیبهشت ۱۴۰۳'!B:G,6,0)</f>
        <v>51200000</v>
      </c>
      <c r="U22" s="15"/>
      <c r="V22" s="16">
        <f t="shared" si="1"/>
        <v>0</v>
      </c>
      <c r="W22" s="12">
        <f t="shared" si="2"/>
        <v>3</v>
      </c>
      <c r="X22" s="14">
        <f t="shared" si="3"/>
        <v>153600000</v>
      </c>
      <c r="Y22" s="17"/>
      <c r="Z22" s="14">
        <f t="shared" si="4"/>
        <v>153600000</v>
      </c>
      <c r="AA22" s="140" t="s">
        <v>187</v>
      </c>
      <c r="AB22" s="138" t="s">
        <v>508</v>
      </c>
      <c r="AC22" s="19" t="s">
        <v>504</v>
      </c>
      <c r="AD22" s="134"/>
      <c r="AE22" s="68" t="s">
        <v>510</v>
      </c>
      <c r="AF22" s="21"/>
      <c r="AG22" s="22" t="str">
        <f t="shared" si="5"/>
        <v>TRUE</v>
      </c>
      <c r="AH22" s="23" t="str">
        <f t="shared" si="6"/>
        <v>کرمان بلوار جمهوري اسلامي همتي فر نبش كوچه شماره يك کافه دارسین - محمدحسین عکاف زاده 09133405767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66">
        <v>16</v>
      </c>
      <c r="H23" s="67"/>
      <c r="I23" s="66" t="s">
        <v>500</v>
      </c>
      <c r="J23" s="9" t="s">
        <v>76</v>
      </c>
      <c r="K23" s="11" t="str">
        <f t="shared" ca="1" si="0"/>
        <v/>
      </c>
      <c r="L23" s="12" t="s">
        <v>507</v>
      </c>
      <c r="M23" s="12" t="s">
        <v>502</v>
      </c>
      <c r="N23" s="12" t="s">
        <v>266</v>
      </c>
      <c r="O23" s="9">
        <v>5522.2</v>
      </c>
      <c r="P23" s="9">
        <v>1</v>
      </c>
      <c r="Q23" s="13" t="str">
        <f>VLOOKUP(O23, '[1]لیست محصولات اردیبهشت ۱۴۰۳'!B:C,2,0)</f>
        <v>تامارا | Tamara</v>
      </c>
      <c r="R23" s="9"/>
      <c r="S23" s="12">
        <f>VLOOKUP(O23, '[1]لیست محصولات اردیبهشت ۱۴۰۳'!B:F,5,0)</f>
        <v>750</v>
      </c>
      <c r="T23" s="14">
        <f>VLOOKUP(O23, '[1]لیست محصولات اردیبهشت ۱۴۰۳'!B:G,6,0)</f>
        <v>12450000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12450000</v>
      </c>
      <c r="Y23" s="17"/>
      <c r="Z23" s="14">
        <f t="shared" si="4"/>
        <v>12450000</v>
      </c>
      <c r="AA23" s="141"/>
      <c r="AB23" s="139"/>
      <c r="AC23" s="19" t="s">
        <v>509</v>
      </c>
      <c r="AD23" s="135"/>
      <c r="AE23" s="68" t="s">
        <v>503</v>
      </c>
      <c r="AF23" s="21"/>
      <c r="AG23" s="22" t="str">
        <f t="shared" si="5"/>
        <v>TRUE</v>
      </c>
      <c r="AH23" s="23" t="str">
        <f t="shared" si="6"/>
        <v xml:space="preserve">  (سفارش شخصی) - عبدالرضا ملک قاسمی  09133423604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17</v>
      </c>
      <c r="H24" s="10">
        <v>277161597582</v>
      </c>
      <c r="I24" s="9" t="s">
        <v>511</v>
      </c>
      <c r="J24" s="9"/>
      <c r="K24" s="11" t="str">
        <f t="shared" ca="1" si="0"/>
        <v/>
      </c>
      <c r="L24" s="12" t="s">
        <v>462</v>
      </c>
      <c r="M24" s="12" t="s">
        <v>513</v>
      </c>
      <c r="N24" s="12" t="s">
        <v>514</v>
      </c>
      <c r="O24" s="9">
        <v>5523.2</v>
      </c>
      <c r="P24" s="9">
        <v>1</v>
      </c>
      <c r="Q24" s="13" t="str">
        <f>VLOOKUP(O24, '[1]لیست محصولات اردیبهشت ۱۴۰۳'!B:C,2,0)</f>
        <v>کوتوا دانکن | Kotowa Duncan</v>
      </c>
      <c r="R24" s="9"/>
      <c r="S24" s="12">
        <f>VLOOKUP(O24, '[1]لیست محصولات اردیبهشت ۱۴۰۳'!B:F,5,0)</f>
        <v>750</v>
      </c>
      <c r="T24" s="14">
        <f>VLOOKUP(O24, '[1]لیست محصولات اردیبهشت ۱۴۰۳'!B:G,6,0)</f>
        <v>12150000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12150000</v>
      </c>
      <c r="Y24" s="17"/>
      <c r="Z24" s="14">
        <f t="shared" si="4"/>
        <v>12150000</v>
      </c>
      <c r="AA24" s="18" t="s">
        <v>79</v>
      </c>
      <c r="AB24" s="13" t="s">
        <v>515</v>
      </c>
      <c r="AC24" s="19" t="s">
        <v>516</v>
      </c>
      <c r="AD24" s="20" t="s">
        <v>99</v>
      </c>
      <c r="AE24" s="19"/>
      <c r="AF24" s="21"/>
      <c r="AG24" s="22" t="str">
        <f t="shared" si="5"/>
        <v>TRUE</v>
      </c>
      <c r="AH24" s="23" t="str">
        <f t="shared" si="6"/>
        <v>تهران تهرانپارس-فلكه اول تهرانپارس-ضلع شرقي ميدان-مجتمع تجاري پارس-پلاك ٦ کافه هاکو - دانیال زارع 09022635331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32">
        <v>18</v>
      </c>
      <c r="H25" s="130">
        <v>277274774139</v>
      </c>
      <c r="I25" s="132" t="s">
        <v>500</v>
      </c>
      <c r="J25" s="132"/>
      <c r="K25" s="11" t="str">
        <f t="shared" ca="1" si="0"/>
        <v/>
      </c>
      <c r="L25" s="142" t="s">
        <v>222</v>
      </c>
      <c r="M25" s="142" t="s">
        <v>616</v>
      </c>
      <c r="N25" s="142" t="s">
        <v>617</v>
      </c>
      <c r="O25" s="9">
        <v>5501.1</v>
      </c>
      <c r="P25" s="9">
        <v>1</v>
      </c>
      <c r="Q25" s="13" t="str">
        <f>VLOOKUP(O25, '[1]لیست محصولات اردیبهشت ۱۴۰۳'!B:C,2,0)</f>
        <v>ورتکس | Vortex</v>
      </c>
      <c r="R25" s="9"/>
      <c r="S25" s="12">
        <f>VLOOKUP(O25, '[1]لیست محصولات اردیبهشت ۱۴۰۳'!B:F,5,0)</f>
        <v>150</v>
      </c>
      <c r="T25" s="14">
        <f>VLOOKUP(O25, '[1]لیست محصولات اردیبهشت ۱۴۰۳'!B:G,6,0)</f>
        <v>2100000</v>
      </c>
      <c r="U25" s="15"/>
      <c r="V25" s="16">
        <f t="shared" si="1"/>
        <v>0</v>
      </c>
      <c r="W25" s="12">
        <f t="shared" si="2"/>
        <v>1</v>
      </c>
      <c r="X25" s="14">
        <f t="shared" si="3"/>
        <v>2100000</v>
      </c>
      <c r="Y25" s="17"/>
      <c r="Z25" s="14">
        <f t="shared" si="4"/>
        <v>2100000</v>
      </c>
      <c r="AA25" s="140" t="s">
        <v>79</v>
      </c>
      <c r="AB25" s="138" t="s">
        <v>618</v>
      </c>
      <c r="AC25" s="136" t="s">
        <v>619</v>
      </c>
      <c r="AD25" s="134" t="s">
        <v>99</v>
      </c>
      <c r="AE25" s="19"/>
      <c r="AF25" s="21"/>
      <c r="AG25" s="22" t="str">
        <f t="shared" si="5"/>
        <v>TRUE</v>
      </c>
      <c r="AH25" s="23" t="str">
        <f t="shared" si="6"/>
        <v>تهران ميدان صنعت. مركز خريد ليدوما. طبقه B1 کافه پارسه - عرفان ابراهیمی 09101146124</v>
      </c>
    </row>
    <row r="26" spans="1:34" ht="22.35" customHeight="1">
      <c r="A26" s="7"/>
      <c r="B26" s="7"/>
      <c r="C26" s="7"/>
      <c r="D26" s="7"/>
      <c r="E26" s="7"/>
      <c r="F26" s="8"/>
      <c r="G26" s="144"/>
      <c r="H26" s="150"/>
      <c r="I26" s="144"/>
      <c r="J26" s="144"/>
      <c r="K26" s="11" t="str">
        <f t="shared" ca="1" si="0"/>
        <v/>
      </c>
      <c r="L26" s="145"/>
      <c r="M26" s="145"/>
      <c r="N26" s="145"/>
      <c r="O26" s="9">
        <v>5511.11</v>
      </c>
      <c r="P26" s="9">
        <v>1</v>
      </c>
      <c r="Q26" s="69" t="str">
        <f>VLOOKUP(O26, '[1]لیست محصولات اردیبهشت ۱۴۰۳'!B:C,2,0)</f>
        <v>هامبلا(رست دمی) | Hambella( Filter Roast)</v>
      </c>
      <c r="R26" s="9"/>
      <c r="S26" s="12">
        <f>VLOOKUP(O26, '[1]لیست محصولات اردیبهشت ۱۴۰۳'!B:F,5,0)</f>
        <v>150</v>
      </c>
      <c r="T26" s="14">
        <f>VLOOKUP(O26, '[1]لیست محصولات اردیبهشت ۱۴۰۳'!B:G,6,0)</f>
        <v>2800000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2800000</v>
      </c>
      <c r="Y26" s="17"/>
      <c r="Z26" s="14">
        <f t="shared" si="4"/>
        <v>2800000</v>
      </c>
      <c r="AA26" s="149"/>
      <c r="AB26" s="148"/>
      <c r="AC26" s="147"/>
      <c r="AD26" s="146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44"/>
      <c r="H27" s="150"/>
      <c r="I27" s="144"/>
      <c r="J27" s="144"/>
      <c r="K27" s="11" t="str">
        <f t="shared" ca="1" si="0"/>
        <v/>
      </c>
      <c r="L27" s="145"/>
      <c r="M27" s="145"/>
      <c r="N27" s="145"/>
      <c r="O27" s="9">
        <v>5522.1</v>
      </c>
      <c r="P27" s="9">
        <v>1</v>
      </c>
      <c r="Q27" s="13" t="str">
        <f>VLOOKUP(O27, '[1]لیست محصولات اردیبهشت ۱۴۰۳'!B:C,2,0)</f>
        <v>تامارا | Tamara</v>
      </c>
      <c r="R27" s="9"/>
      <c r="S27" s="12">
        <f>VLOOKUP(O27, '[1]لیست محصولات اردیبهشت ۱۴۰۳'!B:F,5,0)</f>
        <v>150</v>
      </c>
      <c r="T27" s="14">
        <f>VLOOKUP(O27, '[1]لیست محصولات اردیبهشت ۱۴۰۳'!B:G,6,0)</f>
        <v>2600000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2600000</v>
      </c>
      <c r="Y27" s="17"/>
      <c r="Z27" s="14">
        <f t="shared" si="4"/>
        <v>2600000</v>
      </c>
      <c r="AA27" s="149"/>
      <c r="AB27" s="148"/>
      <c r="AC27" s="147"/>
      <c r="AD27" s="146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33"/>
      <c r="H28" s="131"/>
      <c r="I28" s="133"/>
      <c r="J28" s="133"/>
      <c r="K28" s="11" t="str">
        <f t="shared" ca="1" si="0"/>
        <v/>
      </c>
      <c r="L28" s="143"/>
      <c r="M28" s="143"/>
      <c r="N28" s="143"/>
      <c r="O28" s="9">
        <v>3326.1</v>
      </c>
      <c r="P28" s="9">
        <v>1</v>
      </c>
      <c r="Q28" s="13" t="str">
        <f>VLOOKUP(O28, '[1]لیست محصولات اردیبهشت ۱۴۰۳'!B:C,2,0)</f>
        <v>میاگروس | Milagros</v>
      </c>
      <c r="R28" s="9"/>
      <c r="S28" s="12">
        <f>VLOOKUP(O28, '[1]لیست محصولات اردیبهشت ۱۴۰۳'!B:F,5,0)</f>
        <v>150</v>
      </c>
      <c r="T28" s="14">
        <f>VLOOKUP(O28, '[1]لیست محصولات اردیبهشت ۱۴۰۳'!B:G,6,0)</f>
        <v>3750000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3750000</v>
      </c>
      <c r="Y28" s="17"/>
      <c r="Z28" s="14">
        <f t="shared" si="4"/>
        <v>3750000</v>
      </c>
      <c r="AA28" s="141"/>
      <c r="AB28" s="139"/>
      <c r="AC28" s="137"/>
      <c r="AD28" s="135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32">
        <v>19</v>
      </c>
      <c r="H29" s="130"/>
      <c r="I29" s="132" t="s">
        <v>500</v>
      </c>
      <c r="J29" s="132"/>
      <c r="K29" s="11" t="str">
        <f t="shared" ca="1" si="0"/>
        <v/>
      </c>
      <c r="L29" s="142" t="s">
        <v>557</v>
      </c>
      <c r="M29" s="142" t="s">
        <v>620</v>
      </c>
      <c r="N29" s="142" t="s">
        <v>621</v>
      </c>
      <c r="O29" s="9">
        <v>5501.1</v>
      </c>
      <c r="P29" s="9">
        <v>2</v>
      </c>
      <c r="Q29" s="13" t="str">
        <f>VLOOKUP(O29, '[1]لیست محصولات اردیبهشت ۱۴۰۳'!B:C,2,0)</f>
        <v>ورتکس | Vortex</v>
      </c>
      <c r="R29" s="9"/>
      <c r="S29" s="12">
        <f>VLOOKUP(O29, '[1]لیست محصولات اردیبهشت ۱۴۰۳'!B:F,5,0)</f>
        <v>150</v>
      </c>
      <c r="T29" s="14">
        <f>VLOOKUP(O29, '[1]لیست محصولات اردیبهشت ۱۴۰۳'!B:G,6,0)</f>
        <v>2100000</v>
      </c>
      <c r="U29" s="15"/>
      <c r="V29" s="16">
        <f t="shared" si="1"/>
        <v>0</v>
      </c>
      <c r="W29" s="12">
        <f t="shared" si="2"/>
        <v>2</v>
      </c>
      <c r="X29" s="14">
        <f t="shared" si="3"/>
        <v>4200000</v>
      </c>
      <c r="Y29" s="17"/>
      <c r="Z29" s="14">
        <f t="shared" si="4"/>
        <v>4200000</v>
      </c>
      <c r="AA29" s="18"/>
      <c r="AB29" s="13"/>
      <c r="AC29" s="19"/>
      <c r="AD29" s="20"/>
      <c r="AE29" s="19"/>
      <c r="AF29" s="21"/>
      <c r="AG29" s="22" t="str">
        <f t="shared" si="5"/>
        <v>TRUE</v>
      </c>
      <c r="AH29" s="23" t="str">
        <f t="shared" si="6"/>
        <v xml:space="preserve">  (پرسنل) - سعید شیخ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33"/>
      <c r="H30" s="131"/>
      <c r="I30" s="133"/>
      <c r="J30" s="133"/>
      <c r="K30" s="11" t="str">
        <f t="shared" ca="1" si="0"/>
        <v/>
      </c>
      <c r="L30" s="143"/>
      <c r="M30" s="143"/>
      <c r="N30" s="143"/>
      <c r="O30" s="9">
        <v>5523.1</v>
      </c>
      <c r="P30" s="9">
        <v>1</v>
      </c>
      <c r="Q30" s="13" t="str">
        <f>VLOOKUP(O30, '[1]لیست محصولات اردیبهشت ۱۴۰۳'!B:C,2,0)</f>
        <v>کوتوا دانکن | Kotowa Duncan</v>
      </c>
      <c r="R30" s="9"/>
      <c r="S30" s="12">
        <f>VLOOKUP(O30, '[1]لیست محصولات اردیبهشت ۱۴۰۳'!B:F,5,0)</f>
        <v>150</v>
      </c>
      <c r="T30" s="14">
        <f>VLOOKUP(O30, '[1]لیست محصولات اردیبهشت ۱۴۰۳'!B:G,6,0)</f>
        <v>2550000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2550000</v>
      </c>
      <c r="Y30" s="17"/>
      <c r="Z30" s="14">
        <f t="shared" si="4"/>
        <v>2550000</v>
      </c>
      <c r="AA30" s="18"/>
      <c r="AB30" s="13"/>
      <c r="AC30" s="19"/>
      <c r="AD30" s="20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>
        <v>20</v>
      </c>
      <c r="H31" s="10"/>
      <c r="I31" s="9" t="s">
        <v>500</v>
      </c>
      <c r="J31" s="9"/>
      <c r="K31" s="11" t="str">
        <f t="shared" ca="1" si="0"/>
        <v/>
      </c>
      <c r="L31" s="12" t="s">
        <v>622</v>
      </c>
      <c r="M31" s="12" t="s">
        <v>623</v>
      </c>
      <c r="N31" s="12" t="s">
        <v>621</v>
      </c>
      <c r="O31" s="9">
        <v>5511.11</v>
      </c>
      <c r="P31" s="9">
        <v>1</v>
      </c>
      <c r="Q31" s="69" t="str">
        <f>VLOOKUP(O31, '[1]لیست محصولات اردیبهشت ۱۴۰۳'!B:C,2,0)</f>
        <v>هامبلا(رست دمی) | Hambella( Filter Roast)</v>
      </c>
      <c r="R31" s="9"/>
      <c r="S31" s="12">
        <f>VLOOKUP(O31, '[1]لیست محصولات اردیبهشت ۱۴۰۳'!B:F,5,0)</f>
        <v>150</v>
      </c>
      <c r="T31" s="14">
        <f>VLOOKUP(O31, '[1]لیست محصولات اردیبهشت ۱۴۰۳'!B:G,6,0)</f>
        <v>2800000</v>
      </c>
      <c r="U31" s="15"/>
      <c r="V31" s="16">
        <f t="shared" si="1"/>
        <v>0</v>
      </c>
      <c r="W31" s="12">
        <f t="shared" si="2"/>
        <v>1</v>
      </c>
      <c r="X31" s="14">
        <f t="shared" si="3"/>
        <v>2800000</v>
      </c>
      <c r="Y31" s="17"/>
      <c r="Z31" s="14">
        <f t="shared" si="4"/>
        <v>2800000</v>
      </c>
      <c r="AA31" s="18"/>
      <c r="AB31" s="13"/>
      <c r="AC31" s="19"/>
      <c r="AD31" s="20"/>
      <c r="AE31" s="19"/>
      <c r="AF31" s="21"/>
      <c r="AG31" s="22" t="str">
        <f t="shared" si="5"/>
        <v>TRUE</v>
      </c>
      <c r="AH31" s="23" t="str">
        <f t="shared" si="6"/>
        <v xml:space="preserve">  (پرسنل) - هانی درجزینی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</v>
      </c>
      <c r="AI240" s="56">
        <f t="shared" si="19"/>
        <v>0</v>
      </c>
      <c r="AJ240" s="57">
        <f>AH240-AI240</f>
        <v>3</v>
      </c>
      <c r="AK240" s="58">
        <f t="shared" si="23"/>
        <v>0.45</v>
      </c>
      <c r="AL240" s="59">
        <f>AO240+AQ240-[2]Sheet1!$AH241</f>
        <v>0</v>
      </c>
      <c r="AM240" s="59">
        <f t="shared" si="25"/>
        <v>-3</v>
      </c>
      <c r="AN240" s="58">
        <f t="shared" si="21"/>
        <v>0</v>
      </c>
      <c r="AO240" s="59"/>
      <c r="AP240" s="58">
        <f t="shared" si="22"/>
        <v>-0.45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16</v>
      </c>
      <c r="AI242" s="56">
        <f t="shared" si="19"/>
        <v>0</v>
      </c>
      <c r="AJ242" s="57">
        <f t="shared" si="27"/>
        <v>16</v>
      </c>
      <c r="AK242" s="58">
        <f t="shared" ref="AK242:AK267" si="28">AH242*AG242/1000</f>
        <v>64</v>
      </c>
      <c r="AL242" s="59">
        <f>AO242+AQ242-[2]Sheet1!$AH243</f>
        <v>0</v>
      </c>
      <c r="AM242" s="59">
        <f t="shared" si="25"/>
        <v>-16</v>
      </c>
      <c r="AN242" s="58">
        <f t="shared" si="21"/>
        <v>0</v>
      </c>
      <c r="AO242" s="59"/>
      <c r="AP242" s="58">
        <f t="shared" si="22"/>
        <v>-64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</v>
      </c>
      <c r="AI252" s="56">
        <f t="shared" si="19"/>
        <v>0</v>
      </c>
      <c r="AJ252" s="57">
        <f t="shared" si="27"/>
        <v>1</v>
      </c>
      <c r="AK252" s="58">
        <f t="shared" si="28"/>
        <v>0.75</v>
      </c>
      <c r="AL252" s="59">
        <f>AO252+AQ252-[2]Sheet1!$AH253</f>
        <v>0</v>
      </c>
      <c r="AM252" s="59">
        <f t="shared" si="25"/>
        <v>-1</v>
      </c>
      <c r="AN252" s="58">
        <f t="shared" si="21"/>
        <v>0</v>
      </c>
      <c r="AO252" s="59"/>
      <c r="AP252" s="58">
        <f t="shared" si="22"/>
        <v>-0.75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2</v>
      </c>
      <c r="AI253" s="56">
        <f t="shared" si="19"/>
        <v>0</v>
      </c>
      <c r="AJ253" s="57">
        <f t="shared" si="27"/>
        <v>2</v>
      </c>
      <c r="AK253" s="58">
        <f t="shared" si="28"/>
        <v>0.3</v>
      </c>
      <c r="AL253" s="59">
        <f>AO253+AQ253-[2]Sheet1!$AH254</f>
        <v>0</v>
      </c>
      <c r="AM253" s="59">
        <f t="shared" si="25"/>
        <v>-2</v>
      </c>
      <c r="AN253" s="58">
        <f t="shared" si="21"/>
        <v>0</v>
      </c>
      <c r="AO253" s="59"/>
      <c r="AP253" s="58">
        <f t="shared" si="22"/>
        <v>-0.3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1</v>
      </c>
      <c r="AI254" s="56">
        <f t="shared" si="19"/>
        <v>0</v>
      </c>
      <c r="AJ254" s="57">
        <f t="shared" si="27"/>
        <v>1</v>
      </c>
      <c r="AK254" s="58">
        <f t="shared" si="28"/>
        <v>0.75</v>
      </c>
      <c r="AL254" s="59">
        <f>AO254+AQ254-[2]Sheet1!$AH255</f>
        <v>0</v>
      </c>
      <c r="AM254" s="59">
        <f t="shared" si="25"/>
        <v>-1</v>
      </c>
      <c r="AN254" s="58">
        <f t="shared" si="21"/>
        <v>0</v>
      </c>
      <c r="AO254" s="59"/>
      <c r="AP254" s="58">
        <f t="shared" si="22"/>
        <v>-0.75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70">
    <mergeCell ref="M25:M28"/>
    <mergeCell ref="N25:N28"/>
    <mergeCell ref="AD25:AD28"/>
    <mergeCell ref="AC25:AC28"/>
    <mergeCell ref="AB25:AB28"/>
    <mergeCell ref="AA25:AA28"/>
    <mergeCell ref="G25:G28"/>
    <mergeCell ref="H25:H28"/>
    <mergeCell ref="I25:I28"/>
    <mergeCell ref="J25:J28"/>
    <mergeCell ref="L25:L28"/>
    <mergeCell ref="AD20:AD21"/>
    <mergeCell ref="AB20:AB21"/>
    <mergeCell ref="AA20:AA21"/>
    <mergeCell ref="J20:J21"/>
    <mergeCell ref="I20:I21"/>
    <mergeCell ref="H20:H21"/>
    <mergeCell ref="G20:G21"/>
    <mergeCell ref="AC20:AC21"/>
    <mergeCell ref="M15:M19"/>
    <mergeCell ref="N15:N19"/>
    <mergeCell ref="N20:N21"/>
    <mergeCell ref="M20:M21"/>
    <mergeCell ref="L20:L21"/>
    <mergeCell ref="G16:G19"/>
    <mergeCell ref="H16:H19"/>
    <mergeCell ref="I16:I19"/>
    <mergeCell ref="J15:J19"/>
    <mergeCell ref="L15:L19"/>
    <mergeCell ref="AD15:AD19"/>
    <mergeCell ref="AC15:AC19"/>
    <mergeCell ref="AB15:AB19"/>
    <mergeCell ref="AA15:AA19"/>
    <mergeCell ref="AE16:AE19"/>
    <mergeCell ref="M9:M10"/>
    <mergeCell ref="N9:N10"/>
    <mergeCell ref="H13:H14"/>
    <mergeCell ref="G13:G14"/>
    <mergeCell ref="AD13:AD14"/>
    <mergeCell ref="AC13:AC14"/>
    <mergeCell ref="AB13:AB14"/>
    <mergeCell ref="AA13:AA14"/>
    <mergeCell ref="N13:N14"/>
    <mergeCell ref="M13:M14"/>
    <mergeCell ref="L13:L14"/>
    <mergeCell ref="J13:J14"/>
    <mergeCell ref="I13:I14"/>
    <mergeCell ref="AD22:AD23"/>
    <mergeCell ref="AB22:AB23"/>
    <mergeCell ref="AA22:AA23"/>
    <mergeCell ref="A1:B1"/>
    <mergeCell ref="C1:D1"/>
    <mergeCell ref="E1:F1"/>
    <mergeCell ref="U1:V1"/>
    <mergeCell ref="AA9:AA10"/>
    <mergeCell ref="AD9:AD10"/>
    <mergeCell ref="AC9:AC10"/>
    <mergeCell ref="AB9:AB10"/>
    <mergeCell ref="G9:G10"/>
    <mergeCell ref="H9:H10"/>
    <mergeCell ref="I9:I10"/>
    <mergeCell ref="J9:J10"/>
    <mergeCell ref="L9:L10"/>
    <mergeCell ref="H29:H30"/>
    <mergeCell ref="G29:G30"/>
    <mergeCell ref="N29:N30"/>
    <mergeCell ref="M29:M30"/>
    <mergeCell ref="L29:L30"/>
    <mergeCell ref="J29:J30"/>
    <mergeCell ref="I29:I30"/>
  </mergeCells>
  <conditionalFormatting sqref="G2:J3 AD2:AD9 Z2:Z200 J4:J9 G11:J13 AD11:AD13 G15:J15 AD15 G16:I16 G20:J20 AD20 AD22 G22:J25 AD24:AD25 G29:J29 AD29:AD200 G31:J200">
    <cfRule type="expression" dxfId="53" priority="63">
      <formula>$A2</formula>
    </cfRule>
    <cfRule type="expression" dxfId="52" priority="65">
      <formula>$E2</formula>
    </cfRule>
  </conditionalFormatting>
  <conditionalFormatting sqref="K2:Z2 G2:J3 AA2:AF9 Q3:Z200 J4:J9 G11:P13 AA11:AF13 G15:P15 AA15:AF15 G16:I16 G20:P20 AA20:AF20 AA22:AF22 G22:P25 AA24:AF25 G29:P29 AA29:AF200 G31:P200 K3:P3 H4:H9 K4:K10 O4:P10 AE10:AF10 K14 O14:P14 AE14:AF14 AE16:AF16 K16:K19 O16:P19 AF17:AF19 K21 O21:P21 AE21:AF21 AE23:AF23 K26:K28 O26:P28 AE26:AF28 K30 O30:P30">
    <cfRule type="expression" dxfId="51" priority="64">
      <formula>$C2</formula>
    </cfRule>
  </conditionalFormatting>
  <conditionalFormatting sqref="W2:W200">
    <cfRule type="expression" dxfId="50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{57ED7BB7-F003-4D66-8B39-049F144683B8}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{215B0F65-13E5-48ED-9B0C-9ABEB124CAE0}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{8041361B-9E3A-40F5-A6DD-E96A6C648348}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{8796341E-E38F-472C-A419-3A6032C4D598}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{6FCB64CC-BCC3-4283-969F-20A9347CEF56}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{B4C7C253-46B9-4DC0-9EFD-32608FF2C9F3}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{927B9B58-54FC-4EDB-97FA-86143149CCB1}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{533C0B5D-FBA5-4B60-A4C7-8B2114461930}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{FF4C14E5-3282-4954-8518-F9B27079E77F}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{5454D235-ECBE-44DE-9382-70D9EB7109B4}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{DABB98CC-50F6-48A4-91CA-C3E94C1B49AB}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{2CD93D0B-6921-4D93-ACFC-11E20398EE0C}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{9BE38EA8-0BA2-41CD-8000-4FA06BB72A6C}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{5A08FF96-44EA-4BE1-BA46-F8C412452240}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{7BCA4ECF-3884-4611-9E63-D94C57EB1787}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{F0158047-5C6E-49FD-988C-EEFF97FD68C5}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{EA3C70D7-1977-4D4C-9332-2FF4E7C177F3}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{42891E1F-9DC8-49CC-8D35-68A4E0508929}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{DC7BE2AB-9071-438F-9B23-D57EBB54B6B0}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{BF4B1426-5C36-4E75-B3A0-5D2EEFD5BC46}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{0A9CEE55-B510-4862-AADB-EEC99CF5BBC8}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{227163C5-3900-4285-ABB3-667FB18621D7}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{B9E83B6C-0B9F-4AAF-B803-4EE69AEF7BE6}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{CE872E33-9938-48C7-80C9-2390FB04D633}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{0E50CF5B-7F46-488A-A84B-0BA09A42CFEA}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{00E47281-E1A7-41E8-8D8B-C6C845EE0CE2}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{3242BE1A-85DD-4D77-B968-7BB2C3F7C410}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{C564EECF-1AEB-452F-83F9-9CBAD7390975}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{2D4A9CA2-C689-4BF3-994B-333801F8E8BB}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{CD6652CE-5090-4F46-A56A-05FCFA27E6E4}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{E9EF9DF1-DD9E-4BF6-B0FA-AC8EFEDE9BB5}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{E0D88598-AE4C-4FFA-B61C-314C2B53E88F}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{4BC91F86-AA30-4947-846E-053F0B22CF64}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{4FF9C6B0-1EDF-4B5A-AD8C-4856B18F2835}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{2309C9C1-DB77-4A2E-B7BB-C15373551BFA}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{8CC81002-0EF5-4735-8AB6-4AA341007293}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{97C16296-E6D4-4385-941C-2E4176D5941A}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{3C5B0391-855F-43E1-8DC3-E14FF9ED1DE2}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{93C9F082-B1E6-44C5-9C54-26884E859ED0}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{959B9316-C575-46CF-BAF4-566F15C80F82}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{44F00DE6-3AEE-4052-BF62-FBFEAC382921}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{D1D73E1F-8414-4CCE-90EC-E5146B2AAF97}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{38ACAF4C-6B36-431D-B96E-B2CB3BF34E30}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{6E28E8E0-73BF-4D39-B03B-955D59490AB5}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{A2E3E959-94DF-4B0F-8D86-D1A729AB692F}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{92B83A21-35C4-4748-A22C-BCFAB7A3DFFD}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{0D6CCA63-1C8F-42F9-AA55-000E745A639D}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{FFE1AE7B-DCDB-4CBC-B378-7F0D714A89EA}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{EBE035B8-8411-4E80-A00B-A737CDE55AE8}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{5A49EE49-47C5-46E5-B047-608485AC69E2}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{98F08564-B9B2-4482-90F8-4922F7EF15FA}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{80DC147E-259E-4289-912D-7729B7642EE7}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{508B2400-9AE8-4B51-ABA7-004A367497EF}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{38C245DB-7DA9-4AC2-921B-779BA7E83F73}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{EA8C8773-481C-47DA-99A7-5DA583B84688}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{FF60919A-76C7-4F0D-A175-1878ABA5716E}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{5E0FC866-AAE1-48C4-8DB9-0324BF17C36C}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{60EF2852-DE69-4851-B442-8688935BEA42}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{16D6FFB5-E5A2-404E-B57D-5B42D0E486C5}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{C5363C12-5C78-4E6A-B1E0-9078A0E860D9}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{5C8AE446-E9FE-4892-883B-9C9C2C492713}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7ED7BB7-F003-4D66-8B39-049F144683B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215B0F65-13E5-48ED-9B0C-9ABEB124CAE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8041361B-9E3A-40F5-A6DD-E96A6C648348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8796341E-E38F-472C-A419-3A6032C4D598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6FCB64CC-BCC3-4283-969F-20A9347CEF5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4C7C253-46B9-4DC0-9EFD-32608FF2C9F3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927B9B58-54FC-4EDB-97FA-86143149CCB1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533C0B5D-FBA5-4B60-A4C7-8B2114461930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FF4C14E5-3282-4954-8518-F9B27079E77F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454D235-ECBE-44DE-9382-70D9EB7109B4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DABB98CC-50F6-48A4-91CA-C3E94C1B49AB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2CD93D0B-6921-4D93-ACFC-11E20398EE0C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9BE38EA8-0BA2-41CD-8000-4FA06BB72A6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A08FF96-44EA-4BE1-BA46-F8C412452240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BCA4ECF-3884-4611-9E63-D94C57EB1787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0158047-5C6E-49FD-988C-EEFF97FD68C5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EA3C70D7-1977-4D4C-9332-2FF4E7C177F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42891E1F-9DC8-49CC-8D35-68A4E0508929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C7BE2AB-9071-438F-9B23-D57EBB54B6B0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BF4B1426-5C36-4E75-B3A0-5D2EEFD5BC46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0A9CEE55-B510-4862-AADB-EEC99CF5BBC8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227163C5-3900-4285-ABB3-667FB18621D7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B9E83B6C-0B9F-4AAF-B803-4EE69AEF7BE6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CE872E33-9938-48C7-80C9-2390FB04D633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0E50CF5B-7F46-488A-A84B-0BA09A42CFEA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00E47281-E1A7-41E8-8D8B-C6C845EE0CE2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3242BE1A-85DD-4D77-B968-7BB2C3F7C410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C564EECF-1AEB-452F-83F9-9CBAD7390975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2D4A9CA2-C689-4BF3-994B-333801F8E8BB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CD6652CE-5090-4F46-A56A-05FCFA27E6E4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9EF9DF1-DD9E-4BF6-B0FA-AC8EFEDE9BB5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0D88598-AE4C-4FFA-B61C-314C2B53E88F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BC91F86-AA30-4947-846E-053F0B22CF64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4FF9C6B0-1EDF-4B5A-AD8C-4856B18F283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309C9C1-DB77-4A2E-B7BB-C15373551BFA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8CC81002-0EF5-4735-8AB6-4AA341007293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97C16296-E6D4-4385-941C-2E4176D5941A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C5B0391-855F-43E1-8DC3-E14FF9ED1DE2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93C9F082-B1E6-44C5-9C54-26884E859ED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959B9316-C575-46CF-BAF4-566F15C80F8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4F00DE6-3AEE-4052-BF62-FBFEAC382921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D1D73E1F-8414-4CCE-90EC-E5146B2AAF97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38ACAF4C-6B36-431D-B96E-B2CB3BF34E30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E28E8E0-73BF-4D39-B03B-955D59490AB5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A2E3E959-94DF-4B0F-8D86-D1A729AB692F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92B83A21-35C4-4748-A22C-BCFAB7A3DFF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0D6CCA63-1C8F-42F9-AA55-000E745A639D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FFE1AE7B-DCDB-4CBC-B378-7F0D714A89EA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EBE035B8-8411-4E80-A00B-A737CDE55AE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A49EE49-47C5-46E5-B047-608485AC69E2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98F08564-B9B2-4482-90F8-4922F7EF15FA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0DC147E-259E-4289-912D-7729B7642EE7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08B2400-9AE8-4B51-ABA7-004A367497EF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38C245DB-7DA9-4AC2-921B-779BA7E83F73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A8C8773-481C-47DA-99A7-5DA583B84688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FF60919A-76C7-4F0D-A175-1878ABA5716E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5E0FC866-AAE1-48C4-8DB9-0324BF17C36C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60EF2852-DE69-4851-B442-8688935BEA42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16D6FFB5-E5A2-404E-B57D-5B42D0E486C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C5363C12-5C78-4E6A-B1E0-9078A0E860D9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5C8AE446-E9FE-4892-883B-9C9C2C49271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EF990-4AEA-49C9-AA9B-BD12CFCBD42C}">
  <dimension ref="A1:AR267"/>
  <sheetViews>
    <sheetView rightToLeft="1" topLeftCell="AA25" zoomScale="70" zoomScaleNormal="70" workbookViewId="0">
      <selection activeCell="M4" sqref="M4:M5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" style="28" bestFit="1" customWidth="1"/>
    <col min="9" max="9" width="24.66406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20.77734375" style="24" bestFit="1" customWidth="1"/>
    <col min="28" max="28" width="101.33203125" style="24" bestFit="1" customWidth="1"/>
    <col min="29" max="29" width="15.77734375" style="31" bestFit="1" customWidth="1"/>
    <col min="30" max="30" width="13.6640625" style="32" bestFit="1" customWidth="1"/>
    <col min="31" max="31" width="33" style="24" bestFit="1" customWidth="1"/>
    <col min="32" max="32" width="28.33203125" style="24" bestFit="1" customWidth="1"/>
    <col min="33" max="33" width="13.5546875" style="24" bestFit="1" customWidth="1"/>
    <col min="34" max="34" width="125.5546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1" t="s">
        <v>0</v>
      </c>
      <c r="B1" s="152"/>
      <c r="C1" s="151" t="s">
        <v>1</v>
      </c>
      <c r="D1" s="152"/>
      <c r="E1" s="151" t="s">
        <v>2</v>
      </c>
      <c r="F1" s="152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3" t="s">
        <v>17</v>
      </c>
      <c r="V1" s="154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55">
        <v>1</v>
      </c>
      <c r="H2" s="157" t="s">
        <v>82</v>
      </c>
      <c r="I2" s="155" t="s">
        <v>75</v>
      </c>
      <c r="J2" s="132" t="s">
        <v>76</v>
      </c>
      <c r="K2" s="11" t="str">
        <f t="shared" ref="K2:K5" ca="1" si="0">IF(C2, TODAY(), "" )</f>
        <v/>
      </c>
      <c r="L2" s="142"/>
      <c r="M2" s="142" t="s">
        <v>77</v>
      </c>
      <c r="N2" s="142" t="s">
        <v>78</v>
      </c>
      <c r="O2" s="9">
        <v>5501.3</v>
      </c>
      <c r="P2" s="9">
        <v>2</v>
      </c>
      <c r="Q2" s="13" t="str">
        <f>VLOOKUP(O2, '[1]لیست محصولات اردیبهشت ۱۴۰۳'!B:C,2,0)</f>
        <v>ورتکس | Vortex</v>
      </c>
      <c r="R2" s="9"/>
      <c r="S2" s="12">
        <f>VLOOKUP(O2, '[1]لیست محصولات اردیبهشت ۱۴۰۳'!B:F,5,0)</f>
        <v>4000</v>
      </c>
      <c r="T2" s="14">
        <f>VLOOKUP(O2, '[1]لیست محصولات اردیبهشت ۱۴۰۳'!B:G,6,0)</f>
        <v>51200000</v>
      </c>
      <c r="U2" s="15"/>
      <c r="V2" s="16">
        <f t="shared" ref="V2:V5" si="1">IF(C2, P2, U2 )</f>
        <v>0</v>
      </c>
      <c r="W2" s="12">
        <f t="shared" ref="W2:W5" si="2">P2-V2</f>
        <v>2</v>
      </c>
      <c r="X2" s="14">
        <f t="shared" ref="X2:X5" si="3">P2*T2</f>
        <v>102400000</v>
      </c>
      <c r="Y2" s="17"/>
      <c r="Z2" s="14">
        <f t="shared" ref="Z2:Z5" si="4">X2-Y2</f>
        <v>102400000</v>
      </c>
      <c r="AA2" s="140" t="s">
        <v>79</v>
      </c>
      <c r="AB2" s="138" t="s">
        <v>70</v>
      </c>
      <c r="AC2" s="136" t="s">
        <v>80</v>
      </c>
      <c r="AD2" s="134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56"/>
      <c r="H3" s="158"/>
      <c r="I3" s="156"/>
      <c r="J3" s="133"/>
      <c r="K3" s="11" t="str">
        <f t="shared" ca="1" si="0"/>
        <v/>
      </c>
      <c r="L3" s="143"/>
      <c r="M3" s="143"/>
      <c r="N3" s="143"/>
      <c r="O3" s="9">
        <v>5511.3</v>
      </c>
      <c r="P3" s="9">
        <v>2</v>
      </c>
      <c r="Q3" s="13" t="str">
        <f>VLOOKUP(O3, '[1]لیست محصولات اردیبهشت ۱۴۰۳'!B:C,2,0)</f>
        <v>هامبلا | Hambella</v>
      </c>
      <c r="R3" s="9"/>
      <c r="S3" s="12">
        <f>VLOOKUP(O3, '[1]لیست محصولات اردیبهشت ۱۴۰۳'!B:F,5,0)</f>
        <v>4000</v>
      </c>
      <c r="T3" s="14">
        <f>VLOOKUP(O3, '[1]لیست محصولات اردیبهشت ۱۴۰۳'!B:G,6,0)</f>
        <v>69600000</v>
      </c>
      <c r="U3" s="15"/>
      <c r="V3" s="16">
        <f t="shared" si="1"/>
        <v>0</v>
      </c>
      <c r="W3" s="12">
        <f t="shared" si="2"/>
        <v>2</v>
      </c>
      <c r="X3" s="14">
        <f t="shared" si="3"/>
        <v>139200000</v>
      </c>
      <c r="Y3" s="17"/>
      <c r="Z3" s="14">
        <f t="shared" si="4"/>
        <v>139200000</v>
      </c>
      <c r="AA3" s="141"/>
      <c r="AB3" s="139"/>
      <c r="AC3" s="137"/>
      <c r="AD3" s="135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55">
        <v>2</v>
      </c>
      <c r="H4" s="157" t="s">
        <v>81</v>
      </c>
      <c r="I4" s="155" t="s">
        <v>136</v>
      </c>
      <c r="J4" s="132" t="s">
        <v>76</v>
      </c>
      <c r="K4" s="11" t="str">
        <f t="shared" ca="1" si="0"/>
        <v/>
      </c>
      <c r="L4" s="142"/>
      <c r="M4" s="142" t="s">
        <v>77</v>
      </c>
      <c r="N4" s="142" t="s">
        <v>280</v>
      </c>
      <c r="O4" s="9">
        <v>5501.3</v>
      </c>
      <c r="P4" s="9">
        <v>9</v>
      </c>
      <c r="Q4" s="13" t="str">
        <f>VLOOKUP(O4, '[1]لیست محصولات اردیبهشت ۱۴۰۳'!B:C,2,0)</f>
        <v>ورتکس | Vortex</v>
      </c>
      <c r="R4" s="9"/>
      <c r="S4" s="12">
        <f>VLOOKUP(O4, '[1]لیست محصولات اردیبهشت ۱۴۰۳'!B:F,5,0)</f>
        <v>4000</v>
      </c>
      <c r="T4" s="14">
        <f>VLOOKUP(O4, '[1]لیست محصولات اردیبهشت ۱۴۰۳'!B:G,6,0)</f>
        <v>51200000</v>
      </c>
      <c r="U4" s="15"/>
      <c r="V4" s="16">
        <f t="shared" si="1"/>
        <v>0</v>
      </c>
      <c r="W4" s="12">
        <f t="shared" si="2"/>
        <v>9</v>
      </c>
      <c r="X4" s="14">
        <f t="shared" si="3"/>
        <v>460800000</v>
      </c>
      <c r="Y4" s="17"/>
      <c r="Z4" s="14">
        <f t="shared" si="4"/>
        <v>460800000</v>
      </c>
      <c r="AA4" s="140" t="s">
        <v>79</v>
      </c>
      <c r="AB4" s="138" t="s">
        <v>70</v>
      </c>
      <c r="AC4" s="136" t="s">
        <v>80</v>
      </c>
      <c r="AD4" s="134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کافه بیکری روستار سانا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56"/>
      <c r="H5" s="158"/>
      <c r="I5" s="156"/>
      <c r="J5" s="133"/>
      <c r="K5" s="11" t="str">
        <f t="shared" ca="1" si="0"/>
        <v/>
      </c>
      <c r="L5" s="143"/>
      <c r="M5" s="143"/>
      <c r="N5" s="143"/>
      <c r="O5" s="9">
        <v>5511.3</v>
      </c>
      <c r="P5" s="9">
        <v>5</v>
      </c>
      <c r="Q5" s="13" t="str">
        <f>VLOOKUP(O5, '[1]لیست محصولات اردیبهشت ۱۴۰۳'!B:C,2,0)</f>
        <v>هامبلا | Hambella</v>
      </c>
      <c r="R5" s="9"/>
      <c r="S5" s="12">
        <f>VLOOKUP(O5, '[1]لیست محصولات اردیبهشت ۱۴۰۳'!B:F,5,0)</f>
        <v>4000</v>
      </c>
      <c r="T5" s="14">
        <f>VLOOKUP(O5, '[1]لیست محصولات اردیبهشت ۱۴۰۳'!B:G,6,0)</f>
        <v>69600000</v>
      </c>
      <c r="U5" s="15"/>
      <c r="V5" s="16">
        <f t="shared" si="1"/>
        <v>0</v>
      </c>
      <c r="W5" s="12">
        <f t="shared" si="2"/>
        <v>5</v>
      </c>
      <c r="X5" s="14">
        <f t="shared" si="3"/>
        <v>348000000</v>
      </c>
      <c r="Y5" s="17"/>
      <c r="Z5" s="14">
        <f t="shared" si="4"/>
        <v>348000000</v>
      </c>
      <c r="AA5" s="141"/>
      <c r="AB5" s="139"/>
      <c r="AC5" s="137"/>
      <c r="AD5" s="135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3</v>
      </c>
      <c r="H6" s="10">
        <v>277137078572</v>
      </c>
      <c r="I6" s="25" t="s">
        <v>442</v>
      </c>
      <c r="J6" s="9" t="s">
        <v>76</v>
      </c>
      <c r="K6" s="11" t="str">
        <f t="shared" ref="K6:K65" ca="1" si="7">IF(C6, TODAY(), "" )</f>
        <v/>
      </c>
      <c r="L6" s="12" t="s">
        <v>518</v>
      </c>
      <c r="M6" s="12" t="s">
        <v>519</v>
      </c>
      <c r="N6" s="12" t="s">
        <v>520</v>
      </c>
      <c r="O6" s="9">
        <v>5523.2</v>
      </c>
      <c r="P6" s="9">
        <v>2</v>
      </c>
      <c r="Q6" s="13" t="str">
        <f>VLOOKUP(O6, '[1]لیست محصولات اردیبهشت ۱۴۰۳'!B:C,2,0)</f>
        <v>کوتوا دانکن | Kotowa Duncan</v>
      </c>
      <c r="R6" s="9"/>
      <c r="S6" s="12">
        <f>VLOOKUP(O6, '[1]لیست محصولات اردیبهشت ۱۴۰۳'!B:F,5,0)</f>
        <v>750</v>
      </c>
      <c r="T6" s="14">
        <f>VLOOKUP(O6, '[1]لیست محصولات اردیبهشت ۱۴۰۳'!B:G,6,0)</f>
        <v>12150000</v>
      </c>
      <c r="U6" s="15"/>
      <c r="V6" s="16">
        <f t="shared" ref="V6:V65" si="8">IF(C6, P6, U6 )</f>
        <v>0</v>
      </c>
      <c r="W6" s="12">
        <f t="shared" ref="W6:W65" si="9">P6-V6</f>
        <v>2</v>
      </c>
      <c r="X6" s="14">
        <f t="shared" ref="X6:X65" si="10">P6*T6</f>
        <v>24300000</v>
      </c>
      <c r="Y6" s="17"/>
      <c r="Z6" s="14">
        <f t="shared" ref="Z6:Z65" si="11">X6-Y6</f>
        <v>24300000</v>
      </c>
      <c r="AA6" s="18" t="s">
        <v>79</v>
      </c>
      <c r="AB6" s="13" t="s">
        <v>521</v>
      </c>
      <c r="AC6" s="19" t="s">
        <v>522</v>
      </c>
      <c r="AD6" s="20" t="s">
        <v>99</v>
      </c>
      <c r="AE6" s="68" t="s">
        <v>523</v>
      </c>
      <c r="AF6" s="21"/>
      <c r="AG6" s="22" t="str">
        <f t="shared" si="5"/>
        <v>TRUE</v>
      </c>
      <c r="AH6" s="23" t="str">
        <f t="shared" si="6"/>
        <v>تهران خ بزرگمهر ،خ برادران مظفر به سمت شمال ،پلاک ۱۲۵ کافه حیات هزارافسان - اعظم پورهاشمی 09124590471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66">
        <v>4</v>
      </c>
      <c r="H7" s="67"/>
      <c r="I7" s="66" t="s">
        <v>442</v>
      </c>
      <c r="J7" s="9" t="s">
        <v>76</v>
      </c>
      <c r="K7" s="11" t="str">
        <f t="shared" ca="1" si="7"/>
        <v/>
      </c>
      <c r="L7" s="12" t="s">
        <v>524</v>
      </c>
      <c r="M7" s="12" t="s">
        <v>525</v>
      </c>
      <c r="N7" s="12" t="s">
        <v>526</v>
      </c>
      <c r="O7" s="9">
        <v>5511.3</v>
      </c>
      <c r="P7" s="9">
        <v>4</v>
      </c>
      <c r="Q7" s="13" t="str">
        <f>VLOOKUP(O7, '[1]لیست محصولات اردیبهشت ۱۴۰۳'!B:C,2,0)</f>
        <v>هامبلا | Hambella</v>
      </c>
      <c r="R7" s="9"/>
      <c r="S7" s="12">
        <f>VLOOKUP(O7, '[1]لیست محصولات اردیبهشت ۱۴۰۳'!B:F,5,0)</f>
        <v>4000</v>
      </c>
      <c r="T7" s="14">
        <f>VLOOKUP(O7, '[1]لیست محصولات اردیبهشت ۱۴۰۳'!B:G,6,0)</f>
        <v>69600000</v>
      </c>
      <c r="U7" s="26"/>
      <c r="V7" s="16">
        <f t="shared" si="8"/>
        <v>0</v>
      </c>
      <c r="W7" s="12">
        <f t="shared" si="9"/>
        <v>4</v>
      </c>
      <c r="X7" s="14">
        <f t="shared" si="10"/>
        <v>278400000</v>
      </c>
      <c r="Y7" s="17"/>
      <c r="Z7" s="14">
        <f t="shared" si="11"/>
        <v>278400000</v>
      </c>
      <c r="AA7" s="18" t="s">
        <v>527</v>
      </c>
      <c r="AB7" s="13" t="s">
        <v>528</v>
      </c>
      <c r="AC7" s="19" t="s">
        <v>529</v>
      </c>
      <c r="AD7" s="20"/>
      <c r="AE7" s="19"/>
      <c r="AF7" s="21"/>
      <c r="AG7" s="22" t="str">
        <f t="shared" si="5"/>
        <v>TRUE</v>
      </c>
      <c r="AH7" s="23" t="str">
        <f t="shared" si="6"/>
        <v>کیش کیبل اسکی کافه طهرون (کیش) - ایمان بنفشه 09037950385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277161420629</v>
      </c>
      <c r="I8" s="9" t="s">
        <v>511</v>
      </c>
      <c r="J8" s="9"/>
      <c r="K8" s="11" t="str">
        <f t="shared" ca="1" si="7"/>
        <v/>
      </c>
      <c r="L8" s="12" t="s">
        <v>530</v>
      </c>
      <c r="M8" s="12" t="s">
        <v>531</v>
      </c>
      <c r="N8" s="12"/>
      <c r="O8" s="9">
        <v>5523.2</v>
      </c>
      <c r="P8" s="9">
        <v>1</v>
      </c>
      <c r="Q8" s="13" t="str">
        <f>VLOOKUP(O8, '[1]لیست محصولات اردیبهشت ۱۴۰۳'!B:C,2,0)</f>
        <v>کوتوا دانکن | Kotowa Duncan</v>
      </c>
      <c r="R8" s="9"/>
      <c r="S8" s="12">
        <f>VLOOKUP(O8, '[1]لیست محصولات اردیبهشت ۱۴۰۳'!B:F,5,0)</f>
        <v>750</v>
      </c>
      <c r="T8" s="14">
        <f>VLOOKUP(O8, '[1]لیست محصولات اردیبهشت ۱۴۰۳'!B:G,6,0)</f>
        <v>12150000</v>
      </c>
      <c r="U8" s="15"/>
      <c r="V8" s="16">
        <f t="shared" si="8"/>
        <v>0</v>
      </c>
      <c r="W8" s="12">
        <f t="shared" si="9"/>
        <v>1</v>
      </c>
      <c r="X8" s="14">
        <f t="shared" si="10"/>
        <v>12150000</v>
      </c>
      <c r="Y8" s="17"/>
      <c r="Z8" s="14">
        <f t="shared" si="11"/>
        <v>12150000</v>
      </c>
      <c r="AA8" s="18" t="s">
        <v>129</v>
      </c>
      <c r="AB8" s="13" t="s">
        <v>532</v>
      </c>
      <c r="AC8" s="19" t="s">
        <v>533</v>
      </c>
      <c r="AD8" s="20"/>
      <c r="AE8" s="19"/>
      <c r="AF8" s="21"/>
      <c r="AG8" s="22" t="str">
        <f t="shared" si="5"/>
        <v>TRUE</v>
      </c>
      <c r="AH8" s="23" t="str">
        <f t="shared" si="6"/>
        <v>مشهد بلوار لادن، لادن 5، تقاطع دوم، پلاک 51، ساختمان الین، زنگ 11  - یاشار تکلو 09336401450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32">
        <v>6</v>
      </c>
      <c r="H9" s="130">
        <v>277171712682</v>
      </c>
      <c r="I9" s="132" t="s">
        <v>511</v>
      </c>
      <c r="J9" s="132"/>
      <c r="K9" s="11" t="str">
        <f t="shared" ca="1" si="7"/>
        <v/>
      </c>
      <c r="L9" s="142" t="s">
        <v>534</v>
      </c>
      <c r="M9" s="142" t="s">
        <v>535</v>
      </c>
      <c r="N9" s="142"/>
      <c r="O9" s="9">
        <v>5523.2</v>
      </c>
      <c r="P9" s="9">
        <v>1</v>
      </c>
      <c r="Q9" s="13" t="str">
        <f>VLOOKUP(O9, '[1]لیست محصولات اردیبهشت ۱۴۰۳'!B:C,2,0)</f>
        <v>کوتوا دانکن | Kotowa Duncan</v>
      </c>
      <c r="R9" s="9"/>
      <c r="S9" s="12">
        <f>VLOOKUP(O9, '[1]لیست محصولات اردیبهشت ۱۴۰۳'!B:F,5,0)</f>
        <v>750</v>
      </c>
      <c r="T9" s="14">
        <f>VLOOKUP(O9, '[1]لیست محصولات اردیبهشت ۱۴۰۳'!B:G,6,0)</f>
        <v>12150000</v>
      </c>
      <c r="U9" s="15"/>
      <c r="V9" s="16">
        <f t="shared" si="8"/>
        <v>0</v>
      </c>
      <c r="W9" s="12">
        <f t="shared" si="9"/>
        <v>1</v>
      </c>
      <c r="X9" s="14">
        <f t="shared" si="10"/>
        <v>12150000</v>
      </c>
      <c r="Y9" s="17"/>
      <c r="Z9" s="14">
        <f t="shared" si="11"/>
        <v>12150000</v>
      </c>
      <c r="AA9" s="140" t="s">
        <v>206</v>
      </c>
      <c r="AB9" s="138" t="s">
        <v>536</v>
      </c>
      <c r="AC9" s="136" t="s">
        <v>537</v>
      </c>
      <c r="AD9" s="134"/>
      <c r="AE9" s="19"/>
      <c r="AF9" s="21"/>
      <c r="AG9" s="22" t="str">
        <f t="shared" si="5"/>
        <v>TRUE</v>
      </c>
      <c r="AH9" s="23" t="str">
        <f t="shared" si="6"/>
        <v>ساری میدان امام-بلوار پاسداران-جنب دیوان محاسبات  - شایا روشن 09035335242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33"/>
      <c r="H10" s="131"/>
      <c r="I10" s="133"/>
      <c r="J10" s="133"/>
      <c r="K10" s="11" t="str">
        <f t="shared" ca="1" si="7"/>
        <v/>
      </c>
      <c r="L10" s="143"/>
      <c r="M10" s="143"/>
      <c r="N10" s="143"/>
      <c r="O10" s="9">
        <v>3326.2</v>
      </c>
      <c r="P10" s="9">
        <v>1</v>
      </c>
      <c r="Q10" s="13" t="str">
        <f>VLOOKUP(O10, '[1]لیست محصولات اردیبهشت ۱۴۰۳'!B:C,2,0)</f>
        <v>میاگروس | Milagros</v>
      </c>
      <c r="R10" s="9"/>
      <c r="S10" s="12">
        <f>VLOOKUP(O10, '[1]لیست محصولات اردیبهشت ۱۴۰۳'!B:F,5,0)</f>
        <v>750</v>
      </c>
      <c r="T10" s="14">
        <f>VLOOKUP(O10, '[1]لیست محصولات اردیبهشت ۱۴۰۳'!B:G,6,0)</f>
        <v>18150000</v>
      </c>
      <c r="U10" s="15"/>
      <c r="V10" s="16">
        <f t="shared" si="8"/>
        <v>0</v>
      </c>
      <c r="W10" s="12">
        <f t="shared" si="9"/>
        <v>1</v>
      </c>
      <c r="X10" s="14">
        <f t="shared" si="10"/>
        <v>18150000</v>
      </c>
      <c r="Y10" s="17"/>
      <c r="Z10" s="14">
        <f t="shared" si="11"/>
        <v>18150000</v>
      </c>
      <c r="AA10" s="141"/>
      <c r="AB10" s="139"/>
      <c r="AC10" s="137"/>
      <c r="AD10" s="135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7</v>
      </c>
      <c r="H11" s="10">
        <v>277172596712</v>
      </c>
      <c r="I11" s="9" t="s">
        <v>511</v>
      </c>
      <c r="J11" s="9"/>
      <c r="K11" s="11" t="str">
        <f t="shared" ca="1" si="7"/>
        <v/>
      </c>
      <c r="L11" s="12" t="s">
        <v>538</v>
      </c>
      <c r="M11" s="12" t="s">
        <v>539</v>
      </c>
      <c r="N11" s="12" t="s">
        <v>540</v>
      </c>
      <c r="O11" s="9">
        <v>5511.2</v>
      </c>
      <c r="P11" s="9">
        <v>1</v>
      </c>
      <c r="Q11" s="13" t="str">
        <f>VLOOKUP(O11, '[1]لیست محصولات اردیبهشت ۱۴۰۳'!B:C,2,0)</f>
        <v>هامبلا | Hambella</v>
      </c>
      <c r="R11" s="9"/>
      <c r="S11" s="12">
        <f>VLOOKUP(O11, '[1]لیست محصولات اردیبهشت ۱۴۰۳'!B:F,5,0)</f>
        <v>750</v>
      </c>
      <c r="T11" s="14">
        <f>VLOOKUP(O11, '[1]لیست محصولات اردیبهشت ۱۴۰۳'!B:G,6,0)</f>
        <v>13350000</v>
      </c>
      <c r="U11" s="15"/>
      <c r="V11" s="16">
        <f t="shared" si="8"/>
        <v>0</v>
      </c>
      <c r="W11" s="12">
        <f t="shared" si="9"/>
        <v>1</v>
      </c>
      <c r="X11" s="14">
        <f t="shared" si="10"/>
        <v>13350000</v>
      </c>
      <c r="Y11" s="17"/>
      <c r="Z11" s="14">
        <f t="shared" si="11"/>
        <v>13350000</v>
      </c>
      <c r="AA11" s="18" t="s">
        <v>541</v>
      </c>
      <c r="AB11" s="13" t="s">
        <v>542</v>
      </c>
      <c r="AC11" s="19" t="s">
        <v>543</v>
      </c>
      <c r="AD11" s="20"/>
      <c r="AE11" s="19"/>
      <c r="AF11" s="21"/>
      <c r="AG11" s="22" t="str">
        <f t="shared" si="5"/>
        <v>TRUE</v>
      </c>
      <c r="AH11" s="23" t="str">
        <f t="shared" si="6"/>
        <v>همدان مجتمع مسکونی سعیدیه بخش اداری پشت بانک مسکن کافه قرار - میلاد نصری 09129376163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8</v>
      </c>
      <c r="H12" s="10">
        <v>277178765861</v>
      </c>
      <c r="I12" s="9" t="s">
        <v>511</v>
      </c>
      <c r="J12" s="9"/>
      <c r="K12" s="11" t="str">
        <f t="shared" ca="1" si="7"/>
        <v/>
      </c>
      <c r="L12" s="12" t="s">
        <v>479</v>
      </c>
      <c r="M12" s="12" t="s">
        <v>480</v>
      </c>
      <c r="N12" s="12" t="s">
        <v>481</v>
      </c>
      <c r="O12" s="9">
        <v>5511.22</v>
      </c>
      <c r="P12" s="9">
        <v>1</v>
      </c>
      <c r="Q12" s="69" t="str">
        <f>VLOOKUP(O12, '[1]لیست محصولات اردیبهشت ۱۴۰۳'!B:C,2,0)</f>
        <v>هامبلا(رست دمی) | Hambella( Filter Roast)</v>
      </c>
      <c r="R12" s="9"/>
      <c r="S12" s="12">
        <f>VLOOKUP(O12, '[1]لیست محصولات اردیبهشت ۱۴۰۳'!B:F,5,0)</f>
        <v>750</v>
      </c>
      <c r="T12" s="14">
        <f>VLOOKUP(O12, '[1]لیست محصولات اردیبهشت ۱۴۰۳'!B:G,6,0)</f>
        <v>13350000</v>
      </c>
      <c r="U12" s="15"/>
      <c r="V12" s="16">
        <f t="shared" si="8"/>
        <v>0</v>
      </c>
      <c r="W12" s="12">
        <f t="shared" si="9"/>
        <v>1</v>
      </c>
      <c r="X12" s="14">
        <f t="shared" si="10"/>
        <v>13350000</v>
      </c>
      <c r="Y12" s="17"/>
      <c r="Z12" s="14">
        <f t="shared" si="11"/>
        <v>13350000</v>
      </c>
      <c r="AA12" s="18" t="s">
        <v>79</v>
      </c>
      <c r="AB12" s="13" t="s">
        <v>482</v>
      </c>
      <c r="AC12" s="19" t="s">
        <v>483</v>
      </c>
      <c r="AD12" s="20" t="s">
        <v>99</v>
      </c>
      <c r="AE12" s="19"/>
      <c r="AF12" s="21"/>
      <c r="AG12" s="22" t="str">
        <f t="shared" si="5"/>
        <v>TRUE</v>
      </c>
      <c r="AH12" s="23" t="str">
        <f t="shared" si="6"/>
        <v>تهران بلوار دریا . خیابان موج.مابین توحید سه و چهار پلاک ۸ کافه لین - محمدامین اتابکی 09198362066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9</v>
      </c>
      <c r="H13" s="10">
        <v>277185948561</v>
      </c>
      <c r="I13" s="9" t="s">
        <v>511</v>
      </c>
      <c r="J13" s="9"/>
      <c r="K13" s="11" t="str">
        <f t="shared" ca="1" si="7"/>
        <v/>
      </c>
      <c r="L13" s="12" t="s">
        <v>547</v>
      </c>
      <c r="M13" s="12" t="s">
        <v>544</v>
      </c>
      <c r="N13" s="12"/>
      <c r="O13" s="9">
        <v>5501.2</v>
      </c>
      <c r="P13" s="9">
        <v>1</v>
      </c>
      <c r="Q13" s="13" t="str">
        <f>VLOOKUP(O13, '[1]لیست محصولات اردیبهشت ۱۴۰۳'!B:C,2,0)</f>
        <v>ورتکس | Vortex</v>
      </c>
      <c r="R13" s="9" t="s">
        <v>102</v>
      </c>
      <c r="S13" s="12">
        <f>VLOOKUP(O13, '[1]لیست محصولات اردیبهشت ۱۴۰۳'!B:F,5,0)</f>
        <v>750</v>
      </c>
      <c r="T13" s="14">
        <f>VLOOKUP(O13, '[1]لیست محصولات اردیبهشت ۱۴۰۳'!B:G,6,0)</f>
        <v>9900000</v>
      </c>
      <c r="U13" s="26"/>
      <c r="V13" s="16">
        <f t="shared" si="8"/>
        <v>0</v>
      </c>
      <c r="W13" s="12">
        <f t="shared" si="9"/>
        <v>1</v>
      </c>
      <c r="X13" s="14">
        <f t="shared" si="10"/>
        <v>9900000</v>
      </c>
      <c r="Y13" s="17"/>
      <c r="Z13" s="14">
        <f t="shared" si="11"/>
        <v>9900000</v>
      </c>
      <c r="AA13" s="18" t="s">
        <v>250</v>
      </c>
      <c r="AB13" s="13" t="s">
        <v>545</v>
      </c>
      <c r="AC13" s="19" t="s">
        <v>546</v>
      </c>
      <c r="AD13" s="20"/>
      <c r="AE13" s="19"/>
      <c r="AF13" s="21"/>
      <c r="AG13" s="22" t="str">
        <f t="shared" si="5"/>
        <v>TRUE</v>
      </c>
      <c r="AH13" s="23" t="str">
        <f t="shared" si="6"/>
        <v>کرج کوی کارمندان جنوبی ولیعصر ۴ پلاک ۶۵ واحد ۲  - محسن شیل چی 09122508479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66">
        <v>10</v>
      </c>
      <c r="H14" s="67"/>
      <c r="I14" s="66" t="s">
        <v>511</v>
      </c>
      <c r="J14" s="9" t="s">
        <v>76</v>
      </c>
      <c r="K14" s="11" t="str">
        <f t="shared" ca="1" si="7"/>
        <v/>
      </c>
      <c r="L14" s="12" t="s">
        <v>550</v>
      </c>
      <c r="M14" s="12" t="s">
        <v>551</v>
      </c>
      <c r="N14" s="12" t="s">
        <v>548</v>
      </c>
      <c r="O14" s="9">
        <v>5501.3</v>
      </c>
      <c r="P14" s="9">
        <v>2</v>
      </c>
      <c r="Q14" s="13" t="str">
        <f>VLOOKUP(O14, '[1]لیست محصولات اردیبهشت ۱۴۰۳'!B:C,2,0)</f>
        <v>ورتکس | Vortex</v>
      </c>
      <c r="R14" s="9"/>
      <c r="S14" s="12">
        <f>VLOOKUP(O14, '[1]لیست محصولات اردیبهشت ۱۴۰۳'!B:F,5,0)</f>
        <v>4000</v>
      </c>
      <c r="T14" s="14">
        <f>VLOOKUP(O14, '[1]لیست محصولات اردیبهشت ۱۴۰۳'!B:G,6,0)</f>
        <v>51200000</v>
      </c>
      <c r="U14" s="15"/>
      <c r="V14" s="16">
        <f t="shared" si="8"/>
        <v>0</v>
      </c>
      <c r="W14" s="12">
        <f t="shared" si="9"/>
        <v>2</v>
      </c>
      <c r="X14" s="14">
        <f t="shared" si="10"/>
        <v>102400000</v>
      </c>
      <c r="Y14" s="17"/>
      <c r="Z14" s="14">
        <f t="shared" si="11"/>
        <v>102400000</v>
      </c>
      <c r="AA14" s="18" t="s">
        <v>79</v>
      </c>
      <c r="AB14" s="13" t="s">
        <v>70</v>
      </c>
      <c r="AC14" s="19" t="s">
        <v>549</v>
      </c>
      <c r="AD14" s="20"/>
      <c r="AE14" s="19"/>
      <c r="AF14" s="21"/>
      <c r="AG14" s="22" t="str">
        <f t="shared" si="5"/>
        <v>TRUE</v>
      </c>
      <c r="AH14" s="23" t="str">
        <f t="shared" si="6"/>
        <v>تهران - قنادی اته - نواب نجفی زاده 09124722258</v>
      </c>
    </row>
    <row r="15" spans="1:34" ht="22.35" customHeight="1">
      <c r="A15" s="7"/>
      <c r="B15" s="7"/>
      <c r="C15" s="7"/>
      <c r="D15" s="7"/>
      <c r="E15" s="7"/>
      <c r="F15" s="8"/>
      <c r="G15" s="132">
        <v>11</v>
      </c>
      <c r="H15" s="130">
        <v>277200542461</v>
      </c>
      <c r="I15" s="132" t="s">
        <v>511</v>
      </c>
      <c r="J15" s="132"/>
      <c r="K15" s="11" t="str">
        <f t="shared" ca="1" si="7"/>
        <v/>
      </c>
      <c r="L15" s="142" t="s">
        <v>112</v>
      </c>
      <c r="M15" s="142" t="s">
        <v>113</v>
      </c>
      <c r="N15" s="142" t="s">
        <v>114</v>
      </c>
      <c r="O15" s="9">
        <v>5511.22</v>
      </c>
      <c r="P15" s="9">
        <v>5</v>
      </c>
      <c r="Q15" s="69" t="str">
        <f>VLOOKUP(O15, '[1]لیست محصولات اردیبهشت ۱۴۰۳'!B:C,2,0)</f>
        <v>هامبلا(رست دمی) | Hambella( Filter Roast)</v>
      </c>
      <c r="R15" s="9"/>
      <c r="S15" s="12">
        <f>VLOOKUP(O15, '[1]لیست محصولات اردیبهشت ۱۴۰۳'!B:F,5,0)</f>
        <v>750</v>
      </c>
      <c r="T15" s="14">
        <f>VLOOKUP(O15, '[1]لیست محصولات اردیبهشت ۱۴۰۳'!B:G,6,0)</f>
        <v>13350000</v>
      </c>
      <c r="U15" s="15"/>
      <c r="V15" s="16">
        <f t="shared" si="8"/>
        <v>0</v>
      </c>
      <c r="W15" s="12">
        <f t="shared" si="9"/>
        <v>5</v>
      </c>
      <c r="X15" s="14">
        <f t="shared" si="10"/>
        <v>66750000</v>
      </c>
      <c r="Y15" s="17"/>
      <c r="Z15" s="14">
        <f t="shared" si="11"/>
        <v>66750000</v>
      </c>
      <c r="AA15" s="140" t="s">
        <v>115</v>
      </c>
      <c r="AB15" s="138" t="s">
        <v>116</v>
      </c>
      <c r="AC15" s="136" t="s">
        <v>117</v>
      </c>
      <c r="AD15" s="134"/>
      <c r="AE15" s="19"/>
      <c r="AF15" s="21"/>
      <c r="AG15" s="22" t="str">
        <f t="shared" si="5"/>
        <v>TRUE</v>
      </c>
      <c r="AH15" s="23" t="str">
        <f t="shared" si="6"/>
        <v>زنجان چهارراه سعدی به سمت دروازه ارک کوچه شادمان قهوه آفریقا - محمدرضا جلدی 09195241245</v>
      </c>
    </row>
    <row r="16" spans="1:34" ht="22.35" customHeight="1">
      <c r="A16" s="7"/>
      <c r="B16" s="7"/>
      <c r="C16" s="7"/>
      <c r="D16" s="7"/>
      <c r="E16" s="7"/>
      <c r="F16" s="8"/>
      <c r="G16" s="133"/>
      <c r="H16" s="131"/>
      <c r="I16" s="133"/>
      <c r="J16" s="133"/>
      <c r="K16" s="11" t="str">
        <f t="shared" ca="1" si="7"/>
        <v/>
      </c>
      <c r="L16" s="143"/>
      <c r="M16" s="143"/>
      <c r="N16" s="143"/>
      <c r="O16" s="9">
        <v>3326.2</v>
      </c>
      <c r="P16" s="9">
        <v>1</v>
      </c>
      <c r="Q16" s="13" t="str">
        <f>VLOOKUP(O16, '[1]لیست محصولات اردیبهشت ۱۴۰۳'!B:C,2,0)</f>
        <v>میاگروس | Milagros</v>
      </c>
      <c r="R16" s="9"/>
      <c r="S16" s="12">
        <f>VLOOKUP(O16, '[1]لیست محصولات اردیبهشت ۱۴۰۳'!B:F,5,0)</f>
        <v>750</v>
      </c>
      <c r="T16" s="14">
        <f>VLOOKUP(O16, '[1]لیست محصولات اردیبهشت ۱۴۰۳'!B:G,6,0)</f>
        <v>18150000</v>
      </c>
      <c r="U16" s="15"/>
      <c r="V16" s="16">
        <f t="shared" si="8"/>
        <v>0</v>
      </c>
      <c r="W16" s="12">
        <f t="shared" si="9"/>
        <v>1</v>
      </c>
      <c r="X16" s="14">
        <f t="shared" si="10"/>
        <v>18150000</v>
      </c>
      <c r="Y16" s="17"/>
      <c r="Z16" s="14">
        <f t="shared" si="11"/>
        <v>18150000</v>
      </c>
      <c r="AA16" s="141"/>
      <c r="AB16" s="139"/>
      <c r="AC16" s="137"/>
      <c r="AD16" s="135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277201071434</v>
      </c>
      <c r="I17" s="9" t="s">
        <v>511</v>
      </c>
      <c r="J17" s="9"/>
      <c r="K17" s="11" t="str">
        <f t="shared" ca="1" si="7"/>
        <v/>
      </c>
      <c r="L17" s="12" t="s">
        <v>552</v>
      </c>
      <c r="M17" s="12" t="s">
        <v>553</v>
      </c>
      <c r="N17" s="12" t="s">
        <v>554</v>
      </c>
      <c r="O17" s="9">
        <v>5501.3</v>
      </c>
      <c r="P17" s="9">
        <v>1</v>
      </c>
      <c r="Q17" s="13" t="str">
        <f>VLOOKUP(O17, '[1]لیست محصولات اردیبهشت ۱۴۰۳'!B:C,2,0)</f>
        <v>ورتکس | Vortex</v>
      </c>
      <c r="R17" s="9"/>
      <c r="S17" s="12">
        <f>VLOOKUP(O17, '[1]لیست محصولات اردیبهشت ۱۴۰۳'!B:F,5,0)</f>
        <v>4000</v>
      </c>
      <c r="T17" s="14">
        <f>VLOOKUP(O17, '[1]لیست محصولات اردیبهشت ۱۴۰۳'!B:G,6,0)</f>
        <v>51200000</v>
      </c>
      <c r="U17" s="15"/>
      <c r="V17" s="16">
        <f t="shared" si="8"/>
        <v>0</v>
      </c>
      <c r="W17" s="12">
        <f t="shared" si="9"/>
        <v>1</v>
      </c>
      <c r="X17" s="14">
        <f t="shared" si="10"/>
        <v>51200000</v>
      </c>
      <c r="Y17" s="17"/>
      <c r="Z17" s="14">
        <f t="shared" si="11"/>
        <v>51200000</v>
      </c>
      <c r="AA17" s="18" t="s">
        <v>129</v>
      </c>
      <c r="AB17" s="13" t="s">
        <v>555</v>
      </c>
      <c r="AC17" s="19" t="s">
        <v>556</v>
      </c>
      <c r="AD17" s="20"/>
      <c r="AE17" s="19"/>
      <c r="AF17" s="21"/>
      <c r="AG17" s="22" t="str">
        <f t="shared" si="5"/>
        <v>TRUE</v>
      </c>
      <c r="AH17" s="23" t="str">
        <f t="shared" si="6"/>
        <v>مشهد بلوار وکیل آباد، خیابان هاشمیه ، هاشمیه ۲۸ ، مقابل ۲۸/۵ ، جنب پلاک ۷ قهوه بی‌سان - روزبه دشتی 09354353912</v>
      </c>
    </row>
    <row r="18" spans="1:34" ht="22.35" customHeight="1">
      <c r="A18" s="7"/>
      <c r="B18" s="7"/>
      <c r="C18" s="7"/>
      <c r="D18" s="7"/>
      <c r="E18" s="7"/>
      <c r="F18" s="8"/>
      <c r="G18" s="9">
        <v>13</v>
      </c>
      <c r="H18" s="10">
        <v>277226627553</v>
      </c>
      <c r="I18" s="9" t="s">
        <v>500</v>
      </c>
      <c r="J18" s="9"/>
      <c r="K18" s="11" t="str">
        <f t="shared" ca="1" si="7"/>
        <v/>
      </c>
      <c r="L18" s="12" t="s">
        <v>557</v>
      </c>
      <c r="M18" s="12" t="s">
        <v>558</v>
      </c>
      <c r="N18" s="12"/>
      <c r="O18" s="9">
        <v>3326.2</v>
      </c>
      <c r="P18" s="9">
        <v>1</v>
      </c>
      <c r="Q18" s="13" t="str">
        <f>VLOOKUP(O18, '[1]لیست محصولات اردیبهشت ۱۴۰۳'!B:C,2,0)</f>
        <v>میاگروس | Milagros</v>
      </c>
      <c r="R18" s="9"/>
      <c r="S18" s="12">
        <f>VLOOKUP(O18, '[1]لیست محصولات اردیبهشت ۱۴۰۳'!B:F,5,0)</f>
        <v>750</v>
      </c>
      <c r="T18" s="14">
        <f>VLOOKUP(O18, '[1]لیست محصولات اردیبهشت ۱۴۰۳'!B:G,6,0)</f>
        <v>18150000</v>
      </c>
      <c r="U18" s="15"/>
      <c r="V18" s="16">
        <f t="shared" si="8"/>
        <v>0</v>
      </c>
      <c r="W18" s="12">
        <f t="shared" si="9"/>
        <v>1</v>
      </c>
      <c r="X18" s="14">
        <f t="shared" si="10"/>
        <v>18150000</v>
      </c>
      <c r="Y18" s="17"/>
      <c r="Z18" s="14">
        <f t="shared" si="11"/>
        <v>18150000</v>
      </c>
      <c r="AA18" s="18" t="s">
        <v>559</v>
      </c>
      <c r="AB18" s="13" t="s">
        <v>560</v>
      </c>
      <c r="AC18" s="19" t="s">
        <v>561</v>
      </c>
      <c r="AD18" s="20"/>
      <c r="AE18" s="19"/>
      <c r="AF18" s="21"/>
      <c r="AG18" s="22" t="str">
        <f t="shared" si="5"/>
        <v>TRUE</v>
      </c>
      <c r="AH18" s="23" t="str">
        <f t="shared" si="6"/>
        <v>مهستان فاز 2 - محله 4 - شرکت عمران شهر مهستان  - سعید محمدی قیداری 09129645309</v>
      </c>
    </row>
    <row r="19" spans="1:34" ht="22.35" customHeight="1">
      <c r="A19" s="7"/>
      <c r="B19" s="7"/>
      <c r="C19" s="7"/>
      <c r="D19" s="7"/>
      <c r="E19" s="7"/>
      <c r="F19" s="8"/>
      <c r="G19" s="66">
        <v>14</v>
      </c>
      <c r="H19" s="67"/>
      <c r="I19" s="66" t="s">
        <v>500</v>
      </c>
      <c r="J19" s="9" t="s">
        <v>76</v>
      </c>
      <c r="K19" s="11" t="str">
        <f t="shared" ca="1" si="7"/>
        <v/>
      </c>
      <c r="L19" s="12"/>
      <c r="M19" s="12" t="s">
        <v>562</v>
      </c>
      <c r="N19" s="12" t="s">
        <v>563</v>
      </c>
      <c r="O19" s="9">
        <v>5501.3</v>
      </c>
      <c r="P19" s="9">
        <v>30</v>
      </c>
      <c r="Q19" s="13" t="str">
        <f>VLOOKUP(O19, '[1]لیست محصولات اردیبهشت ۱۴۰۳'!B:C,2,0)</f>
        <v>ورتکس | Vortex</v>
      </c>
      <c r="R19" s="9"/>
      <c r="S19" s="12">
        <f>VLOOKUP(O19, '[1]لیست محصولات اردیبهشت ۱۴۰۳'!B:F,5,0)</f>
        <v>4000</v>
      </c>
      <c r="T19" s="14">
        <f>VLOOKUP(O19, '[1]لیست محصولات اردیبهشت ۱۴۰۳'!B:G,6,0)</f>
        <v>51200000</v>
      </c>
      <c r="U19" s="15"/>
      <c r="V19" s="16">
        <f t="shared" si="8"/>
        <v>0</v>
      </c>
      <c r="W19" s="12">
        <f t="shared" si="9"/>
        <v>30</v>
      </c>
      <c r="X19" s="14">
        <f t="shared" si="10"/>
        <v>1536000000</v>
      </c>
      <c r="Y19" s="17"/>
      <c r="Z19" s="14">
        <f t="shared" si="11"/>
        <v>1536000000</v>
      </c>
      <c r="AA19" s="18" t="s">
        <v>151</v>
      </c>
      <c r="AB19" s="13" t="s">
        <v>564</v>
      </c>
      <c r="AC19" s="19" t="s">
        <v>565</v>
      </c>
      <c r="AD19" s="20"/>
      <c r="AE19" s="19"/>
      <c r="AF19" s="21"/>
      <c r="AG19" s="22" t="str">
        <f t="shared" si="5"/>
        <v>TRUE</v>
      </c>
      <c r="AH19" s="23" t="str">
        <f t="shared" si="6"/>
        <v>بندرعباس ابتداي خيابان داماهي - بعد از آتش نشاني - برج ونوس - جنب تارا ماركت کال کافه -  حاجبی 09129301400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15</v>
      </c>
      <c r="H20" s="10">
        <v>277258088540</v>
      </c>
      <c r="I20" s="9" t="s">
        <v>500</v>
      </c>
      <c r="J20" s="9"/>
      <c r="K20" s="11" t="str">
        <f t="shared" ca="1" si="7"/>
        <v/>
      </c>
      <c r="L20" s="12" t="s">
        <v>119</v>
      </c>
      <c r="M20" s="12" t="s">
        <v>566</v>
      </c>
      <c r="N20" s="12"/>
      <c r="O20" s="9">
        <v>5501.2</v>
      </c>
      <c r="P20" s="9">
        <v>1</v>
      </c>
      <c r="Q20" s="13" t="str">
        <f>VLOOKUP(O20, '[1]لیست محصولات اردیبهشت ۱۴۰۳'!B:C,2,0)</f>
        <v>ورتکس | Vortex</v>
      </c>
      <c r="R20" s="9"/>
      <c r="S20" s="12">
        <f>VLOOKUP(O20, '[1]لیست محصولات اردیبهشت ۱۴۰۳'!B:F,5,0)</f>
        <v>750</v>
      </c>
      <c r="T20" s="14">
        <f>VLOOKUP(O20, '[1]لیست محصولات اردیبهشت ۱۴۰۳'!B:G,6,0)</f>
        <v>9900000</v>
      </c>
      <c r="U20" s="15"/>
      <c r="V20" s="16">
        <f t="shared" si="8"/>
        <v>0</v>
      </c>
      <c r="W20" s="12">
        <f t="shared" si="9"/>
        <v>1</v>
      </c>
      <c r="X20" s="14">
        <f t="shared" si="10"/>
        <v>9900000</v>
      </c>
      <c r="Y20" s="17"/>
      <c r="Z20" s="14">
        <f t="shared" si="11"/>
        <v>9900000</v>
      </c>
      <c r="AA20" s="18" t="s">
        <v>212</v>
      </c>
      <c r="AB20" s="13" t="s">
        <v>567</v>
      </c>
      <c r="AC20" s="19" t="s">
        <v>568</v>
      </c>
      <c r="AD20" s="20"/>
      <c r="AE20" s="19"/>
      <c r="AF20" s="21"/>
      <c r="AG20" s="22" t="str">
        <f t="shared" si="5"/>
        <v>TRUE</v>
      </c>
      <c r="AH20" s="23" t="str">
        <f t="shared" si="6"/>
        <v>قم خیابان توحید رو به روی مرکز بهداشت پلاک ۲۶۰. طبقه زیرزمین  - محمد ماندگاری 09127466200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66">
        <v>16</v>
      </c>
      <c r="H21" s="67" t="s">
        <v>135</v>
      </c>
      <c r="I21" s="66" t="s">
        <v>500</v>
      </c>
      <c r="J21" s="9"/>
      <c r="K21" s="11" t="str">
        <f t="shared" ca="1" si="7"/>
        <v/>
      </c>
      <c r="L21" s="12" t="s">
        <v>569</v>
      </c>
      <c r="M21" s="12" t="s">
        <v>570</v>
      </c>
      <c r="N21" s="12"/>
      <c r="O21" s="9">
        <v>5501.1</v>
      </c>
      <c r="P21" s="9">
        <v>2</v>
      </c>
      <c r="Q21" s="13" t="str">
        <f>VLOOKUP(O21, '[1]لیست محصولات اردیبهشت ۱۴۰۳'!B:C,2,0)</f>
        <v>ورتکس | Vortex</v>
      </c>
      <c r="R21" s="9"/>
      <c r="S21" s="12">
        <f>VLOOKUP(O21, '[1]لیست محصولات اردیبهشت ۱۴۰۳'!B:F,5,0)</f>
        <v>150</v>
      </c>
      <c r="T21" s="14">
        <f>VLOOKUP(O21, '[1]لیست محصولات اردیبهشت ۱۴۰۳'!B:G,6,0)</f>
        <v>2100000</v>
      </c>
      <c r="U21" s="15"/>
      <c r="V21" s="16">
        <f t="shared" si="8"/>
        <v>0</v>
      </c>
      <c r="W21" s="12">
        <f t="shared" si="9"/>
        <v>2</v>
      </c>
      <c r="X21" s="14">
        <f t="shared" si="10"/>
        <v>4200000</v>
      </c>
      <c r="Y21" s="17"/>
      <c r="Z21" s="14">
        <f t="shared" si="11"/>
        <v>4200000</v>
      </c>
      <c r="AA21" s="18" t="s">
        <v>571</v>
      </c>
      <c r="AB21" s="13" t="s">
        <v>572</v>
      </c>
      <c r="AC21" s="19" t="s">
        <v>573</v>
      </c>
      <c r="AD21" s="20"/>
      <c r="AE21" s="68" t="s">
        <v>574</v>
      </c>
      <c r="AF21" s="21"/>
      <c r="AG21" s="22" t="str">
        <f t="shared" si="5"/>
        <v>TRUE</v>
      </c>
      <c r="AH21" s="23" t="str">
        <f t="shared" si="6"/>
        <v>استان مرکزی دلیجان - اداره پست شهرستان دلیجان -صندوق پستی ۱۳۱  - سید محسن صادقی 09183697020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55">
        <v>17</v>
      </c>
      <c r="H22" s="157"/>
      <c r="I22" s="155" t="s">
        <v>500</v>
      </c>
      <c r="J22" s="132" t="s">
        <v>76</v>
      </c>
      <c r="K22" s="11" t="str">
        <f t="shared" ca="1" si="7"/>
        <v/>
      </c>
      <c r="L22" s="142"/>
      <c r="M22" s="142"/>
      <c r="N22" s="142" t="s">
        <v>575</v>
      </c>
      <c r="O22" s="9">
        <v>5501.3</v>
      </c>
      <c r="P22" s="9">
        <v>1</v>
      </c>
      <c r="Q22" s="13" t="str">
        <f>VLOOKUP(O22, '[1]لیست محصولات اردیبهشت ۱۴۰۳'!B:C,2,0)</f>
        <v>ورتکس | Vortex</v>
      </c>
      <c r="R22" s="9"/>
      <c r="S22" s="12">
        <f>VLOOKUP(O22, '[1]لیست محصولات اردیبهشت ۱۴۰۳'!B:F,5,0)</f>
        <v>4000</v>
      </c>
      <c r="T22" s="14">
        <f>VLOOKUP(O22, '[1]لیست محصولات اردیبهشت ۱۴۰۳'!B:G,6,0)</f>
        <v>51200000</v>
      </c>
      <c r="U22" s="15"/>
      <c r="V22" s="16">
        <f t="shared" si="8"/>
        <v>0</v>
      </c>
      <c r="W22" s="12">
        <f t="shared" si="9"/>
        <v>1</v>
      </c>
      <c r="X22" s="14">
        <f t="shared" si="10"/>
        <v>51200000</v>
      </c>
      <c r="Y22" s="17"/>
      <c r="Z22" s="14">
        <f t="shared" si="11"/>
        <v>51200000</v>
      </c>
      <c r="AA22" s="140" t="s">
        <v>79</v>
      </c>
      <c r="AB22" s="138" t="s">
        <v>70</v>
      </c>
      <c r="AC22" s="136" t="s">
        <v>576</v>
      </c>
      <c r="AD22" s="134" t="s">
        <v>99</v>
      </c>
      <c r="AE22" s="19"/>
      <c r="AF22" s="21"/>
      <c r="AG22" s="22" t="str">
        <f t="shared" si="5"/>
        <v>TRUE</v>
      </c>
      <c r="AH22" s="23" t="str">
        <f t="shared" si="6"/>
        <v>تهران - خانه فاموری -   09124302636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56"/>
      <c r="H23" s="158"/>
      <c r="I23" s="156"/>
      <c r="J23" s="133"/>
      <c r="K23" s="11" t="str">
        <f t="shared" ca="1" si="7"/>
        <v/>
      </c>
      <c r="L23" s="143"/>
      <c r="M23" s="143"/>
      <c r="N23" s="143"/>
      <c r="O23" s="9">
        <v>3325.1</v>
      </c>
      <c r="P23" s="9">
        <v>1</v>
      </c>
      <c r="Q23" s="13" t="str">
        <f>VLOOKUP(O23, '[1]لیست محصولات اردیبهشت ۱۴۰۳'!B:C,2,0)</f>
        <v>راتناگری | Ratnagiri</v>
      </c>
      <c r="R23" s="9"/>
      <c r="S23" s="12">
        <f>VLOOKUP(O23, '[1]لیست محصولات اردیبهشت ۱۴۰۳'!B:F,5,0)</f>
        <v>150</v>
      </c>
      <c r="T23" s="14">
        <f>VLOOKUP(O23, '[1]لیست محصولات اردیبهشت ۱۴۰۳'!B:G,6,0)</f>
        <v>4250000</v>
      </c>
      <c r="U23" s="15"/>
      <c r="V23" s="16">
        <f t="shared" si="8"/>
        <v>0</v>
      </c>
      <c r="W23" s="12">
        <f t="shared" si="9"/>
        <v>1</v>
      </c>
      <c r="X23" s="14">
        <f t="shared" si="10"/>
        <v>4250000</v>
      </c>
      <c r="Y23" s="17"/>
      <c r="Z23" s="14">
        <f t="shared" si="11"/>
        <v>4250000</v>
      </c>
      <c r="AA23" s="141"/>
      <c r="AB23" s="139"/>
      <c r="AC23" s="137"/>
      <c r="AD23" s="135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18</v>
      </c>
      <c r="H24" s="10">
        <v>55095223301</v>
      </c>
      <c r="I24" s="9" t="s">
        <v>500</v>
      </c>
      <c r="J24" s="9"/>
      <c r="K24" s="11" t="str">
        <f t="shared" ca="1" si="7"/>
        <v/>
      </c>
      <c r="L24" s="12" t="s">
        <v>577</v>
      </c>
      <c r="M24" s="12" t="s">
        <v>578</v>
      </c>
      <c r="N24" s="12" t="s">
        <v>579</v>
      </c>
      <c r="O24" s="9">
        <v>5501.2</v>
      </c>
      <c r="P24" s="9">
        <v>7</v>
      </c>
      <c r="Q24" s="13" t="str">
        <f>VLOOKUP(O24, '[1]لیست محصولات اردیبهشت ۱۴۰۳'!B:C,2,0)</f>
        <v>ورتکس | Vortex</v>
      </c>
      <c r="R24" s="9"/>
      <c r="S24" s="12">
        <f>VLOOKUP(O24, '[1]لیست محصولات اردیبهشت ۱۴۰۳'!B:F,5,0)</f>
        <v>750</v>
      </c>
      <c r="T24" s="14">
        <f>VLOOKUP(O24, '[1]لیست محصولات اردیبهشت ۱۴۰۳'!B:G,6,0)</f>
        <v>9900000</v>
      </c>
      <c r="U24" s="15"/>
      <c r="V24" s="16">
        <f t="shared" si="8"/>
        <v>0</v>
      </c>
      <c r="W24" s="12">
        <f t="shared" si="9"/>
        <v>7</v>
      </c>
      <c r="X24" s="14">
        <f t="shared" si="10"/>
        <v>69300000</v>
      </c>
      <c r="Y24" s="17"/>
      <c r="Z24" s="14">
        <f t="shared" si="11"/>
        <v>69300000</v>
      </c>
      <c r="AA24" s="18" t="s">
        <v>92</v>
      </c>
      <c r="AB24" s="13" t="s">
        <v>580</v>
      </c>
      <c r="AC24" s="19" t="s">
        <v>581</v>
      </c>
      <c r="AD24" s="20"/>
      <c r="AE24" s="19"/>
      <c r="AF24" s="21"/>
      <c r="AG24" s="22" t="str">
        <f t="shared" si="5"/>
        <v>TRUE</v>
      </c>
      <c r="AH24" s="23" t="str">
        <f t="shared" si="6"/>
        <v>تبریز ولیعصر خیابان رودکی انتهای خیابان خوارزمی بعد از دونر درنا پلاک ۱ کافه پی - امین کیانی 09144146711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32">
        <v>19</v>
      </c>
      <c r="H25" s="130">
        <v>277259856289</v>
      </c>
      <c r="I25" s="132" t="s">
        <v>500</v>
      </c>
      <c r="J25" s="132"/>
      <c r="K25" s="11" t="str">
        <f t="shared" ca="1" si="7"/>
        <v/>
      </c>
      <c r="L25" s="142" t="s">
        <v>582</v>
      </c>
      <c r="M25" s="142" t="s">
        <v>583</v>
      </c>
      <c r="N25" s="142" t="s">
        <v>584</v>
      </c>
      <c r="O25" s="9">
        <v>5522.2</v>
      </c>
      <c r="P25" s="9">
        <v>1</v>
      </c>
      <c r="Q25" s="13" t="str">
        <f>VLOOKUP(O25, '[1]لیست محصولات اردیبهشت ۱۴۰۳'!B:C,2,0)</f>
        <v>تامارا | Tamara</v>
      </c>
      <c r="R25" s="9"/>
      <c r="S25" s="12">
        <f>VLOOKUP(O25, '[1]لیست محصولات اردیبهشت ۱۴۰۳'!B:F,5,0)</f>
        <v>750</v>
      </c>
      <c r="T25" s="14">
        <f>VLOOKUP(O25, '[1]لیست محصولات اردیبهشت ۱۴۰۳'!B:G,6,0)</f>
        <v>12450000</v>
      </c>
      <c r="U25" s="15"/>
      <c r="V25" s="16">
        <f t="shared" si="8"/>
        <v>0</v>
      </c>
      <c r="W25" s="12">
        <f t="shared" si="9"/>
        <v>1</v>
      </c>
      <c r="X25" s="14">
        <f t="shared" si="10"/>
        <v>12450000</v>
      </c>
      <c r="Y25" s="17"/>
      <c r="Z25" s="14">
        <f t="shared" si="11"/>
        <v>12450000</v>
      </c>
      <c r="AA25" s="140" t="s">
        <v>277</v>
      </c>
      <c r="AB25" s="138" t="s">
        <v>585</v>
      </c>
      <c r="AC25" s="136" t="s">
        <v>586</v>
      </c>
      <c r="AD25" s="134"/>
      <c r="AE25" s="19"/>
      <c r="AF25" s="21"/>
      <c r="AG25" s="22" t="str">
        <f t="shared" si="5"/>
        <v>TRUE</v>
      </c>
      <c r="AH25" s="23" t="str">
        <f t="shared" si="6"/>
        <v>ارومیه میدان امام علی به سمت پل قویون کنارگذر باقری کافه مُتینز - متین بابایان 09391415264</v>
      </c>
    </row>
    <row r="26" spans="1:34" ht="22.35" customHeight="1">
      <c r="A26" s="7"/>
      <c r="B26" s="7"/>
      <c r="C26" s="7"/>
      <c r="D26" s="7"/>
      <c r="E26" s="7"/>
      <c r="F26" s="8"/>
      <c r="G26" s="144"/>
      <c r="H26" s="150"/>
      <c r="I26" s="144"/>
      <c r="J26" s="144"/>
      <c r="K26" s="11" t="str">
        <f t="shared" ca="1" si="7"/>
        <v/>
      </c>
      <c r="L26" s="145"/>
      <c r="M26" s="145"/>
      <c r="N26" s="145"/>
      <c r="O26" s="9">
        <v>5511.2</v>
      </c>
      <c r="P26" s="9">
        <v>1</v>
      </c>
      <c r="Q26" s="13" t="str">
        <f>VLOOKUP(O26, '[1]لیست محصولات اردیبهشت ۱۴۰۳'!B:C,2,0)</f>
        <v>هامبلا | Hambella</v>
      </c>
      <c r="R26" s="9"/>
      <c r="S26" s="12">
        <f>VLOOKUP(O26, '[1]لیست محصولات اردیبهشت ۱۴۰۳'!B:F,5,0)</f>
        <v>750</v>
      </c>
      <c r="T26" s="14">
        <f>VLOOKUP(O26, '[1]لیست محصولات اردیبهشت ۱۴۰۳'!B:G,6,0)</f>
        <v>13350000</v>
      </c>
      <c r="U26" s="15"/>
      <c r="V26" s="16">
        <f t="shared" si="8"/>
        <v>0</v>
      </c>
      <c r="W26" s="12">
        <f t="shared" si="9"/>
        <v>1</v>
      </c>
      <c r="X26" s="14">
        <f t="shared" si="10"/>
        <v>13350000</v>
      </c>
      <c r="Y26" s="17"/>
      <c r="Z26" s="14">
        <f t="shared" si="11"/>
        <v>13350000</v>
      </c>
      <c r="AA26" s="149"/>
      <c r="AB26" s="148"/>
      <c r="AC26" s="147"/>
      <c r="AD26" s="146"/>
      <c r="AE26" s="19"/>
      <c r="AF26" s="21"/>
      <c r="AG26" s="22" t="str">
        <f t="shared" si="5"/>
        <v>TRUE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44"/>
      <c r="H27" s="150"/>
      <c r="I27" s="144"/>
      <c r="J27" s="144"/>
      <c r="K27" s="11" t="str">
        <f t="shared" ca="1" si="7"/>
        <v/>
      </c>
      <c r="L27" s="145"/>
      <c r="M27" s="145"/>
      <c r="N27" s="145"/>
      <c r="O27" s="9">
        <v>3325.2</v>
      </c>
      <c r="P27" s="9">
        <v>1</v>
      </c>
      <c r="Q27" s="13" t="str">
        <f>VLOOKUP(O27, '[1]لیست محصولات اردیبهشت ۱۴۰۳'!B:C,2,0)</f>
        <v>راتناگری | Ratnagiri</v>
      </c>
      <c r="R27" s="9"/>
      <c r="S27" s="12">
        <f>VLOOKUP(O27, '[1]لیست محصولات اردیبهشت ۱۴۰۳'!B:F,5,0)</f>
        <v>750</v>
      </c>
      <c r="T27" s="14">
        <f>VLOOKUP(O27, '[1]لیست محصولات اردیبهشت ۱۴۰۳'!B:G,6,0)</f>
        <v>20700000</v>
      </c>
      <c r="U27" s="15"/>
      <c r="V27" s="16">
        <f t="shared" si="8"/>
        <v>0</v>
      </c>
      <c r="W27" s="12">
        <f t="shared" si="9"/>
        <v>1</v>
      </c>
      <c r="X27" s="14">
        <f t="shared" si="10"/>
        <v>20700000</v>
      </c>
      <c r="Y27" s="17"/>
      <c r="Z27" s="14">
        <f t="shared" si="11"/>
        <v>20700000</v>
      </c>
      <c r="AA27" s="149"/>
      <c r="AB27" s="148"/>
      <c r="AC27" s="147"/>
      <c r="AD27" s="146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33"/>
      <c r="H28" s="131"/>
      <c r="I28" s="133"/>
      <c r="J28" s="133"/>
      <c r="K28" s="11" t="str">
        <f t="shared" ca="1" si="7"/>
        <v/>
      </c>
      <c r="L28" s="143"/>
      <c r="M28" s="143"/>
      <c r="N28" s="143"/>
      <c r="O28" s="9">
        <v>3326.2</v>
      </c>
      <c r="P28" s="9">
        <v>1</v>
      </c>
      <c r="Q28" s="13" t="str">
        <f>VLOOKUP(O28, '[1]لیست محصولات اردیبهشت ۱۴۰۳'!B:C,2,0)</f>
        <v>میاگروس | Milagros</v>
      </c>
      <c r="R28" s="9"/>
      <c r="S28" s="12">
        <f>VLOOKUP(O28, '[1]لیست محصولات اردیبهشت ۱۴۰۳'!B:F,5,0)</f>
        <v>750</v>
      </c>
      <c r="T28" s="14">
        <f>VLOOKUP(O28, '[1]لیست محصولات اردیبهشت ۱۴۰۳'!B:G,6,0)</f>
        <v>18150000</v>
      </c>
      <c r="U28" s="15"/>
      <c r="V28" s="16">
        <f t="shared" si="8"/>
        <v>0</v>
      </c>
      <c r="W28" s="12">
        <f t="shared" si="9"/>
        <v>1</v>
      </c>
      <c r="X28" s="14">
        <f t="shared" si="10"/>
        <v>18150000</v>
      </c>
      <c r="Y28" s="17"/>
      <c r="Z28" s="14">
        <f t="shared" si="11"/>
        <v>18150000</v>
      </c>
      <c r="AA28" s="141"/>
      <c r="AB28" s="139"/>
      <c r="AC28" s="137"/>
      <c r="AD28" s="135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55">
        <v>20</v>
      </c>
      <c r="H29" s="157" t="s">
        <v>135</v>
      </c>
      <c r="I29" s="155" t="s">
        <v>500</v>
      </c>
      <c r="J29" s="132"/>
      <c r="K29" s="11" t="str">
        <f t="shared" ca="1" si="7"/>
        <v/>
      </c>
      <c r="L29" s="142" t="s">
        <v>587</v>
      </c>
      <c r="M29" s="142" t="s">
        <v>588</v>
      </c>
      <c r="N29" s="142"/>
      <c r="O29" s="9">
        <v>5523.1</v>
      </c>
      <c r="P29" s="9">
        <v>1</v>
      </c>
      <c r="Q29" s="13" t="str">
        <f>VLOOKUP(O29, '[1]لیست محصولات اردیبهشت ۱۴۰۳'!B:C,2,0)</f>
        <v>کوتوا دانکن | Kotowa Duncan</v>
      </c>
      <c r="R29" s="9"/>
      <c r="S29" s="12">
        <f>VLOOKUP(O29, '[1]لیست محصولات اردیبهشت ۱۴۰۳'!B:F,5,0)</f>
        <v>150</v>
      </c>
      <c r="T29" s="14">
        <f>VLOOKUP(O29, '[1]لیست محصولات اردیبهشت ۱۴۰۳'!B:G,6,0)</f>
        <v>2550000</v>
      </c>
      <c r="U29" s="15"/>
      <c r="V29" s="16">
        <f t="shared" si="8"/>
        <v>0</v>
      </c>
      <c r="W29" s="12">
        <f t="shared" si="9"/>
        <v>1</v>
      </c>
      <c r="X29" s="14">
        <f t="shared" si="10"/>
        <v>2550000</v>
      </c>
      <c r="Y29" s="17"/>
      <c r="Z29" s="14">
        <f t="shared" si="11"/>
        <v>2550000</v>
      </c>
      <c r="AA29" s="140" t="s">
        <v>79</v>
      </c>
      <c r="AB29" s="138" t="s">
        <v>589</v>
      </c>
      <c r="AC29" s="136" t="s">
        <v>590</v>
      </c>
      <c r="AD29" s="134" t="s">
        <v>99</v>
      </c>
      <c r="AE29" s="19"/>
      <c r="AF29" s="21"/>
      <c r="AG29" s="22" t="str">
        <f t="shared" si="5"/>
        <v>TRUE</v>
      </c>
      <c r="AH29" s="23" t="str">
        <f t="shared" si="6"/>
        <v>تهران خ شریعتی بالاتر از صدر، خ میرزاپور، خ فاطمیه، مهر دوم غربی، پ ۴۳، واحد سوم شرقی  - محمود مرافق 09190691962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64"/>
      <c r="H30" s="165"/>
      <c r="I30" s="164"/>
      <c r="J30" s="144"/>
      <c r="K30" s="11" t="str">
        <f t="shared" ca="1" si="7"/>
        <v/>
      </c>
      <c r="L30" s="145"/>
      <c r="M30" s="145"/>
      <c r="N30" s="145"/>
      <c r="O30" s="9">
        <v>3326.1</v>
      </c>
      <c r="P30" s="9">
        <v>1</v>
      </c>
      <c r="Q30" s="13" t="str">
        <f>VLOOKUP(O30, '[1]لیست محصولات اردیبهشت ۱۴۰۳'!B:C,2,0)</f>
        <v>میاگروس | Milagros</v>
      </c>
      <c r="R30" s="9"/>
      <c r="S30" s="12">
        <f>VLOOKUP(O30, '[1]لیست محصولات اردیبهشت ۱۴۰۳'!B:F,5,0)</f>
        <v>150</v>
      </c>
      <c r="T30" s="14">
        <f>VLOOKUP(O30, '[1]لیست محصولات اردیبهشت ۱۴۰۳'!B:G,6,0)</f>
        <v>3750000</v>
      </c>
      <c r="U30" s="15"/>
      <c r="V30" s="16">
        <f t="shared" si="8"/>
        <v>0</v>
      </c>
      <c r="W30" s="12">
        <f t="shared" si="9"/>
        <v>1</v>
      </c>
      <c r="X30" s="14">
        <f t="shared" si="10"/>
        <v>3750000</v>
      </c>
      <c r="Y30" s="17"/>
      <c r="Z30" s="14">
        <f t="shared" si="11"/>
        <v>3750000</v>
      </c>
      <c r="AA30" s="149"/>
      <c r="AB30" s="148"/>
      <c r="AC30" s="147"/>
      <c r="AD30" s="146"/>
      <c r="AE30" s="19"/>
      <c r="AF30" s="21"/>
      <c r="AG30" s="22" t="str">
        <f t="shared" si="5"/>
        <v>TRUE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56"/>
      <c r="H31" s="158"/>
      <c r="I31" s="156"/>
      <c r="J31" s="133"/>
      <c r="K31" s="11" t="str">
        <f t="shared" ca="1" si="7"/>
        <v/>
      </c>
      <c r="L31" s="143"/>
      <c r="M31" s="143"/>
      <c r="N31" s="143"/>
      <c r="O31" s="9">
        <v>5501.1</v>
      </c>
      <c r="P31" s="9">
        <v>1</v>
      </c>
      <c r="Q31" s="13" t="str">
        <f>VLOOKUP(O31, '[1]لیست محصولات اردیبهشت ۱۴۰۳'!B:C,2,0)</f>
        <v>ورتکس | Vortex</v>
      </c>
      <c r="R31" s="9"/>
      <c r="S31" s="12">
        <f>VLOOKUP(O31, '[1]لیست محصولات اردیبهشت ۱۴۰۳'!B:F,5,0)</f>
        <v>150</v>
      </c>
      <c r="T31" s="14">
        <f>VLOOKUP(O31, '[1]لیست محصولات اردیبهشت ۱۴۰۳'!B:G,6,0)</f>
        <v>2100000</v>
      </c>
      <c r="U31" s="15"/>
      <c r="V31" s="16">
        <f t="shared" si="8"/>
        <v>0</v>
      </c>
      <c r="W31" s="12">
        <f t="shared" si="9"/>
        <v>1</v>
      </c>
      <c r="X31" s="14">
        <f t="shared" si="10"/>
        <v>2100000</v>
      </c>
      <c r="Y31" s="17"/>
      <c r="Z31" s="14">
        <f t="shared" si="11"/>
        <v>2100000</v>
      </c>
      <c r="AA31" s="141"/>
      <c r="AB31" s="139"/>
      <c r="AC31" s="137"/>
      <c r="AD31" s="135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21</v>
      </c>
      <c r="H32" s="10">
        <v>277260864300</v>
      </c>
      <c r="I32" s="9" t="s">
        <v>500</v>
      </c>
      <c r="J32" s="9" t="s">
        <v>76</v>
      </c>
      <c r="K32" s="11" t="str">
        <f t="shared" ca="1" si="7"/>
        <v/>
      </c>
      <c r="L32" s="12" t="s">
        <v>359</v>
      </c>
      <c r="M32" s="12" t="s">
        <v>360</v>
      </c>
      <c r="N32" s="12" t="s">
        <v>361</v>
      </c>
      <c r="O32" s="9">
        <v>5501.3</v>
      </c>
      <c r="P32" s="9">
        <v>1</v>
      </c>
      <c r="Q32" s="13" t="str">
        <f>VLOOKUP(O32, '[1]لیست محصولات اردیبهشت ۱۴۰۳'!B:C,2,0)</f>
        <v>ورتکس | Vortex</v>
      </c>
      <c r="R32" s="9"/>
      <c r="S32" s="12">
        <f>VLOOKUP(O32, '[1]لیست محصولات اردیبهشت ۱۴۰۳'!B:F,5,0)</f>
        <v>4000</v>
      </c>
      <c r="T32" s="14">
        <f>VLOOKUP(O32, '[1]لیست محصولات اردیبهشت ۱۴۰۳'!B:G,6,0)</f>
        <v>51200000</v>
      </c>
      <c r="U32" s="15"/>
      <c r="V32" s="16">
        <f t="shared" si="8"/>
        <v>0</v>
      </c>
      <c r="W32" s="12">
        <f t="shared" si="9"/>
        <v>1</v>
      </c>
      <c r="X32" s="14">
        <f t="shared" si="10"/>
        <v>51200000</v>
      </c>
      <c r="Y32" s="17"/>
      <c r="Z32" s="14">
        <f t="shared" si="11"/>
        <v>51200000</v>
      </c>
      <c r="AA32" s="18" t="s">
        <v>79</v>
      </c>
      <c r="AB32" s="13" t="s">
        <v>362</v>
      </c>
      <c r="AC32" s="19" t="s">
        <v>363</v>
      </c>
      <c r="AD32" s="20" t="s">
        <v>99</v>
      </c>
      <c r="AE32" s="19"/>
      <c r="AF32" s="21"/>
      <c r="AG32" s="22" t="str">
        <f t="shared" si="5"/>
        <v>TRUE</v>
      </c>
      <c r="AH32" s="23" t="str">
        <f t="shared" si="6"/>
        <v>تهران شهرک غرب خیابان دادمان خیابان محمدرضا شجریان نبش کوچه نوزدهم کافه نامبرتن - علیرضا منصوریان 09125445524</v>
      </c>
    </row>
    <row r="33" spans="1:34" ht="22.35" customHeight="1">
      <c r="A33" s="7"/>
      <c r="B33" s="7"/>
      <c r="C33" s="7"/>
      <c r="D33" s="7"/>
      <c r="E33" s="7"/>
      <c r="F33" s="8"/>
      <c r="G33" s="155">
        <v>22</v>
      </c>
      <c r="H33" s="157" t="s">
        <v>135</v>
      </c>
      <c r="I33" s="155" t="s">
        <v>500</v>
      </c>
      <c r="J33" s="132"/>
      <c r="K33" s="11" t="str">
        <f t="shared" ca="1" si="7"/>
        <v/>
      </c>
      <c r="L33" s="142" t="s">
        <v>591</v>
      </c>
      <c r="M33" s="142" t="s">
        <v>592</v>
      </c>
      <c r="N33" s="142"/>
      <c r="O33" s="9">
        <v>5501.3</v>
      </c>
      <c r="P33" s="9">
        <v>1</v>
      </c>
      <c r="Q33" s="13" t="str">
        <f>VLOOKUP(O33, '[1]لیست محصولات اردیبهشت ۱۴۰۳'!B:C,2,0)</f>
        <v>ورتکس | Vortex</v>
      </c>
      <c r="R33" s="9"/>
      <c r="S33" s="12">
        <f>VLOOKUP(O33, '[1]لیست محصولات اردیبهشت ۱۴۰۳'!B:F,5,0)</f>
        <v>4000</v>
      </c>
      <c r="T33" s="14">
        <f>VLOOKUP(O33, '[1]لیست محصولات اردیبهشت ۱۴۰۳'!B:G,6,0)</f>
        <v>51200000</v>
      </c>
      <c r="U33" s="15"/>
      <c r="V33" s="16">
        <f t="shared" si="8"/>
        <v>0</v>
      </c>
      <c r="W33" s="12">
        <f t="shared" si="9"/>
        <v>1</v>
      </c>
      <c r="X33" s="14">
        <f t="shared" si="10"/>
        <v>51200000</v>
      </c>
      <c r="Y33" s="17"/>
      <c r="Z33" s="14">
        <f t="shared" si="11"/>
        <v>51200000</v>
      </c>
      <c r="AA33" s="140" t="s">
        <v>109</v>
      </c>
      <c r="AB33" s="138" t="s">
        <v>593</v>
      </c>
      <c r="AC33" s="136" t="s">
        <v>594</v>
      </c>
      <c r="AD33" s="134"/>
      <c r="AE33" s="19"/>
      <c r="AF33" s="21"/>
      <c r="AG33" s="22" t="str">
        <f t="shared" si="5"/>
        <v>TRUE</v>
      </c>
      <c r="AH33" s="23" t="str">
        <f t="shared" si="6"/>
        <v>اصفهان خیابان آمادگاه هتل عباسی  - حسین جعفرزاده 09137376691</v>
      </c>
    </row>
    <row r="34" spans="1:34" ht="22.35" customHeight="1">
      <c r="A34" s="7"/>
      <c r="B34" s="7"/>
      <c r="C34" s="7"/>
      <c r="D34" s="7"/>
      <c r="E34" s="7"/>
      <c r="F34" s="8"/>
      <c r="G34" s="164"/>
      <c r="H34" s="165"/>
      <c r="I34" s="164"/>
      <c r="J34" s="144"/>
      <c r="K34" s="11" t="str">
        <f t="shared" ca="1" si="7"/>
        <v/>
      </c>
      <c r="L34" s="145"/>
      <c r="M34" s="145"/>
      <c r="N34" s="145"/>
      <c r="O34" s="9">
        <v>3326.2</v>
      </c>
      <c r="P34" s="9">
        <v>1</v>
      </c>
      <c r="Q34" s="13" t="str">
        <f>VLOOKUP(O34, '[1]لیست محصولات اردیبهشت ۱۴۰۳'!B:C,2,0)</f>
        <v>میاگروس | Milagros</v>
      </c>
      <c r="R34" s="9"/>
      <c r="S34" s="12">
        <f>VLOOKUP(O34, '[1]لیست محصولات اردیبهشت ۱۴۰۳'!B:F,5,0)</f>
        <v>750</v>
      </c>
      <c r="T34" s="14">
        <f>VLOOKUP(O34, '[1]لیست محصولات اردیبهشت ۱۴۰۳'!B:G,6,0)</f>
        <v>18150000</v>
      </c>
      <c r="U34" s="15"/>
      <c r="V34" s="16">
        <f t="shared" si="8"/>
        <v>0</v>
      </c>
      <c r="W34" s="12">
        <f t="shared" si="9"/>
        <v>1</v>
      </c>
      <c r="X34" s="14">
        <f t="shared" si="10"/>
        <v>18150000</v>
      </c>
      <c r="Y34" s="17"/>
      <c r="Z34" s="14">
        <f t="shared" si="11"/>
        <v>18150000</v>
      </c>
      <c r="AA34" s="149"/>
      <c r="AB34" s="148"/>
      <c r="AC34" s="147"/>
      <c r="AD34" s="146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156"/>
      <c r="H35" s="158"/>
      <c r="I35" s="156"/>
      <c r="J35" s="133"/>
      <c r="K35" s="11" t="str">
        <f t="shared" ca="1" si="7"/>
        <v/>
      </c>
      <c r="L35" s="143"/>
      <c r="M35" s="143"/>
      <c r="N35" s="143"/>
      <c r="O35" s="9">
        <v>3325.2</v>
      </c>
      <c r="P35" s="9">
        <v>1</v>
      </c>
      <c r="Q35" s="13" t="str">
        <f>VLOOKUP(O35, '[1]لیست محصولات اردیبهشت ۱۴۰۳'!B:C,2,0)</f>
        <v>راتناگری | Ratnagiri</v>
      </c>
      <c r="R35" s="9"/>
      <c r="S35" s="12">
        <f>VLOOKUP(O35, '[1]لیست محصولات اردیبهشت ۱۴۰۳'!B:F,5,0)</f>
        <v>750</v>
      </c>
      <c r="T35" s="14">
        <f>VLOOKUP(O35, '[1]لیست محصولات اردیبهشت ۱۴۰۳'!B:G,6,0)</f>
        <v>20700000</v>
      </c>
      <c r="U35" s="15"/>
      <c r="V35" s="16">
        <f t="shared" si="8"/>
        <v>0</v>
      </c>
      <c r="W35" s="12">
        <f t="shared" si="9"/>
        <v>1</v>
      </c>
      <c r="X35" s="14">
        <f t="shared" si="10"/>
        <v>20700000</v>
      </c>
      <c r="Y35" s="17"/>
      <c r="Z35" s="14">
        <f t="shared" si="11"/>
        <v>20700000</v>
      </c>
      <c r="AA35" s="141"/>
      <c r="AB35" s="139"/>
      <c r="AC35" s="137"/>
      <c r="AD35" s="135"/>
      <c r="AE35" s="19"/>
      <c r="AF35" s="21"/>
      <c r="AG35" s="22" t="str">
        <f t="shared" si="5"/>
        <v>TRUE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132">
        <v>23</v>
      </c>
      <c r="H36" s="130">
        <v>277261791607</v>
      </c>
      <c r="I36" s="132" t="s">
        <v>500</v>
      </c>
      <c r="J36" s="132"/>
      <c r="K36" s="11" t="str">
        <f t="shared" ca="1" si="7"/>
        <v/>
      </c>
      <c r="L36" s="142" t="s">
        <v>452</v>
      </c>
      <c r="M36" s="142" t="s">
        <v>595</v>
      </c>
      <c r="N36" s="142"/>
      <c r="O36" s="9">
        <v>5501.2</v>
      </c>
      <c r="P36" s="9">
        <v>1</v>
      </c>
      <c r="Q36" s="13" t="str">
        <f>VLOOKUP(O36, '[1]لیست محصولات اردیبهشت ۱۴۰۳'!B:C,2,0)</f>
        <v>ورتکس | Vortex</v>
      </c>
      <c r="R36" s="9"/>
      <c r="S36" s="12">
        <f>VLOOKUP(O36, '[1]لیست محصولات اردیبهشت ۱۴۰۳'!B:F,5,0)</f>
        <v>750</v>
      </c>
      <c r="T36" s="14">
        <f>VLOOKUP(O36, '[1]لیست محصولات اردیبهشت ۱۴۰۳'!B:G,6,0)</f>
        <v>9900000</v>
      </c>
      <c r="U36" s="15"/>
      <c r="V36" s="16">
        <f t="shared" si="8"/>
        <v>0</v>
      </c>
      <c r="W36" s="12">
        <f t="shared" si="9"/>
        <v>1</v>
      </c>
      <c r="X36" s="14">
        <f t="shared" si="10"/>
        <v>9900000</v>
      </c>
      <c r="Y36" s="17"/>
      <c r="Z36" s="14">
        <f t="shared" si="11"/>
        <v>9900000</v>
      </c>
      <c r="AA36" s="140" t="s">
        <v>79</v>
      </c>
      <c r="AB36" s="138" t="s">
        <v>596</v>
      </c>
      <c r="AC36" s="136" t="s">
        <v>597</v>
      </c>
      <c r="AD36" s="134" t="s">
        <v>99</v>
      </c>
      <c r="AE36" s="19"/>
      <c r="AF36" s="21"/>
      <c r="AG36" s="22" t="str">
        <f t="shared" si="5"/>
        <v>TRUE</v>
      </c>
      <c r="AH36" s="23" t="str">
        <f t="shared" si="6"/>
        <v>تهران ابتدای بزرگراه ارتش خیابان 22 بهمن بیمارستان نیکان  - امیر تابش 09124460566</v>
      </c>
    </row>
    <row r="37" spans="1:34" ht="22.35" customHeight="1">
      <c r="A37" s="7"/>
      <c r="B37" s="7"/>
      <c r="C37" s="7"/>
      <c r="D37" s="7"/>
      <c r="E37" s="7"/>
      <c r="F37" s="8"/>
      <c r="G37" s="133"/>
      <c r="H37" s="131"/>
      <c r="I37" s="133"/>
      <c r="J37" s="133"/>
      <c r="K37" s="11" t="str">
        <f t="shared" ca="1" si="7"/>
        <v/>
      </c>
      <c r="L37" s="143"/>
      <c r="M37" s="143"/>
      <c r="N37" s="143"/>
      <c r="O37" s="9">
        <v>5522.2</v>
      </c>
      <c r="P37" s="9">
        <v>1</v>
      </c>
      <c r="Q37" s="13" t="str">
        <f>VLOOKUP(O37, '[1]لیست محصولات اردیبهشت ۱۴۰۳'!B:C,2,0)</f>
        <v>تامارا | Tamara</v>
      </c>
      <c r="R37" s="9"/>
      <c r="S37" s="12">
        <f>VLOOKUP(O37, '[1]لیست محصولات اردیبهشت ۱۴۰۳'!B:F,5,0)</f>
        <v>750</v>
      </c>
      <c r="T37" s="14">
        <f>VLOOKUP(O37, '[1]لیست محصولات اردیبهشت ۱۴۰۳'!B:G,6,0)</f>
        <v>12450000</v>
      </c>
      <c r="U37" s="15"/>
      <c r="V37" s="16">
        <f t="shared" si="8"/>
        <v>0</v>
      </c>
      <c r="W37" s="12">
        <f t="shared" si="9"/>
        <v>1</v>
      </c>
      <c r="X37" s="14">
        <f t="shared" si="10"/>
        <v>12450000</v>
      </c>
      <c r="Y37" s="17"/>
      <c r="Z37" s="14">
        <f t="shared" si="11"/>
        <v>12450000</v>
      </c>
      <c r="AA37" s="141"/>
      <c r="AB37" s="139"/>
      <c r="AC37" s="137"/>
      <c r="AD37" s="135"/>
      <c r="AE37" s="19"/>
      <c r="AF37" s="21"/>
      <c r="AG37" s="22" t="str">
        <f t="shared" si="5"/>
        <v>TRUE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>
        <v>24</v>
      </c>
      <c r="H38" s="10">
        <v>55098754501</v>
      </c>
      <c r="I38" s="9" t="s">
        <v>500</v>
      </c>
      <c r="J38" s="9"/>
      <c r="K38" s="11" t="str">
        <f t="shared" ca="1" si="7"/>
        <v/>
      </c>
      <c r="L38" s="12" t="s">
        <v>433</v>
      </c>
      <c r="M38" s="12" t="s">
        <v>598</v>
      </c>
      <c r="N38" s="12"/>
      <c r="O38" s="9">
        <v>3325.1</v>
      </c>
      <c r="P38" s="9">
        <v>1</v>
      </c>
      <c r="Q38" s="13" t="str">
        <f>VLOOKUP(O38, '[1]لیست محصولات اردیبهشت ۱۴۰۳'!B:C,2,0)</f>
        <v>راتناگری | Ratnagiri</v>
      </c>
      <c r="R38" s="9"/>
      <c r="S38" s="12">
        <f>VLOOKUP(O38, '[1]لیست محصولات اردیبهشت ۱۴۰۳'!B:F,5,0)</f>
        <v>150</v>
      </c>
      <c r="T38" s="14">
        <f>VLOOKUP(O38, '[1]لیست محصولات اردیبهشت ۱۴۰۳'!B:G,6,0)</f>
        <v>4250000</v>
      </c>
      <c r="U38" s="15"/>
      <c r="V38" s="16">
        <f t="shared" si="8"/>
        <v>0</v>
      </c>
      <c r="W38" s="12">
        <f t="shared" si="9"/>
        <v>1</v>
      </c>
      <c r="X38" s="14">
        <f t="shared" si="10"/>
        <v>4250000</v>
      </c>
      <c r="Y38" s="17"/>
      <c r="Z38" s="14">
        <f t="shared" si="11"/>
        <v>4250000</v>
      </c>
      <c r="AA38" s="18" t="s">
        <v>599</v>
      </c>
      <c r="AB38" s="13" t="s">
        <v>600</v>
      </c>
      <c r="AC38" s="19" t="s">
        <v>601</v>
      </c>
      <c r="AD38" s="20"/>
      <c r="AE38" s="19"/>
      <c r="AF38" s="21"/>
      <c r="AG38" s="22" t="str">
        <f t="shared" si="5"/>
        <v>TRUE</v>
      </c>
      <c r="AH38" s="23" t="str">
        <f t="shared" si="6"/>
        <v>کهگیلویه و بویراحمد شهرستان گچساران کوی شهید پرهون13پلاک76  - مهدی بیعتی نژاد 09107422325</v>
      </c>
    </row>
    <row r="39" spans="1:34" ht="22.35" customHeight="1">
      <c r="A39" s="7"/>
      <c r="B39" s="7"/>
      <c r="C39" s="7"/>
      <c r="D39" s="7"/>
      <c r="E39" s="7"/>
      <c r="F39" s="8"/>
      <c r="G39" s="66">
        <v>25</v>
      </c>
      <c r="H39" s="67"/>
      <c r="I39" s="66" t="s">
        <v>500</v>
      </c>
      <c r="J39" s="9" t="s">
        <v>76</v>
      </c>
      <c r="K39" s="11" t="str">
        <f t="shared" ca="1" si="7"/>
        <v/>
      </c>
      <c r="L39" s="12" t="s">
        <v>119</v>
      </c>
      <c r="M39" s="12" t="s">
        <v>602</v>
      </c>
      <c r="N39" s="12" t="s">
        <v>603</v>
      </c>
      <c r="O39" s="9">
        <v>5511.2</v>
      </c>
      <c r="P39" s="9">
        <v>10</v>
      </c>
      <c r="Q39" s="13" t="str">
        <f>VLOOKUP(O39, '[1]لیست محصولات اردیبهشت ۱۴۰۳'!B:C,2,0)</f>
        <v>هامبلا | Hambella</v>
      </c>
      <c r="R39" s="9"/>
      <c r="S39" s="12">
        <f>VLOOKUP(O39, '[1]لیست محصولات اردیبهشت ۱۴۰۳'!B:F,5,0)</f>
        <v>750</v>
      </c>
      <c r="T39" s="14">
        <f>VLOOKUP(O39, '[1]لیست محصولات اردیبهشت ۱۴۰۳'!B:G,6,0)</f>
        <v>13350000</v>
      </c>
      <c r="U39" s="15"/>
      <c r="V39" s="16">
        <f t="shared" si="8"/>
        <v>0</v>
      </c>
      <c r="W39" s="12">
        <f t="shared" si="9"/>
        <v>10</v>
      </c>
      <c r="X39" s="14">
        <f t="shared" si="10"/>
        <v>133500000</v>
      </c>
      <c r="Y39" s="17"/>
      <c r="Z39" s="14">
        <f t="shared" si="11"/>
        <v>133500000</v>
      </c>
      <c r="AA39" s="18" t="s">
        <v>79</v>
      </c>
      <c r="AB39" s="13" t="s">
        <v>70</v>
      </c>
      <c r="AC39" s="19" t="s">
        <v>604</v>
      </c>
      <c r="AD39" s="20"/>
      <c r="AE39" s="19"/>
      <c r="AF39" s="21"/>
      <c r="AG39" s="22" t="str">
        <f t="shared" si="5"/>
        <v>TRUE</v>
      </c>
      <c r="AH39" s="23" t="str">
        <f t="shared" si="6"/>
        <v>تهران - هلو شف - محمد حاجی بابایی 09398779985</v>
      </c>
    </row>
    <row r="40" spans="1:34" ht="22.35" customHeight="1">
      <c r="A40" s="7"/>
      <c r="B40" s="7"/>
      <c r="C40" s="7"/>
      <c r="D40" s="7"/>
      <c r="E40" s="7"/>
      <c r="F40" s="8"/>
      <c r="G40" s="132">
        <v>26</v>
      </c>
      <c r="H40" s="130">
        <v>277269230973</v>
      </c>
      <c r="I40" s="132" t="s">
        <v>500</v>
      </c>
      <c r="J40" s="132"/>
      <c r="K40" s="11" t="str">
        <f t="shared" ca="1" si="7"/>
        <v/>
      </c>
      <c r="L40" s="142" t="s">
        <v>452</v>
      </c>
      <c r="M40" s="142" t="s">
        <v>605</v>
      </c>
      <c r="N40" s="142"/>
      <c r="O40" s="9">
        <v>5511.1</v>
      </c>
      <c r="P40" s="9">
        <v>3</v>
      </c>
      <c r="Q40" s="13" t="str">
        <f>VLOOKUP(O40, '[1]لیست محصولات اردیبهشت ۱۴۰۳'!B:C,2,0)</f>
        <v>هامبلا | Hambella</v>
      </c>
      <c r="R40" s="9"/>
      <c r="S40" s="12">
        <f>VLOOKUP(O40, '[1]لیست محصولات اردیبهشت ۱۴۰۳'!B:F,5,0)</f>
        <v>150</v>
      </c>
      <c r="T40" s="14">
        <f>VLOOKUP(O40, '[1]لیست محصولات اردیبهشت ۱۴۰۳'!B:G,6,0)</f>
        <v>2800000</v>
      </c>
      <c r="U40" s="15"/>
      <c r="V40" s="16">
        <f t="shared" si="8"/>
        <v>0</v>
      </c>
      <c r="W40" s="12">
        <f t="shared" si="9"/>
        <v>3</v>
      </c>
      <c r="X40" s="14">
        <f t="shared" si="10"/>
        <v>8400000</v>
      </c>
      <c r="Y40" s="17"/>
      <c r="Z40" s="14">
        <f t="shared" si="11"/>
        <v>8400000</v>
      </c>
      <c r="AA40" s="140" t="s">
        <v>79</v>
      </c>
      <c r="AB40" s="138" t="s">
        <v>606</v>
      </c>
      <c r="AC40" s="136" t="s">
        <v>607</v>
      </c>
      <c r="AD40" s="134" t="s">
        <v>99</v>
      </c>
      <c r="AE40" s="19"/>
      <c r="AF40" s="21"/>
      <c r="AG40" s="22" t="str">
        <f t="shared" si="5"/>
        <v>TRUE</v>
      </c>
      <c r="AH40" s="23" t="str">
        <f t="shared" si="6"/>
        <v>تهران بلوار قیطریه کوچه تواضعی بن بست شهریار پلاک ۱۵ ساختمان سروین واحد دوم شمالی  - امیر فهیمی پور 09132732739</v>
      </c>
    </row>
    <row r="41" spans="1:34" ht="22.35" customHeight="1">
      <c r="A41" s="7"/>
      <c r="B41" s="7"/>
      <c r="C41" s="7"/>
      <c r="D41" s="7"/>
      <c r="E41" s="7"/>
      <c r="F41" s="8"/>
      <c r="G41" s="133"/>
      <c r="H41" s="131"/>
      <c r="I41" s="133"/>
      <c r="J41" s="133"/>
      <c r="K41" s="11" t="str">
        <f t="shared" ca="1" si="7"/>
        <v/>
      </c>
      <c r="L41" s="143"/>
      <c r="M41" s="143"/>
      <c r="N41" s="143"/>
      <c r="O41" s="9">
        <v>5501.1</v>
      </c>
      <c r="P41" s="9">
        <v>2</v>
      </c>
      <c r="Q41" s="13" t="str">
        <f>VLOOKUP(O41, '[1]لیست محصولات اردیبهشت ۱۴۰۳'!B:C,2,0)</f>
        <v>ورتکس | Vortex</v>
      </c>
      <c r="R41" s="9"/>
      <c r="S41" s="12">
        <f>VLOOKUP(O41, '[1]لیست محصولات اردیبهشت ۱۴۰۳'!B:F,5,0)</f>
        <v>150</v>
      </c>
      <c r="T41" s="14">
        <f>VLOOKUP(O41, '[1]لیست محصولات اردیبهشت ۱۴۰۳'!B:G,6,0)</f>
        <v>2100000</v>
      </c>
      <c r="U41" s="15"/>
      <c r="V41" s="16">
        <f t="shared" si="8"/>
        <v>0</v>
      </c>
      <c r="W41" s="12">
        <f t="shared" si="9"/>
        <v>2</v>
      </c>
      <c r="X41" s="14">
        <f t="shared" si="10"/>
        <v>4200000</v>
      </c>
      <c r="Y41" s="17"/>
      <c r="Z41" s="14">
        <f t="shared" si="11"/>
        <v>4200000</v>
      </c>
      <c r="AA41" s="141"/>
      <c r="AB41" s="139"/>
      <c r="AC41" s="137"/>
      <c r="AD41" s="135"/>
      <c r="AE41" s="19"/>
      <c r="AF41" s="21"/>
      <c r="AG41" s="22" t="str">
        <f t="shared" si="5"/>
        <v>TRUE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155">
        <v>27</v>
      </c>
      <c r="H42" s="157"/>
      <c r="I42" s="155" t="s">
        <v>500</v>
      </c>
      <c r="J42" s="132" t="s">
        <v>76</v>
      </c>
      <c r="K42" s="11" t="str">
        <f t="shared" ca="1" si="7"/>
        <v/>
      </c>
      <c r="L42" s="142" t="s">
        <v>608</v>
      </c>
      <c r="M42" s="142" t="s">
        <v>609</v>
      </c>
      <c r="N42" s="142" t="s">
        <v>610</v>
      </c>
      <c r="O42" s="9">
        <v>5501.3</v>
      </c>
      <c r="P42" s="9">
        <v>2</v>
      </c>
      <c r="Q42" s="13" t="str">
        <f>VLOOKUP(O42, '[1]لیست محصولات اردیبهشت ۱۴۰۳'!B:C,2,0)</f>
        <v>ورتکس | Vortex</v>
      </c>
      <c r="R42" s="9"/>
      <c r="S42" s="12">
        <f>VLOOKUP(O42, '[1]لیست محصولات اردیبهشت ۱۴۰۳'!B:F,5,0)</f>
        <v>4000</v>
      </c>
      <c r="T42" s="14">
        <f>VLOOKUP(O42, '[1]لیست محصولات اردیبهشت ۱۴۰۳'!B:G,6,0)</f>
        <v>51200000</v>
      </c>
      <c r="U42" s="15"/>
      <c r="V42" s="16">
        <f t="shared" si="8"/>
        <v>0</v>
      </c>
      <c r="W42" s="12">
        <f t="shared" si="9"/>
        <v>2</v>
      </c>
      <c r="X42" s="14">
        <f t="shared" si="10"/>
        <v>102400000</v>
      </c>
      <c r="Y42" s="17"/>
      <c r="Z42" s="14">
        <f t="shared" si="11"/>
        <v>102400000</v>
      </c>
      <c r="AA42" s="140" t="s">
        <v>92</v>
      </c>
      <c r="AB42" s="138" t="s">
        <v>611</v>
      </c>
      <c r="AC42" s="136" t="s">
        <v>612</v>
      </c>
      <c r="AD42" s="134"/>
      <c r="AE42" s="19"/>
      <c r="AF42" s="21"/>
      <c r="AG42" s="22" t="str">
        <f t="shared" si="5"/>
        <v>TRUE</v>
      </c>
      <c r="AH42" s="23" t="str">
        <f t="shared" si="6"/>
        <v>تبریز وليعصر ،چهارراه شريعتي به سمت رازي کافه پرکو - سالار درنگ 09125006328</v>
      </c>
    </row>
    <row r="43" spans="1:34" ht="22.35" customHeight="1">
      <c r="A43" s="7"/>
      <c r="B43" s="7"/>
      <c r="C43" s="7"/>
      <c r="D43" s="7"/>
      <c r="E43" s="7"/>
      <c r="F43" s="8"/>
      <c r="G43" s="156"/>
      <c r="H43" s="158"/>
      <c r="I43" s="156"/>
      <c r="J43" s="133"/>
      <c r="K43" s="11" t="str">
        <f t="shared" ca="1" si="7"/>
        <v/>
      </c>
      <c r="L43" s="143"/>
      <c r="M43" s="143"/>
      <c r="N43" s="143"/>
      <c r="O43" s="9">
        <v>5522.2</v>
      </c>
      <c r="P43" s="9">
        <v>1</v>
      </c>
      <c r="Q43" s="13" t="str">
        <f>VLOOKUP(O43, '[1]لیست محصولات اردیبهشت ۱۴۰۳'!B:C,2,0)</f>
        <v>تامارا | Tamara</v>
      </c>
      <c r="R43" s="9"/>
      <c r="S43" s="12">
        <f>VLOOKUP(O43, '[1]لیست محصولات اردیبهشت ۱۴۰۳'!B:F,5,0)</f>
        <v>750</v>
      </c>
      <c r="T43" s="14">
        <f>VLOOKUP(O43, '[1]لیست محصولات اردیبهشت ۱۴۰۳'!B:G,6,0)</f>
        <v>12450000</v>
      </c>
      <c r="U43" s="15"/>
      <c r="V43" s="16">
        <f t="shared" si="8"/>
        <v>0</v>
      </c>
      <c r="W43" s="12">
        <f t="shared" si="9"/>
        <v>1</v>
      </c>
      <c r="X43" s="14">
        <f t="shared" si="10"/>
        <v>12450000</v>
      </c>
      <c r="Y43" s="17"/>
      <c r="Z43" s="14">
        <f t="shared" si="11"/>
        <v>12450000</v>
      </c>
      <c r="AA43" s="141"/>
      <c r="AB43" s="139"/>
      <c r="AC43" s="137"/>
      <c r="AD43" s="135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55">
        <v>28</v>
      </c>
      <c r="H44" s="157" t="s">
        <v>135</v>
      </c>
      <c r="I44" s="155" t="s">
        <v>500</v>
      </c>
      <c r="J44" s="132"/>
      <c r="K44" s="11" t="str">
        <f t="shared" ca="1" si="7"/>
        <v/>
      </c>
      <c r="L44" s="142" t="s">
        <v>137</v>
      </c>
      <c r="M44" s="142" t="s">
        <v>282</v>
      </c>
      <c r="N44" s="142" t="s">
        <v>613</v>
      </c>
      <c r="O44" s="9">
        <v>5501.1</v>
      </c>
      <c r="P44" s="9">
        <v>1</v>
      </c>
      <c r="Q44" s="13" t="str">
        <f>VLOOKUP(O44, '[1]لیست محصولات اردیبهشت ۱۴۰۳'!B:C,2,0)</f>
        <v>ورتکس | Vortex</v>
      </c>
      <c r="R44" s="9"/>
      <c r="S44" s="12">
        <f>VLOOKUP(O44, '[1]لیست محصولات اردیبهشت ۱۴۰۳'!B:F,5,0)</f>
        <v>150</v>
      </c>
      <c r="T44" s="14">
        <f>VLOOKUP(O44, '[1]لیست محصولات اردیبهشت ۱۴۰۳'!B:G,6,0)</f>
        <v>2100000</v>
      </c>
      <c r="U44" s="15"/>
      <c r="V44" s="16">
        <f t="shared" si="8"/>
        <v>0</v>
      </c>
      <c r="W44" s="12">
        <f t="shared" si="9"/>
        <v>1</v>
      </c>
      <c r="X44" s="14">
        <f t="shared" si="10"/>
        <v>2100000</v>
      </c>
      <c r="Y44" s="17"/>
      <c r="Z44" s="14">
        <f t="shared" si="11"/>
        <v>2100000</v>
      </c>
      <c r="AA44" s="140" t="s">
        <v>79</v>
      </c>
      <c r="AB44" s="138" t="s">
        <v>614</v>
      </c>
      <c r="AC44" s="136" t="s">
        <v>615</v>
      </c>
      <c r="AD44" s="134" t="s">
        <v>99</v>
      </c>
      <c r="AE44" s="19"/>
      <c r="AF44" s="21"/>
      <c r="AG44" s="22" t="str">
        <f t="shared" si="5"/>
        <v>TRUE</v>
      </c>
      <c r="AH44" s="23" t="str">
        <f t="shared" si="6"/>
        <v>تهران خیابان سهروردی شمالی چهار راه عباس آباد به سمت مصلی خیابان یوسفی بالاتر از کوچه مبینی پلاک ۱۰ زنگ ۱ کافه یانا - امیرحسین رجبی 09227143091</v>
      </c>
    </row>
    <row r="45" spans="1:34" ht="22.35" customHeight="1">
      <c r="A45" s="7"/>
      <c r="B45" s="7"/>
      <c r="C45" s="7"/>
      <c r="D45" s="7"/>
      <c r="E45" s="7"/>
      <c r="F45" s="8"/>
      <c r="G45" s="156"/>
      <c r="H45" s="158"/>
      <c r="I45" s="156"/>
      <c r="J45" s="133"/>
      <c r="K45" s="11" t="str">
        <f t="shared" ca="1" si="7"/>
        <v/>
      </c>
      <c r="L45" s="143"/>
      <c r="M45" s="143"/>
      <c r="N45" s="143"/>
      <c r="O45" s="9">
        <v>5523.1</v>
      </c>
      <c r="P45" s="9">
        <v>1</v>
      </c>
      <c r="Q45" s="13" t="str">
        <f>VLOOKUP(O45, '[1]لیست محصولات اردیبهشت ۱۴۰۳'!B:C,2,0)</f>
        <v>کوتوا دانکن | Kotowa Duncan</v>
      </c>
      <c r="R45" s="9"/>
      <c r="S45" s="12">
        <f>VLOOKUP(O45, '[1]لیست محصولات اردیبهشت ۱۴۰۳'!B:F,5,0)</f>
        <v>150</v>
      </c>
      <c r="T45" s="14">
        <f>VLOOKUP(O45, '[1]لیست محصولات اردیبهشت ۱۴۰۳'!B:G,6,0)</f>
        <v>2550000</v>
      </c>
      <c r="U45" s="26"/>
      <c r="V45" s="16">
        <f t="shared" si="8"/>
        <v>0</v>
      </c>
      <c r="W45" s="12">
        <f t="shared" si="9"/>
        <v>1</v>
      </c>
      <c r="X45" s="14">
        <f t="shared" si="10"/>
        <v>2550000</v>
      </c>
      <c r="Y45" s="17"/>
      <c r="Z45" s="14">
        <f t="shared" si="11"/>
        <v>2550000</v>
      </c>
      <c r="AA45" s="141"/>
      <c r="AB45" s="139"/>
      <c r="AC45" s="137"/>
      <c r="AD45" s="135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7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8"/>
        <v>0</v>
      </c>
      <c r="W46" s="12">
        <f t="shared" si="9"/>
        <v>0</v>
      </c>
      <c r="X46" s="14" t="e">
        <f t="shared" si="10"/>
        <v>#N/A</v>
      </c>
      <c r="Y46" s="17"/>
      <c r="Z46" s="14" t="e">
        <f t="shared" si="11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7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8"/>
        <v>0</v>
      </c>
      <c r="W47" s="12">
        <f t="shared" si="9"/>
        <v>0</v>
      </c>
      <c r="X47" s="14" t="e">
        <f t="shared" si="10"/>
        <v>#N/A</v>
      </c>
      <c r="Y47" s="17"/>
      <c r="Z47" s="14" t="e">
        <f t="shared" si="11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7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8"/>
        <v>0</v>
      </c>
      <c r="W48" s="12">
        <f t="shared" si="9"/>
        <v>0</v>
      </c>
      <c r="X48" s="14" t="e">
        <f t="shared" si="10"/>
        <v>#N/A</v>
      </c>
      <c r="Y48" s="17"/>
      <c r="Z48" s="14" t="e">
        <f t="shared" si="11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7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8"/>
        <v>0</v>
      </c>
      <c r="W49" s="12">
        <f t="shared" si="9"/>
        <v>0</v>
      </c>
      <c r="X49" s="14" t="e">
        <f t="shared" si="10"/>
        <v>#N/A</v>
      </c>
      <c r="Y49" s="17"/>
      <c r="Z49" s="14" t="e">
        <f t="shared" si="11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7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8"/>
        <v>0</v>
      </c>
      <c r="W50" s="12">
        <f t="shared" si="9"/>
        <v>0</v>
      </c>
      <c r="X50" s="14" t="e">
        <f t="shared" si="10"/>
        <v>#N/A</v>
      </c>
      <c r="Y50" s="17"/>
      <c r="Z50" s="14" t="e">
        <f t="shared" si="11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7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8"/>
        <v>0</v>
      </c>
      <c r="W51" s="12">
        <f t="shared" si="9"/>
        <v>0</v>
      </c>
      <c r="X51" s="14" t="e">
        <f t="shared" si="10"/>
        <v>#N/A</v>
      </c>
      <c r="Y51" s="17"/>
      <c r="Z51" s="14" t="e">
        <f t="shared" si="11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7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8"/>
        <v>0</v>
      </c>
      <c r="W52" s="12">
        <f t="shared" si="9"/>
        <v>0</v>
      </c>
      <c r="X52" s="14" t="e">
        <f t="shared" si="10"/>
        <v>#N/A</v>
      </c>
      <c r="Y52" s="17"/>
      <c r="Z52" s="14" t="e">
        <f t="shared" si="11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7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8"/>
        <v>0</v>
      </c>
      <c r="W53" s="12">
        <f t="shared" si="9"/>
        <v>0</v>
      </c>
      <c r="X53" s="14" t="e">
        <f t="shared" si="10"/>
        <v>#N/A</v>
      </c>
      <c r="Y53" s="17"/>
      <c r="Z53" s="14" t="e">
        <f t="shared" si="11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7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8"/>
        <v>0</v>
      </c>
      <c r="W54" s="12">
        <f t="shared" si="9"/>
        <v>0</v>
      </c>
      <c r="X54" s="14" t="e">
        <f t="shared" si="10"/>
        <v>#N/A</v>
      </c>
      <c r="Y54" s="17"/>
      <c r="Z54" s="14" t="e">
        <f t="shared" si="11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7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8"/>
        <v>0</v>
      </c>
      <c r="W55" s="12">
        <f t="shared" si="9"/>
        <v>0</v>
      </c>
      <c r="X55" s="14" t="e">
        <f t="shared" si="10"/>
        <v>#N/A</v>
      </c>
      <c r="Y55" s="17"/>
      <c r="Z55" s="14" t="e">
        <f t="shared" si="11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7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8"/>
        <v>0</v>
      </c>
      <c r="W56" s="12">
        <f t="shared" si="9"/>
        <v>0</v>
      </c>
      <c r="X56" s="14" t="e">
        <f t="shared" si="10"/>
        <v>#N/A</v>
      </c>
      <c r="Y56" s="17"/>
      <c r="Z56" s="14" t="e">
        <f t="shared" si="11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7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8"/>
        <v>0</v>
      </c>
      <c r="W57" s="12">
        <f t="shared" si="9"/>
        <v>0</v>
      </c>
      <c r="X57" s="14" t="e">
        <f t="shared" si="10"/>
        <v>#N/A</v>
      </c>
      <c r="Y57" s="17"/>
      <c r="Z57" s="14" t="e">
        <f t="shared" si="11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7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8"/>
        <v>0</v>
      </c>
      <c r="W58" s="12">
        <f t="shared" si="9"/>
        <v>0</v>
      </c>
      <c r="X58" s="14" t="e">
        <f t="shared" si="10"/>
        <v>#N/A</v>
      </c>
      <c r="Y58" s="17"/>
      <c r="Z58" s="14" t="e">
        <f t="shared" si="11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7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8"/>
        <v>0</v>
      </c>
      <c r="W59" s="12">
        <f t="shared" si="9"/>
        <v>0</v>
      </c>
      <c r="X59" s="14" t="e">
        <f t="shared" si="10"/>
        <v>#N/A</v>
      </c>
      <c r="Y59" s="17"/>
      <c r="Z59" s="14" t="e">
        <f t="shared" si="11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7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8"/>
        <v>0</v>
      </c>
      <c r="W60" s="12">
        <f t="shared" si="9"/>
        <v>0</v>
      </c>
      <c r="X60" s="14" t="e">
        <f t="shared" si="10"/>
        <v>#N/A</v>
      </c>
      <c r="Y60" s="17"/>
      <c r="Z60" s="14" t="e">
        <f t="shared" si="11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7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8"/>
        <v>0</v>
      </c>
      <c r="W61" s="12">
        <f t="shared" si="9"/>
        <v>0</v>
      </c>
      <c r="X61" s="14" t="e">
        <f t="shared" si="10"/>
        <v>#N/A</v>
      </c>
      <c r="Y61" s="17"/>
      <c r="Z61" s="14" t="e">
        <f t="shared" si="11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7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8"/>
        <v>0</v>
      </c>
      <c r="W62" s="12">
        <f t="shared" si="9"/>
        <v>0</v>
      </c>
      <c r="X62" s="14" t="e">
        <f t="shared" si="10"/>
        <v>#N/A</v>
      </c>
      <c r="Y62" s="17"/>
      <c r="Z62" s="14" t="e">
        <f t="shared" si="11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7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8"/>
        <v>0</v>
      </c>
      <c r="W63" s="12">
        <f t="shared" si="9"/>
        <v>0</v>
      </c>
      <c r="X63" s="14" t="e">
        <f t="shared" si="10"/>
        <v>#N/A</v>
      </c>
      <c r="Y63" s="17"/>
      <c r="Z63" s="14" t="e">
        <f t="shared" si="11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7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8"/>
        <v>0</v>
      </c>
      <c r="W64" s="12">
        <f t="shared" si="9"/>
        <v>0</v>
      </c>
      <c r="X64" s="14" t="e">
        <f t="shared" si="10"/>
        <v>#N/A</v>
      </c>
      <c r="Y64" s="17"/>
      <c r="Z64" s="14" t="e">
        <f t="shared" si="11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7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8"/>
        <v>0</v>
      </c>
      <c r="W65" s="12">
        <f t="shared" si="9"/>
        <v>0</v>
      </c>
      <c r="X65" s="14" t="e">
        <f t="shared" si="10"/>
        <v>#N/A</v>
      </c>
      <c r="Y65" s="17"/>
      <c r="Z65" s="14" t="e">
        <f t="shared" si="11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6</v>
      </c>
      <c r="AI240" s="56">
        <f t="shared" si="24"/>
        <v>0</v>
      </c>
      <c r="AJ240" s="57">
        <f>AH240-AI240</f>
        <v>6</v>
      </c>
      <c r="AK240" s="58">
        <f t="shared" si="28"/>
        <v>0.9</v>
      </c>
      <c r="AL240" s="59">
        <f>AO240+AQ240-[2]Sheet1!$AH241</f>
        <v>0</v>
      </c>
      <c r="AM240" s="59">
        <f t="shared" si="30"/>
        <v>-6</v>
      </c>
      <c r="AN240" s="58">
        <f t="shared" si="26"/>
        <v>0</v>
      </c>
      <c r="AO240" s="59"/>
      <c r="AP240" s="58">
        <f t="shared" si="27"/>
        <v>-0.9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10</v>
      </c>
      <c r="AI241" s="56">
        <f t="shared" si="24"/>
        <v>0</v>
      </c>
      <c r="AJ241" s="57">
        <f t="shared" ref="AJ241:AJ264" si="32">AH241-AI241</f>
        <v>10</v>
      </c>
      <c r="AK241" s="58">
        <f>AH241*AG241/1000</f>
        <v>7.5</v>
      </c>
      <c r="AL241" s="59">
        <f>AO241+AQ241-[2]Sheet1!$AH242</f>
        <v>0</v>
      </c>
      <c r="AM241" s="59">
        <f t="shared" si="30"/>
        <v>-10</v>
      </c>
      <c r="AN241" s="58">
        <f t="shared" si="26"/>
        <v>0</v>
      </c>
      <c r="AO241" s="59"/>
      <c r="AP241" s="58">
        <f t="shared" si="27"/>
        <v>-7.5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49</v>
      </c>
      <c r="AI242" s="56">
        <f t="shared" si="24"/>
        <v>0</v>
      </c>
      <c r="AJ242" s="57">
        <f t="shared" si="32"/>
        <v>49</v>
      </c>
      <c r="AK242" s="58">
        <f t="shared" ref="AK242:AK267" si="33">AH242*AG242/1000</f>
        <v>196</v>
      </c>
      <c r="AL242" s="59">
        <f>AO242+AQ242-[2]Sheet1!$AH243</f>
        <v>0</v>
      </c>
      <c r="AM242" s="59">
        <f t="shared" si="30"/>
        <v>-49</v>
      </c>
      <c r="AN242" s="58">
        <f t="shared" si="26"/>
        <v>0</v>
      </c>
      <c r="AO242" s="59"/>
      <c r="AP242" s="58">
        <f t="shared" si="27"/>
        <v>-196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3</v>
      </c>
      <c r="AI251" s="56">
        <f t="shared" si="24"/>
        <v>0</v>
      </c>
      <c r="AJ251" s="57">
        <f t="shared" si="32"/>
        <v>3</v>
      </c>
      <c r="AK251" s="58">
        <f t="shared" si="33"/>
        <v>0.45</v>
      </c>
      <c r="AL251" s="59">
        <f>AO251+AQ251-[2]Sheet1!$AH252</f>
        <v>0</v>
      </c>
      <c r="AM251" s="59">
        <f t="shared" si="30"/>
        <v>-3</v>
      </c>
      <c r="AN251" s="58">
        <f t="shared" si="26"/>
        <v>0</v>
      </c>
      <c r="AO251" s="59"/>
      <c r="AP251" s="58">
        <f t="shared" si="27"/>
        <v>-0.45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12</v>
      </c>
      <c r="AI252" s="56">
        <f t="shared" si="24"/>
        <v>0</v>
      </c>
      <c r="AJ252" s="57">
        <f t="shared" si="32"/>
        <v>12</v>
      </c>
      <c r="AK252" s="58">
        <f t="shared" si="33"/>
        <v>9</v>
      </c>
      <c r="AL252" s="59">
        <f>AO252+AQ252-[2]Sheet1!$AH253</f>
        <v>0</v>
      </c>
      <c r="AM252" s="59">
        <f t="shared" si="30"/>
        <v>-12</v>
      </c>
      <c r="AN252" s="58">
        <f t="shared" si="26"/>
        <v>0</v>
      </c>
      <c r="AO252" s="59"/>
      <c r="AP252" s="58">
        <f t="shared" si="27"/>
        <v>-9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0</v>
      </c>
      <c r="AI253" s="56">
        <f t="shared" si="24"/>
        <v>0</v>
      </c>
      <c r="AJ253" s="57">
        <f t="shared" si="32"/>
        <v>0</v>
      </c>
      <c r="AK253" s="58">
        <f t="shared" si="33"/>
        <v>0</v>
      </c>
      <c r="AL253" s="59">
        <f>AO253+AQ253-[2]Sheet1!$AH254</f>
        <v>0</v>
      </c>
      <c r="AM253" s="59">
        <f t="shared" si="30"/>
        <v>0</v>
      </c>
      <c r="AN253" s="58">
        <f t="shared" si="26"/>
        <v>0</v>
      </c>
      <c r="AO253" s="59"/>
      <c r="AP253" s="58" t="str">
        <f t="shared" si="27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6</v>
      </c>
      <c r="AI254" s="56">
        <f t="shared" si="24"/>
        <v>0</v>
      </c>
      <c r="AJ254" s="57">
        <f t="shared" si="32"/>
        <v>6</v>
      </c>
      <c r="AK254" s="58">
        <f t="shared" si="33"/>
        <v>4.5</v>
      </c>
      <c r="AL254" s="59">
        <f>AO254+AQ254-[2]Sheet1!$AH255</f>
        <v>0</v>
      </c>
      <c r="AM254" s="59">
        <f t="shared" si="30"/>
        <v>-6</v>
      </c>
      <c r="AN254" s="58">
        <f t="shared" si="26"/>
        <v>0</v>
      </c>
      <c r="AO254" s="59"/>
      <c r="AP254" s="58">
        <f t="shared" si="27"/>
        <v>-4.5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AO259+AQ259-[2]Sheet1!$AH260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0</v>
      </c>
      <c r="AI260" s="56">
        <f t="shared" si="24"/>
        <v>0</v>
      </c>
      <c r="AJ260" s="57">
        <f t="shared" si="32"/>
        <v>0</v>
      </c>
      <c r="AK260" s="58">
        <f t="shared" si="33"/>
        <v>0</v>
      </c>
      <c r="AL260" s="59">
        <f>AO260+AQ260-[2]Sheet1!$AH261</f>
        <v>0</v>
      </c>
      <c r="AM260" s="59">
        <f t="shared" si="30"/>
        <v>0</v>
      </c>
      <c r="AN260" s="58">
        <f t="shared" si="26"/>
        <v>0</v>
      </c>
      <c r="AO260" s="59"/>
      <c r="AP260" s="58" t="str">
        <f t="shared" si="27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0</v>
      </c>
      <c r="AI261" s="56">
        <f t="shared" si="24"/>
        <v>0</v>
      </c>
      <c r="AJ261" s="57">
        <f t="shared" si="32"/>
        <v>0</v>
      </c>
      <c r="AK261" s="58">
        <f t="shared" si="33"/>
        <v>0</v>
      </c>
      <c r="AL261" s="59">
        <f>AO261+AQ261-[2]Sheet1!$AH262</f>
        <v>0</v>
      </c>
      <c r="AM261" s="59">
        <f t="shared" si="30"/>
        <v>0</v>
      </c>
      <c r="AN261" s="58">
        <f t="shared" si="26"/>
        <v>0</v>
      </c>
      <c r="AO261" s="59"/>
      <c r="AP261" s="58" t="str">
        <f t="shared" si="27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6:W200" name="باقیمانده_5"/>
    <protectedRange algorithmName="SHA-512" hashValue="f5WsBkExWTs/LKakVBbNBXjGjwaAPcOxHhJFt4MnEAAY0TgGUtLBwc6BQDnps5THm9Gccqda3SWXIrg2Z9o+GA==" saltValue="9EXh0tvvNrwpkDbSuYJ+Uw==" spinCount="100000" sqref="V6:V200" name="تعداد ارسال شده_4"/>
    <protectedRange algorithmName="SHA-512" hashValue="jjrV5Hy6JwvVqOO7tKoZVoRg7rpBcjqvT96GSIFiDncBaImziwFUF2JC6d0rT0SfgZv+eJ/5g2VdqSB7bdW0mg==" saltValue="0Igh3j97EZBwjtfDd8U1wg==" spinCount="100000" sqref="W2:W3" name="باقیمانده_5_1"/>
    <protectedRange algorithmName="SHA-512" hashValue="f5WsBkExWTs/LKakVBbNBXjGjwaAPcOxHhJFt4MnEAAY0TgGUtLBwc6BQDnps5THm9Gccqda3SWXIrg2Z9o+GA==" saltValue="9EXh0tvvNrwpkDbSuYJ+Uw==" spinCount="100000" sqref="V2:V3" name="تعداد ارسال شده_4_1"/>
    <protectedRange algorithmName="SHA-512" hashValue="jjrV5Hy6JwvVqOO7tKoZVoRg7rpBcjqvT96GSIFiDncBaImziwFUF2JC6d0rT0SfgZv+eJ/5g2VdqSB7bdW0mg==" saltValue="0Igh3j97EZBwjtfDd8U1wg==" spinCount="100000" sqref="W4:W5" name="باقیمانده_5_2"/>
    <protectedRange algorithmName="SHA-512" hashValue="f5WsBkExWTs/LKakVBbNBXjGjwaAPcOxHhJFt4MnEAAY0TgGUtLBwc6BQDnps5THm9Gccqda3SWXIrg2Z9o+GA==" saltValue="9EXh0tvvNrwpkDbSuYJ+Uw==" spinCount="100000" sqref="V4:V5" name="تعداد ارسال شده_4_2"/>
  </protectedRanges>
  <mergeCells count="136">
    <mergeCell ref="H44:H45"/>
    <mergeCell ref="G44:G45"/>
    <mergeCell ref="AD44:AD45"/>
    <mergeCell ref="AC44:AC45"/>
    <mergeCell ref="AB44:AB45"/>
    <mergeCell ref="AA44:AA45"/>
    <mergeCell ref="N44:N45"/>
    <mergeCell ref="M44:M45"/>
    <mergeCell ref="L44:L45"/>
    <mergeCell ref="J44:J45"/>
    <mergeCell ref="I44:I45"/>
    <mergeCell ref="H42:H43"/>
    <mergeCell ref="G42:G43"/>
    <mergeCell ref="AD42:AD43"/>
    <mergeCell ref="AC42:AC43"/>
    <mergeCell ref="AB42:AB43"/>
    <mergeCell ref="AA42:AA43"/>
    <mergeCell ref="N42:N43"/>
    <mergeCell ref="M42:M43"/>
    <mergeCell ref="L42:L43"/>
    <mergeCell ref="J42:J43"/>
    <mergeCell ref="I42:I43"/>
    <mergeCell ref="H40:H41"/>
    <mergeCell ref="G40:G41"/>
    <mergeCell ref="AD40:AD41"/>
    <mergeCell ref="AC40:AC41"/>
    <mergeCell ref="AB40:AB41"/>
    <mergeCell ref="AA40:AA41"/>
    <mergeCell ref="N40:N41"/>
    <mergeCell ref="M40:M41"/>
    <mergeCell ref="L40:L41"/>
    <mergeCell ref="J40:J41"/>
    <mergeCell ref="I40:I41"/>
    <mergeCell ref="H36:H37"/>
    <mergeCell ref="G36:G37"/>
    <mergeCell ref="AD36:AD37"/>
    <mergeCell ref="AC36:AC37"/>
    <mergeCell ref="AB36:AB37"/>
    <mergeCell ref="AA36:AA37"/>
    <mergeCell ref="N36:N37"/>
    <mergeCell ref="M36:M37"/>
    <mergeCell ref="L36:L37"/>
    <mergeCell ref="J36:J37"/>
    <mergeCell ref="I36:I37"/>
    <mergeCell ref="H33:H35"/>
    <mergeCell ref="G33:G35"/>
    <mergeCell ref="AD33:AD35"/>
    <mergeCell ref="AC33:AC35"/>
    <mergeCell ref="AB33:AB35"/>
    <mergeCell ref="AA33:AA35"/>
    <mergeCell ref="N33:N35"/>
    <mergeCell ref="M33:M35"/>
    <mergeCell ref="L33:L35"/>
    <mergeCell ref="J33:J35"/>
    <mergeCell ref="I33:I35"/>
    <mergeCell ref="AD29:AD31"/>
    <mergeCell ref="AC29:AC31"/>
    <mergeCell ref="AB29:AB31"/>
    <mergeCell ref="AA29:AA31"/>
    <mergeCell ref="G29:G31"/>
    <mergeCell ref="H29:H31"/>
    <mergeCell ref="I29:I31"/>
    <mergeCell ref="J29:J31"/>
    <mergeCell ref="L29:L31"/>
    <mergeCell ref="M29:M31"/>
    <mergeCell ref="N29:N31"/>
    <mergeCell ref="AD25:AD28"/>
    <mergeCell ref="AC25:AC28"/>
    <mergeCell ref="AB25:AB28"/>
    <mergeCell ref="AA25:AA28"/>
    <mergeCell ref="G25:G28"/>
    <mergeCell ref="H25:H28"/>
    <mergeCell ref="I25:I28"/>
    <mergeCell ref="J25:J28"/>
    <mergeCell ref="L25:L28"/>
    <mergeCell ref="M25:M28"/>
    <mergeCell ref="N25:N28"/>
    <mergeCell ref="H22:H23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J22:J23"/>
    <mergeCell ref="I22:I23"/>
    <mergeCell ref="H15:H16"/>
    <mergeCell ref="G15:G16"/>
    <mergeCell ref="AD15:AD16"/>
    <mergeCell ref="AC15:AC16"/>
    <mergeCell ref="AB15:AB16"/>
    <mergeCell ref="AA15:AA16"/>
    <mergeCell ref="N15:N16"/>
    <mergeCell ref="M15:M16"/>
    <mergeCell ref="L15:L16"/>
    <mergeCell ref="J15:J16"/>
    <mergeCell ref="I15:I16"/>
    <mergeCell ref="H9:H10"/>
    <mergeCell ref="G9:G10"/>
    <mergeCell ref="AD9:AD10"/>
    <mergeCell ref="AC9:AC10"/>
    <mergeCell ref="AB9:AB10"/>
    <mergeCell ref="AA9:AA10"/>
    <mergeCell ref="N9:N10"/>
    <mergeCell ref="M9:M10"/>
    <mergeCell ref="L9:L10"/>
    <mergeCell ref="J9:J10"/>
    <mergeCell ref="I9:I10"/>
    <mergeCell ref="AD4:AD5"/>
    <mergeCell ref="M4:M5"/>
    <mergeCell ref="N4:N5"/>
    <mergeCell ref="AA4:AA5"/>
    <mergeCell ref="AB4:AB5"/>
    <mergeCell ref="AC4:AC5"/>
    <mergeCell ref="G4:G5"/>
    <mergeCell ref="H4:H5"/>
    <mergeCell ref="I4:I5"/>
    <mergeCell ref="J4:J5"/>
    <mergeCell ref="L4:L5"/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J2:J3"/>
    <mergeCell ref="L2:L3"/>
    <mergeCell ref="M2:M3"/>
    <mergeCell ref="N2:N3"/>
  </mergeCells>
  <conditionalFormatting sqref="G2:J2 AD2 Z2:Z3">
    <cfRule type="expression" dxfId="49" priority="8">
      <formula>$E2</formula>
    </cfRule>
  </conditionalFormatting>
  <conditionalFormatting sqref="G2:J2 AD2">
    <cfRule type="expression" dxfId="48" priority="6">
      <formula>$A2</formula>
    </cfRule>
  </conditionalFormatting>
  <conditionalFormatting sqref="G4:J4 AD4 Z4:Z5">
    <cfRule type="expression" dxfId="47" priority="4">
      <formula>$E4</formula>
    </cfRule>
  </conditionalFormatting>
  <conditionalFormatting sqref="G4:P4 AA4:AF4 Q4:Z5 AE5:AF5 K5:K10 O5:P10">
    <cfRule type="expression" dxfId="46" priority="3">
      <formula>$C4</formula>
    </cfRule>
  </conditionalFormatting>
  <conditionalFormatting sqref="G2:AF2 O3:Z3 K3 AE3:AF3">
    <cfRule type="expression" dxfId="45" priority="7">
      <formula>$C2</formula>
    </cfRule>
  </conditionalFormatting>
  <conditionalFormatting sqref="J6:J9 Q6:AF9 G11:AF15 G17:AF22 G24:AF25 G29:AF29 G32:AF33 G36:AF36 G38:AF40 G42:AF42 G44:AF44 G46:AF200 Q10:Z10 O16:Z16 O23:Z23 O26:Z28 O30:Z31 O34:Z35 O37:Z37 O41:Z41 O43:Z43 O45:Z45 H6:H9 AE10:AF10 K16 AE16:AF16 K23 AE23:AF23 K26:K28 AE26:AF28 K30:K31 AE30:AF31 K34:K35 AE34:AF35 K37 AE37:AF37 K41 AE41:AF41 K43 AE43:AF43 K45 AE45:AF45">
    <cfRule type="expression" dxfId="44" priority="72">
      <formula>$C6</formula>
    </cfRule>
  </conditionalFormatting>
  <conditionalFormatting sqref="J6:J9 AD6:AD9 G11:J15 AD11:AD15 G17:J22 AD17:AD22 G24:J25 AD24:AD25 G29:J29 AD29 G32:J33 AD32:AD33 G36:J36 AD36 G38:J40 AD38:AD40 G42:J42 AD42 G44:J44 AD44 G46:J200 AD46:AD200">
    <cfRule type="expression" dxfId="43" priority="71">
      <formula>$A6</formula>
    </cfRule>
  </conditionalFormatting>
  <conditionalFormatting sqref="J6:J9 AD6:AD9 Z6:Z200 G11:J15 AD11:AD15 G17:J22 AD17:AD22 G24:J25 AD24:AD25 G29:J29 AD29 G32:J33 AD32:AD33 G36:J36 AD36 G38:J40 AD38:AD40 G42:J42 AD42 G44:J44 AD44 G46:J200 AD46:AD200">
    <cfRule type="expression" dxfId="42" priority="73">
      <formula>$E6</formula>
    </cfRule>
  </conditionalFormatting>
  <conditionalFormatting sqref="W2:W200">
    <cfRule type="expression" dxfId="41" priority="1">
      <formula>$AG2</formula>
    </cfRule>
  </conditionalFormatting>
  <conditionalFormatting sqref="Z2:Z200 G4:J4 AD4">
    <cfRule type="expression" dxfId="40" priority="2">
      <formula>$A2</formula>
    </cfRule>
  </conditionalFormatting>
  <conditionalFormatting sqref="AL203:AM203">
    <cfRule type="dataBar" priority="35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{9B3E0285-A07B-4D0D-AE28-EE54FAB5FD88}</x14:id>
        </ext>
      </extLst>
    </cfRule>
  </conditionalFormatting>
  <conditionalFormatting sqref="AL204:AM204">
    <cfRule type="dataBar" priority="34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{FC402F45-55E1-46BB-BBDA-D73BEBD81455}</x14:id>
        </ext>
      </extLst>
    </cfRule>
  </conditionalFormatting>
  <conditionalFormatting sqref="AL205:AM205">
    <cfRule type="dataBar" priority="33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{94F56B8F-282C-4A69-B23E-736B5733D3EC}</x14:id>
        </ext>
      </extLst>
    </cfRule>
  </conditionalFormatting>
  <conditionalFormatting sqref="AL206:AM206">
    <cfRule type="dataBar" priority="32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{DBAF5B4B-E1B9-4398-8C9A-EB1EFD3CB287}</x14:id>
        </ext>
      </extLst>
    </cfRule>
  </conditionalFormatting>
  <conditionalFormatting sqref="AL207:AM207">
    <cfRule type="dataBar" priority="31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{9477735D-7357-4461-83EA-9FDE961AC633}</x14:id>
        </ext>
      </extLst>
    </cfRule>
  </conditionalFormatting>
  <conditionalFormatting sqref="AL208:AM208">
    <cfRule type="dataBar" priority="30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{1871E96B-BC16-404E-A991-F639641AFE24}</x14:id>
        </ext>
      </extLst>
    </cfRule>
  </conditionalFormatting>
  <conditionalFormatting sqref="AL209:AM209">
    <cfRule type="dataBar" priority="29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{406AE6F5-D5B3-4163-82BC-BAD18493F163}</x14:id>
        </ext>
      </extLst>
    </cfRule>
  </conditionalFormatting>
  <conditionalFormatting sqref="AL210:AM210">
    <cfRule type="dataBar" priority="28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{E7ADF533-7A7C-443F-BA28-210986750FE4}</x14:id>
        </ext>
      </extLst>
    </cfRule>
  </conditionalFormatting>
  <conditionalFormatting sqref="AL211:AM211">
    <cfRule type="dataBar" priority="27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{76E6D495-509E-4B1E-88B8-5C857B196C8D}</x14:id>
        </ext>
      </extLst>
    </cfRule>
  </conditionalFormatting>
  <conditionalFormatting sqref="AL212:AM212">
    <cfRule type="dataBar" priority="26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{D48D86FF-424A-4C93-BB96-AE5F605D5497}</x14:id>
        </ext>
      </extLst>
    </cfRule>
  </conditionalFormatting>
  <conditionalFormatting sqref="AL213:AM213">
    <cfRule type="dataBar" priority="25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{F9997349-CE96-46DC-B397-92373CDDDD2E}</x14:id>
        </ext>
      </extLst>
    </cfRule>
  </conditionalFormatting>
  <conditionalFormatting sqref="AL214:AM214">
    <cfRule type="dataBar" priority="24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{27FBD353-4D23-49B9-9F26-E9FFD67F766F}</x14:id>
        </ext>
      </extLst>
    </cfRule>
  </conditionalFormatting>
  <conditionalFormatting sqref="AL215:AM215">
    <cfRule type="dataBar" priority="23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{B500E220-91C6-4364-9142-E2E70733517C}</x14:id>
        </ext>
      </extLst>
    </cfRule>
  </conditionalFormatting>
  <conditionalFormatting sqref="AL216:AM216">
    <cfRule type="dataBar" priority="22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{42227A3B-7332-447F-9A13-F5481C501F5C}</x14:id>
        </ext>
      </extLst>
    </cfRule>
  </conditionalFormatting>
  <conditionalFormatting sqref="AL217:AM217">
    <cfRule type="dataBar" priority="21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{5E1ED364-D222-4E8A-AA14-9C5771ECD7E7}</x14:id>
        </ext>
      </extLst>
    </cfRule>
  </conditionalFormatting>
  <conditionalFormatting sqref="AL218:AM218">
    <cfRule type="dataBar" priority="20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{CBF82CA0-FA91-4148-A444-0B6CAD568B51}</x14:id>
        </ext>
      </extLst>
    </cfRule>
  </conditionalFormatting>
  <conditionalFormatting sqref="AL219:AM219">
    <cfRule type="dataBar" priority="19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{837394A7-46DF-43DC-A173-0B6E6E3AB563}</x14:id>
        </ext>
      </extLst>
    </cfRule>
  </conditionalFormatting>
  <conditionalFormatting sqref="AL220:AM220">
    <cfRule type="dataBar" priority="18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{5B76CA09-F8BD-4901-B84A-ACE3499C8318}</x14:id>
        </ext>
      </extLst>
    </cfRule>
  </conditionalFormatting>
  <conditionalFormatting sqref="AL221:AM221">
    <cfRule type="dataBar" priority="36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{EE108F63-74AF-4BBD-B41A-D9FFCCA301E7}</x14:id>
        </ext>
      </extLst>
    </cfRule>
  </conditionalFormatting>
  <conditionalFormatting sqref="AL223:AM223">
    <cfRule type="dataBar" priority="37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{A1CDF8C6-81E3-4DF4-9BCE-F0CCC770A139}</x14:id>
        </ext>
      </extLst>
    </cfRule>
  </conditionalFormatting>
  <conditionalFormatting sqref="AL224:AM224">
    <cfRule type="dataBar" priority="38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{D4828935-4E60-419C-8603-74D6E3568159}</x14:id>
        </ext>
      </extLst>
    </cfRule>
  </conditionalFormatting>
  <conditionalFormatting sqref="AL225:AM225">
    <cfRule type="dataBar" priority="39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{892CC90F-5B6F-4C92-9228-E06E0AD24F61}</x14:id>
        </ext>
      </extLst>
    </cfRule>
  </conditionalFormatting>
  <conditionalFormatting sqref="AL226:AM226">
    <cfRule type="dataBar" priority="40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{83FC9B4B-A0F0-40C3-94B1-F56644B65CEE}</x14:id>
        </ext>
      </extLst>
    </cfRule>
  </conditionalFormatting>
  <conditionalFormatting sqref="AL227:AM227">
    <cfRule type="dataBar" priority="41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{B2652B77-BD72-4DC4-938E-BEF709DF507D}</x14:id>
        </ext>
      </extLst>
    </cfRule>
  </conditionalFormatting>
  <conditionalFormatting sqref="AL228:AM228">
    <cfRule type="dataBar" priority="42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{DEBFE1F2-B8CD-4E3E-9F24-5E6F61FD4D06}</x14:id>
        </ext>
      </extLst>
    </cfRule>
  </conditionalFormatting>
  <conditionalFormatting sqref="AL229:AM229">
    <cfRule type="dataBar" priority="17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{BB08C9D6-39C7-45DA-A7C7-7B1B3C103013}</x14:id>
        </ext>
      </extLst>
    </cfRule>
  </conditionalFormatting>
  <conditionalFormatting sqref="AL230:AM230">
    <cfRule type="dataBar" priority="16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{0463CE50-5A25-42A5-83DF-3B3BA3432FCC}</x14:id>
        </ext>
      </extLst>
    </cfRule>
  </conditionalFormatting>
  <conditionalFormatting sqref="AL231:AM231">
    <cfRule type="dataBar" priority="15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{0D9C48A5-A589-487F-8141-0F1A10932C11}</x14:id>
        </ext>
      </extLst>
    </cfRule>
  </conditionalFormatting>
  <conditionalFormatting sqref="AL232:AM232">
    <cfRule type="dataBar" priority="14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{A5659FB6-2C54-49E1-871C-C677D7CD3413}</x14:id>
        </ext>
      </extLst>
    </cfRule>
  </conditionalFormatting>
  <conditionalFormatting sqref="AL233:AM233">
    <cfRule type="dataBar" priority="13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{D827356E-304A-4766-9E93-42CCBF4C86FA}</x14:id>
        </ext>
      </extLst>
    </cfRule>
  </conditionalFormatting>
  <conditionalFormatting sqref="AL234:AM234">
    <cfRule type="dataBar" priority="12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{624351E2-9AF6-4746-82E0-5049A7DD2417}</x14:id>
        </ext>
      </extLst>
    </cfRule>
  </conditionalFormatting>
  <conditionalFormatting sqref="AL235:AM235">
    <cfRule type="dataBar" priority="43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{1FC3971D-9DA3-43AC-8A0C-BA144CBF75B9}</x14:id>
        </ext>
      </extLst>
    </cfRule>
  </conditionalFormatting>
  <conditionalFormatting sqref="AL236:AM236">
    <cfRule type="dataBar" priority="44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{AB56C5FF-163C-4A16-88B5-4EE7D5B8CE7E}</x14:id>
        </ext>
      </extLst>
    </cfRule>
  </conditionalFormatting>
  <conditionalFormatting sqref="AL237:AM237">
    <cfRule type="dataBar" priority="45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{33EE2154-3F3B-4DAD-8E64-CB82FAAA0F96}</x14:id>
        </ext>
      </extLst>
    </cfRule>
  </conditionalFormatting>
  <conditionalFormatting sqref="AL238:AM238">
    <cfRule type="dataBar" priority="46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{9B88606F-0971-4FCC-87BC-7D404A837A50}</x14:id>
        </ext>
      </extLst>
    </cfRule>
  </conditionalFormatting>
  <conditionalFormatting sqref="AL239:AM239">
    <cfRule type="dataBar" priority="47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{16F81A27-FD61-49C5-AEAE-E6734480FF56}</x14:id>
        </ext>
      </extLst>
    </cfRule>
  </conditionalFormatting>
  <conditionalFormatting sqref="AL240:AM240">
    <cfRule type="dataBar" priority="48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{E6A315A6-E41A-4291-B4E2-CF9F1B262073}</x14:id>
        </ext>
      </extLst>
    </cfRule>
  </conditionalFormatting>
  <conditionalFormatting sqref="AL241:AM241">
    <cfRule type="dataBar" priority="49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{EC45B648-2355-4E53-919E-E82EAEE199CB}</x14:id>
        </ext>
      </extLst>
    </cfRule>
  </conditionalFormatting>
  <conditionalFormatting sqref="AL242:AM242">
    <cfRule type="dataBar" priority="50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{9157B693-C698-43F1-B47C-CBC5B717F891}</x14:id>
        </ext>
      </extLst>
    </cfRule>
  </conditionalFormatting>
  <conditionalFormatting sqref="AL243:AM243">
    <cfRule type="dataBar" priority="51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{3E809727-F77D-44D5-8F58-783147650326}</x14:id>
        </ext>
      </extLst>
    </cfRule>
  </conditionalFormatting>
  <conditionalFormatting sqref="AL244:AM244">
    <cfRule type="dataBar" priority="52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{DEBAD9DF-C299-45E4-9D1A-C8FCE0FAC009}</x14:id>
        </ext>
      </extLst>
    </cfRule>
  </conditionalFormatting>
  <conditionalFormatting sqref="AL245:AM245">
    <cfRule type="dataBar" priority="53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{0C14342C-387F-4DF6-8706-CBB5F4E7DC0C}</x14:id>
        </ext>
      </extLst>
    </cfRule>
  </conditionalFormatting>
  <conditionalFormatting sqref="AL246:AM246">
    <cfRule type="dataBar" priority="54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{C1BCADC8-209D-4B5D-BE53-1B8E77D2B3AE}</x14:id>
        </ext>
      </extLst>
    </cfRule>
  </conditionalFormatting>
  <conditionalFormatting sqref="AL247:AM247">
    <cfRule type="dataBar" priority="55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{8D8417AA-20EF-467A-9B95-266F92F61D95}</x14:id>
        </ext>
      </extLst>
    </cfRule>
  </conditionalFormatting>
  <conditionalFormatting sqref="AL248:AM248">
    <cfRule type="dataBar" priority="11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{56FD2ABB-DF6D-4841-9D0B-C1F95057918B}</x14:id>
        </ext>
      </extLst>
    </cfRule>
  </conditionalFormatting>
  <conditionalFormatting sqref="AL249:AM249">
    <cfRule type="dataBar" priority="56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{3C9F66C9-C7C9-478E-9DE5-37A9C05C24AD}</x14:id>
        </ext>
      </extLst>
    </cfRule>
  </conditionalFormatting>
  <conditionalFormatting sqref="AL250:AM250">
    <cfRule type="dataBar" priority="57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{4159A8B7-3550-4ED5-BFE7-D5ED9734D420}</x14:id>
        </ext>
      </extLst>
    </cfRule>
  </conditionalFormatting>
  <conditionalFormatting sqref="AL251:AM251">
    <cfRule type="dataBar" priority="58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{C32C8A3F-E650-498E-82BA-54B47235FDB9}</x14:id>
        </ext>
      </extLst>
    </cfRule>
  </conditionalFormatting>
  <conditionalFormatting sqref="AL252:AM252">
    <cfRule type="dataBar" priority="59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{8BB548DE-32B8-4B2D-8B64-E04BD65D3347}</x14:id>
        </ext>
      </extLst>
    </cfRule>
  </conditionalFormatting>
  <conditionalFormatting sqref="AL253:AM253">
    <cfRule type="dataBar" priority="60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{46A7510E-2C0A-4E43-BD8A-3B9E30EA018D}</x14:id>
        </ext>
      </extLst>
    </cfRule>
  </conditionalFormatting>
  <conditionalFormatting sqref="AL254:AM254">
    <cfRule type="dataBar" priority="61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{BAD5DD57-EA5D-4244-BE8F-F948EC43F098}</x14:id>
        </ext>
      </extLst>
    </cfRule>
  </conditionalFormatting>
  <conditionalFormatting sqref="AL255:AM255">
    <cfRule type="dataBar" priority="62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{5704C9A6-CADF-4EE6-A47E-2EB76CF13EF5}</x14:id>
        </ext>
      </extLst>
    </cfRule>
  </conditionalFormatting>
  <conditionalFormatting sqref="AL256:AM256">
    <cfRule type="dataBar" priority="63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{4CD9AB8B-7C0B-4D67-A4C0-769C6EE128CA}</x14:id>
        </ext>
      </extLst>
    </cfRule>
  </conditionalFormatting>
  <conditionalFormatting sqref="AL257:AM257">
    <cfRule type="dataBar" priority="64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{57048D68-C370-4525-970B-1417317F12FB}</x14:id>
        </ext>
      </extLst>
    </cfRule>
  </conditionalFormatting>
  <conditionalFormatting sqref="AL258:AM258">
    <cfRule type="dataBar" priority="10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{E9CBB08C-78C4-429F-9242-66C2DA94F139}</x14:id>
        </ext>
      </extLst>
    </cfRule>
  </conditionalFormatting>
  <conditionalFormatting sqref="AL259:AM259">
    <cfRule type="dataBar" priority="9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{99478656-EB04-416E-AC9A-1279FD68A6E4}</x14:id>
        </ext>
      </extLst>
    </cfRule>
  </conditionalFormatting>
  <conditionalFormatting sqref="AL260:AM260">
    <cfRule type="dataBar" priority="65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{A519D491-6AED-46AB-8456-1287EAC6B845}</x14:id>
        </ext>
      </extLst>
    </cfRule>
  </conditionalFormatting>
  <conditionalFormatting sqref="AL261:AM261">
    <cfRule type="dataBar" priority="66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{7ACE44D1-DE5D-44FD-8196-8B6243FCC410}</x14:id>
        </ext>
      </extLst>
    </cfRule>
  </conditionalFormatting>
  <conditionalFormatting sqref="AL262:AM262">
    <cfRule type="dataBar" priority="67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{9EE2FFC3-DC04-4613-B561-A8BDF78EEB00}</x14:id>
        </ext>
      </extLst>
    </cfRule>
  </conditionalFormatting>
  <conditionalFormatting sqref="AL263:AM263">
    <cfRule type="dataBar" priority="68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{B60055E4-B5D5-4583-A27B-17B4D2190115}</x14:id>
        </ext>
      </extLst>
    </cfRule>
  </conditionalFormatting>
  <conditionalFormatting sqref="AL264:AM264">
    <cfRule type="dataBar" priority="69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{B1536D7E-CAB6-45BC-9F18-2C1CADAC826C}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B3E0285-A07B-4D0D-AE28-EE54FAB5FD88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FC402F45-55E1-46BB-BBDA-D73BEBD81455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94F56B8F-282C-4A69-B23E-736B5733D3EC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BAF5B4B-E1B9-4398-8C9A-EB1EFD3CB287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9477735D-7357-4461-83EA-9FDE961AC633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871E96B-BC16-404E-A991-F639641AFE24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06AE6F5-D5B3-4163-82BC-BAD18493F16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7ADF533-7A7C-443F-BA28-210986750FE4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76E6D495-509E-4B1E-88B8-5C857B196C8D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D48D86FF-424A-4C93-BB96-AE5F605D5497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F9997349-CE96-46DC-B397-92373CDDDD2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27FBD353-4D23-49B9-9F26-E9FFD67F766F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B500E220-91C6-4364-9142-E2E70733517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42227A3B-7332-447F-9A13-F5481C501F5C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5E1ED364-D222-4E8A-AA14-9C5771ECD7E7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CBF82CA0-FA91-4148-A444-0B6CAD568B51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837394A7-46DF-43DC-A173-0B6E6E3AB56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B76CA09-F8BD-4901-B84A-ACE3499C831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E108F63-74AF-4BBD-B41A-D9FFCCA301E7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A1CDF8C6-81E3-4DF4-9BCE-F0CCC770A139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D4828935-4E60-419C-8603-74D6E356815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892CC90F-5B6F-4C92-9228-E06E0AD24F6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83FC9B4B-A0F0-40C3-94B1-F56644B65CEE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B2652B77-BD72-4DC4-938E-BEF709DF507D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DEBFE1F2-B8CD-4E3E-9F24-5E6F61FD4D06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BB08C9D6-39C7-45DA-A7C7-7B1B3C103013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0463CE50-5A25-42A5-83DF-3B3BA3432FCC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D9C48A5-A589-487F-8141-0F1A10932C11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5659FB6-2C54-49E1-871C-C677D7CD3413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D827356E-304A-4766-9E93-42CCBF4C86FA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624351E2-9AF6-4746-82E0-5049A7DD2417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FC3971D-9DA3-43AC-8A0C-BA144CBF75B9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B56C5FF-163C-4A16-88B5-4EE7D5B8CE7E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33EE2154-3F3B-4DAD-8E64-CB82FAAA0F96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9B88606F-0971-4FCC-87BC-7D404A837A50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16F81A27-FD61-49C5-AEAE-E6734480FF56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E6A315A6-E41A-4291-B4E2-CF9F1B26207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EC45B648-2355-4E53-919E-E82EAEE199CB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9157B693-C698-43F1-B47C-CBC5B717F891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3E809727-F77D-44D5-8F58-783147650326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EBAD9DF-C299-45E4-9D1A-C8FCE0FAC009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0C14342C-387F-4DF6-8706-CBB5F4E7DC0C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C1BCADC8-209D-4B5D-BE53-1B8E77D2B3AE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8D8417AA-20EF-467A-9B95-266F92F61D95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56FD2ABB-DF6D-4841-9D0B-C1F95057918B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3C9F66C9-C7C9-478E-9DE5-37A9C05C24A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4159A8B7-3550-4ED5-BFE7-D5ED9734D420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C32C8A3F-E650-498E-82BA-54B47235FDB9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8BB548DE-32B8-4B2D-8B64-E04BD65D334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46A7510E-2C0A-4E43-BD8A-3B9E30EA018D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BAD5DD57-EA5D-4244-BE8F-F948EC43F098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5704C9A6-CADF-4EE6-A47E-2EB76CF13EF5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4CD9AB8B-7C0B-4D67-A4C0-769C6EE128CA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57048D68-C370-4525-970B-1417317F12FB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9CBB08C-78C4-429F-9242-66C2DA94F139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99478656-EB04-416E-AC9A-1279FD68A6E4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519D491-6AED-46AB-8456-1287EAC6B845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7ACE44D1-DE5D-44FD-8196-8B6243FCC41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EE2FFC3-DC04-4613-B561-A8BDF78EEB00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60055E4-B5D5-4583-A27B-17B4D2190115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B1536D7E-CAB6-45BC-9F18-2C1CADAC826C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E5FC-8260-4057-87BF-35A3188158B4}">
  <dimension ref="A1:AR267"/>
  <sheetViews>
    <sheetView rightToLeft="1" topLeftCell="AA1" zoomScale="70" zoomScaleNormal="70" workbookViewId="0">
      <selection activeCell="P29" sqref="P29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20.44140625" style="28" bestFit="1" customWidth="1"/>
    <col min="9" max="9" width="20.554687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26.77734375" style="24" bestFit="1" customWidth="1"/>
    <col min="29" max="29" width="15.77734375" style="31" bestFit="1" customWidth="1"/>
    <col min="30" max="30" width="13.6640625" style="32" bestFit="1" customWidth="1"/>
    <col min="31" max="31" width="38.6640625" style="24" bestFit="1" customWidth="1"/>
    <col min="32" max="32" width="28.33203125" style="24" bestFit="1" customWidth="1"/>
    <col min="33" max="33" width="13.5546875" style="24" bestFit="1" customWidth="1"/>
    <col min="34" max="34" width="141.2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1" t="s">
        <v>0</v>
      </c>
      <c r="B1" s="152"/>
      <c r="C1" s="151" t="s">
        <v>1</v>
      </c>
      <c r="D1" s="152"/>
      <c r="E1" s="151" t="s">
        <v>2</v>
      </c>
      <c r="F1" s="152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3" t="s">
        <v>17</v>
      </c>
      <c r="V1" s="154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55">
        <v>1</v>
      </c>
      <c r="H2" s="157" t="s">
        <v>74</v>
      </c>
      <c r="I2" s="155" t="s">
        <v>500</v>
      </c>
      <c r="J2" s="132" t="s">
        <v>76</v>
      </c>
      <c r="K2" s="11" t="str">
        <f t="shared" ref="K2:K65" ca="1" si="0">IF(C2, TODAY(), "" )</f>
        <v/>
      </c>
      <c r="L2" s="142"/>
      <c r="M2" s="142" t="s">
        <v>77</v>
      </c>
      <c r="N2" s="142" t="s">
        <v>78</v>
      </c>
      <c r="O2" s="9">
        <v>5501.3</v>
      </c>
      <c r="P2" s="9">
        <v>3</v>
      </c>
      <c r="Q2" s="13" t="str">
        <f>VLOOKUP(O2, '[1]لیست محصولات اردیبهشت ۱۴۰۳'!B:C,2,0)</f>
        <v>ورتکس | Vortex</v>
      </c>
      <c r="R2" s="9"/>
      <c r="S2" s="12">
        <f>VLOOKUP(O2, '[1]لیست محصولات اردیبهشت ۱۴۰۳'!B:F,5,0)</f>
        <v>4000</v>
      </c>
      <c r="T2" s="14">
        <f>VLOOKUP(O2, '[1]لیست محصولات اردیبهشت ۱۴۰۳'!B:G,6,0)</f>
        <v>51200000</v>
      </c>
      <c r="U2" s="15"/>
      <c r="V2" s="16">
        <f t="shared" ref="V2:V65" si="1">IF(C2, P2, U2 )</f>
        <v>0</v>
      </c>
      <c r="W2" s="12">
        <f t="shared" ref="W2:W65" si="2">P2-V2</f>
        <v>3</v>
      </c>
      <c r="X2" s="14">
        <f t="shared" ref="X2:X65" si="3">P2*T2</f>
        <v>153600000</v>
      </c>
      <c r="Y2" s="17"/>
      <c r="Z2" s="14">
        <f t="shared" ref="Z2:Z65" si="4">X2-Y2</f>
        <v>153600000</v>
      </c>
      <c r="AA2" s="140" t="s">
        <v>79</v>
      </c>
      <c r="AB2" s="138" t="s">
        <v>70</v>
      </c>
      <c r="AC2" s="136" t="s">
        <v>80</v>
      </c>
      <c r="AD2" s="134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56"/>
      <c r="H3" s="158"/>
      <c r="I3" s="156"/>
      <c r="J3" s="133"/>
      <c r="K3" s="11" t="str">
        <f t="shared" ca="1" si="0"/>
        <v/>
      </c>
      <c r="L3" s="143"/>
      <c r="M3" s="143"/>
      <c r="N3" s="143"/>
      <c r="O3" s="9">
        <v>5511.3</v>
      </c>
      <c r="P3" s="9">
        <v>1</v>
      </c>
      <c r="Q3" s="13" t="str">
        <f>VLOOKUP(O3, '[1]لیست محصولات اردیبهشت ۱۴۰۳'!B:C,2,0)</f>
        <v>هامبلا | Hambella</v>
      </c>
      <c r="R3" s="9"/>
      <c r="S3" s="12">
        <f>VLOOKUP(O3, '[1]لیست محصولات اردیبهشت ۱۴۰۳'!B:F,5,0)</f>
        <v>4000</v>
      </c>
      <c r="T3" s="14">
        <f>VLOOKUP(O3, '[1]لیست محصولات اردیبهشت ۱۴۰۳'!B:G,6,0)</f>
        <v>69600000</v>
      </c>
      <c r="U3" s="15"/>
      <c r="V3" s="16">
        <f t="shared" si="1"/>
        <v>0</v>
      </c>
      <c r="W3" s="12">
        <f t="shared" si="2"/>
        <v>1</v>
      </c>
      <c r="X3" s="14">
        <f t="shared" si="3"/>
        <v>69600000</v>
      </c>
      <c r="Y3" s="17"/>
      <c r="Z3" s="14">
        <f t="shared" si="4"/>
        <v>69600000</v>
      </c>
      <c r="AA3" s="141"/>
      <c r="AB3" s="139"/>
      <c r="AC3" s="137"/>
      <c r="AD3" s="135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66">
        <v>2</v>
      </c>
      <c r="H4" s="67" t="s">
        <v>74</v>
      </c>
      <c r="I4" s="114" t="s">
        <v>500</v>
      </c>
      <c r="J4" s="9" t="s">
        <v>76</v>
      </c>
      <c r="K4" s="11" t="str">
        <f t="shared" ca="1" si="0"/>
        <v/>
      </c>
      <c r="L4" s="12"/>
      <c r="M4" s="12" t="s">
        <v>77</v>
      </c>
      <c r="N4" s="12" t="s">
        <v>280</v>
      </c>
      <c r="O4" s="9">
        <v>5501.3</v>
      </c>
      <c r="P4" s="9">
        <v>8</v>
      </c>
      <c r="Q4" s="13" t="str">
        <f>VLOOKUP(O4, '[1]لیست محصولات اردیبهشت ۱۴۰۳'!B:C,2,0)</f>
        <v>ورتکس | Vortex</v>
      </c>
      <c r="R4" s="9"/>
      <c r="S4" s="12">
        <f>VLOOKUP(O4, '[1]لیست محصولات اردیبهشت ۱۴۰۳'!B:F,5,0)</f>
        <v>4000</v>
      </c>
      <c r="T4" s="14">
        <f>VLOOKUP(O4, '[1]لیست محصولات اردیبهشت ۱۴۰۳'!B:G,6,0)</f>
        <v>51200000</v>
      </c>
      <c r="U4" s="15"/>
      <c r="V4" s="16">
        <f t="shared" si="1"/>
        <v>0</v>
      </c>
      <c r="W4" s="12">
        <f t="shared" si="2"/>
        <v>8</v>
      </c>
      <c r="X4" s="14">
        <f t="shared" si="3"/>
        <v>409600000</v>
      </c>
      <c r="Y4" s="17"/>
      <c r="Z4" s="14">
        <f t="shared" si="4"/>
        <v>409600000</v>
      </c>
      <c r="AA4" s="18" t="s">
        <v>79</v>
      </c>
      <c r="AB4" s="13" t="s">
        <v>70</v>
      </c>
      <c r="AC4" s="19" t="s">
        <v>80</v>
      </c>
      <c r="AD4" s="20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کافه بیکری روستار سانا سنتر -  حجتی 09373955769</v>
      </c>
    </row>
    <row r="5" spans="1:34" s="32" customFormat="1" ht="22.35" customHeight="1">
      <c r="A5" s="116"/>
      <c r="B5" s="116"/>
      <c r="C5" s="116"/>
      <c r="D5" s="116"/>
      <c r="E5" s="116"/>
      <c r="F5" s="116"/>
      <c r="G5" s="20">
        <v>3</v>
      </c>
      <c r="H5" s="117" t="s">
        <v>443</v>
      </c>
      <c r="I5" s="115" t="s">
        <v>500</v>
      </c>
      <c r="J5" s="20"/>
      <c r="K5" s="118"/>
      <c r="L5" s="119" t="s">
        <v>625</v>
      </c>
      <c r="M5" s="119" t="s">
        <v>624</v>
      </c>
      <c r="N5" s="119" t="s">
        <v>621</v>
      </c>
      <c r="O5" s="20">
        <v>1125.3</v>
      </c>
      <c r="P5" s="20">
        <v>1</v>
      </c>
      <c r="Q5" s="120" t="str">
        <f>VLOOKUP(O5, '[1]لیست محصولات اردیبهشت ۱۴۰۳'!B:C,2,0)</f>
        <v>بنجامین دیانوس | Benjamin De Dianous</v>
      </c>
      <c r="R5" s="20"/>
      <c r="S5" s="119">
        <f>VLOOKUP(O5, '[1]لیست محصولات اردیبهشت ۱۴۰۳'!B:F,5,0)</f>
        <v>40</v>
      </c>
      <c r="T5" s="121">
        <f>VLOOKUP(O5, '[1]لیست محصولات اردیبهشت ۱۴۰۳'!B:G,6,0)</f>
        <v>5600000</v>
      </c>
      <c r="U5" s="122"/>
      <c r="V5" s="123">
        <f t="shared" si="1"/>
        <v>0</v>
      </c>
      <c r="W5" s="119">
        <f t="shared" si="2"/>
        <v>1</v>
      </c>
      <c r="X5" s="121">
        <f t="shared" si="3"/>
        <v>5600000</v>
      </c>
      <c r="Y5" s="124"/>
      <c r="Z5" s="121">
        <f t="shared" si="4"/>
        <v>5600000</v>
      </c>
      <c r="AA5" s="215" t="s">
        <v>626</v>
      </c>
      <c r="AB5" s="216"/>
      <c r="AC5" s="216"/>
      <c r="AD5" s="216"/>
      <c r="AE5" s="217"/>
      <c r="AF5" s="125"/>
      <c r="AH5" s="126" t="str">
        <f t="shared" si="6"/>
        <v xml:space="preserve">تحویل رامتین داده شود.  (پرسنل) - امیر محمد شفیعی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4</v>
      </c>
      <c r="H6" s="10">
        <v>277274770434</v>
      </c>
      <c r="I6" s="25" t="s">
        <v>500</v>
      </c>
      <c r="J6" s="9"/>
      <c r="K6" s="11" t="str">
        <f t="shared" ca="1" si="0"/>
        <v/>
      </c>
      <c r="L6" s="12" t="s">
        <v>627</v>
      </c>
      <c r="M6" s="12" t="s">
        <v>628</v>
      </c>
      <c r="N6" s="12"/>
      <c r="O6" s="9">
        <v>5501.1</v>
      </c>
      <c r="P6" s="9">
        <v>1</v>
      </c>
      <c r="Q6" s="13" t="str">
        <f>VLOOKUP(O6, '[1]لیست محصولات اردیبهشت ۱۴۰۳'!B:C,2,0)</f>
        <v>ورتکس | Vortex</v>
      </c>
      <c r="R6" s="9" t="s">
        <v>102</v>
      </c>
      <c r="S6" s="12">
        <f>VLOOKUP(O6, '[1]لیست محصولات اردیبهشت ۱۴۰۳'!B:F,5,0)</f>
        <v>150</v>
      </c>
      <c r="T6" s="14">
        <f>VLOOKUP(O6, '[1]لیست محصولات اردیبهشت ۱۴۰۳'!B:G,6,0)</f>
        <v>2100000</v>
      </c>
      <c r="U6" s="15"/>
      <c r="V6" s="16">
        <f t="shared" si="1"/>
        <v>0</v>
      </c>
      <c r="W6" s="12">
        <f t="shared" si="2"/>
        <v>1</v>
      </c>
      <c r="X6" s="14">
        <f t="shared" si="3"/>
        <v>2100000</v>
      </c>
      <c r="Y6" s="17"/>
      <c r="Z6" s="14">
        <f t="shared" si="4"/>
        <v>2100000</v>
      </c>
      <c r="AA6" s="18" t="s">
        <v>79</v>
      </c>
      <c r="AB6" s="13" t="s">
        <v>629</v>
      </c>
      <c r="AC6" s="19" t="s">
        <v>630</v>
      </c>
      <c r="AD6" s="20" t="s">
        <v>99</v>
      </c>
      <c r="AE6" s="19"/>
      <c r="AF6" s="21"/>
      <c r="AG6" s="22" t="str">
        <f t="shared" si="5"/>
        <v>TRUE</v>
      </c>
      <c r="AH6" s="23" t="str">
        <f t="shared" si="6"/>
        <v>تهران صیاد شیرازی شمال خیابان مغان میدان حسین آباد خیابان مژده مجتمع رونیکا پالاس بلوک B1طبقه سوم شمالی واحد ۱۰۳۶ کاظمیان(رستمی)  - فیروزه کاظمیان 09128188972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32">
        <v>5</v>
      </c>
      <c r="H7" s="130">
        <v>55103601301</v>
      </c>
      <c r="I7" s="132" t="s">
        <v>500</v>
      </c>
      <c r="J7" s="132"/>
      <c r="K7" s="11" t="str">
        <f t="shared" ca="1" si="0"/>
        <v/>
      </c>
      <c r="L7" s="142" t="s">
        <v>433</v>
      </c>
      <c r="M7" s="142" t="s">
        <v>341</v>
      </c>
      <c r="N7" s="142" t="s">
        <v>631</v>
      </c>
      <c r="O7" s="9">
        <v>5501.3</v>
      </c>
      <c r="P7" s="9">
        <v>1</v>
      </c>
      <c r="Q7" s="13" t="str">
        <f>VLOOKUP(O7, '[1]لیست محصولات اردیبهشت ۱۴۰۳'!B:C,2,0)</f>
        <v>ورتکس | Vortex</v>
      </c>
      <c r="R7" s="9"/>
      <c r="S7" s="12">
        <f>VLOOKUP(O7, '[1]لیست محصولات اردیبهشت ۱۴۰۳'!B:F,5,0)</f>
        <v>4000</v>
      </c>
      <c r="T7" s="14">
        <f>VLOOKUP(O7, '[1]لیست محصولات اردیبهشت ۱۴۰۳'!B:G,6,0)</f>
        <v>51200000</v>
      </c>
      <c r="U7" s="26"/>
      <c r="V7" s="16">
        <f t="shared" si="1"/>
        <v>0</v>
      </c>
      <c r="W7" s="12">
        <f t="shared" si="2"/>
        <v>1</v>
      </c>
      <c r="X7" s="14">
        <f t="shared" si="3"/>
        <v>51200000</v>
      </c>
      <c r="Y7" s="17"/>
      <c r="Z7" s="14">
        <f t="shared" si="4"/>
        <v>51200000</v>
      </c>
      <c r="AA7" s="140" t="s">
        <v>632</v>
      </c>
      <c r="AB7" s="138" t="s">
        <v>633</v>
      </c>
      <c r="AC7" s="136" t="s">
        <v>634</v>
      </c>
      <c r="AD7" s="134"/>
      <c r="AE7" s="19"/>
      <c r="AF7" s="21"/>
      <c r="AG7" s="22" t="str">
        <f t="shared" si="5"/>
        <v>TRUE</v>
      </c>
      <c r="AH7" s="23" t="str">
        <f t="shared" si="6"/>
        <v>البرز نظرآباد - خ انقلاب روبروی بانک تجارت کافه خونه ما - مهدی نظری 09330291022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33"/>
      <c r="H8" s="131"/>
      <c r="I8" s="133"/>
      <c r="J8" s="133"/>
      <c r="K8" s="11" t="str">
        <f t="shared" ca="1" si="0"/>
        <v/>
      </c>
      <c r="L8" s="143"/>
      <c r="M8" s="143"/>
      <c r="N8" s="143"/>
      <c r="O8" s="9">
        <v>3326.1</v>
      </c>
      <c r="P8" s="9">
        <v>1</v>
      </c>
      <c r="Q8" s="13" t="str">
        <f>VLOOKUP(O8, '[1]لیست محصولات اردیبهشت ۱۴۰۳'!B:C,2,0)</f>
        <v>میاگروس | Milagros</v>
      </c>
      <c r="R8" s="9"/>
      <c r="S8" s="12">
        <f>VLOOKUP(O8, '[1]لیست محصولات اردیبهشت ۱۴۰۳'!B:F,5,0)</f>
        <v>150</v>
      </c>
      <c r="T8" s="14">
        <f>VLOOKUP(O8, '[1]لیست محصولات اردیبهشت ۱۴۰۳'!B:G,6,0)</f>
        <v>3750000</v>
      </c>
      <c r="U8" s="15"/>
      <c r="V8" s="16">
        <f t="shared" si="1"/>
        <v>0</v>
      </c>
      <c r="W8" s="12">
        <f t="shared" si="2"/>
        <v>1</v>
      </c>
      <c r="X8" s="14">
        <f t="shared" si="3"/>
        <v>3750000</v>
      </c>
      <c r="Y8" s="17"/>
      <c r="Z8" s="14">
        <f t="shared" si="4"/>
        <v>3750000</v>
      </c>
      <c r="AA8" s="141"/>
      <c r="AB8" s="139"/>
      <c r="AC8" s="137"/>
      <c r="AD8" s="135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6</v>
      </c>
      <c r="H9" s="10">
        <v>277292141305</v>
      </c>
      <c r="I9" s="25" t="s">
        <v>500</v>
      </c>
      <c r="J9" s="9"/>
      <c r="K9" s="11" t="str">
        <f t="shared" ca="1" si="0"/>
        <v/>
      </c>
      <c r="L9" s="27" t="s">
        <v>635</v>
      </c>
      <c r="M9" s="12" t="s">
        <v>636</v>
      </c>
      <c r="N9" s="12"/>
      <c r="O9" s="9">
        <v>5501.3</v>
      </c>
      <c r="P9" s="9">
        <v>1</v>
      </c>
      <c r="Q9" s="13" t="str">
        <f>VLOOKUP(O9, '[1]لیست محصولات اردیبهشت ۱۴۰۳'!B:C,2,0)</f>
        <v>ورتکس | Vortex</v>
      </c>
      <c r="R9" s="9"/>
      <c r="S9" s="12">
        <f>VLOOKUP(O9, '[1]لیست محصولات اردیبهشت ۱۴۰۳'!B:F,5,0)</f>
        <v>4000</v>
      </c>
      <c r="T9" s="14">
        <f>VLOOKUP(O9, '[1]لیست محصولات اردیبهشت ۱۴۰۳'!B:G,6,0)</f>
        <v>51200000</v>
      </c>
      <c r="U9" s="15"/>
      <c r="V9" s="16">
        <f t="shared" si="1"/>
        <v>0</v>
      </c>
      <c r="W9" s="12">
        <f t="shared" si="2"/>
        <v>1</v>
      </c>
      <c r="X9" s="14">
        <f t="shared" si="3"/>
        <v>51200000</v>
      </c>
      <c r="Y9" s="17"/>
      <c r="Z9" s="14">
        <f t="shared" si="4"/>
        <v>51200000</v>
      </c>
      <c r="AA9" s="18" t="s">
        <v>637</v>
      </c>
      <c r="AB9" s="13" t="s">
        <v>638</v>
      </c>
      <c r="AC9" s="19" t="s">
        <v>639</v>
      </c>
      <c r="AD9" s="20"/>
      <c r="AE9" s="19"/>
      <c r="AF9" s="21"/>
      <c r="AG9" s="22" t="str">
        <f t="shared" si="5"/>
        <v>TRUE</v>
      </c>
      <c r="AH9" s="23" t="str">
        <f t="shared" si="6"/>
        <v>سنندج پاسداران سهراه شالمان کوچه یوسف پلاک ۲  - صبا خسروبخش 09188783927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7</v>
      </c>
      <c r="H10" s="10">
        <v>277303544848</v>
      </c>
      <c r="I10" s="25" t="s">
        <v>500</v>
      </c>
      <c r="J10" s="9" t="s">
        <v>76</v>
      </c>
      <c r="K10" s="11" t="str">
        <f t="shared" ca="1" si="0"/>
        <v/>
      </c>
      <c r="L10" s="27" t="s">
        <v>137</v>
      </c>
      <c r="M10" s="27" t="s">
        <v>640</v>
      </c>
      <c r="N10" s="12" t="s">
        <v>641</v>
      </c>
      <c r="O10" s="9">
        <v>5501.2</v>
      </c>
      <c r="P10" s="9">
        <v>2</v>
      </c>
      <c r="Q10" s="13" t="str">
        <f>VLOOKUP(O10, '[1]لیست محصولات اردیبهشت ۱۴۰۳'!B:C,2,0)</f>
        <v>ورتکس | Vortex</v>
      </c>
      <c r="R10" s="9"/>
      <c r="S10" s="12">
        <f>VLOOKUP(O10, '[1]لیست محصولات اردیبهشت ۱۴۰۳'!B:F,5,0)</f>
        <v>750</v>
      </c>
      <c r="T10" s="14">
        <f>VLOOKUP(O10, '[1]لیست محصولات اردیبهشت ۱۴۰۳'!B:G,6,0)</f>
        <v>9900000</v>
      </c>
      <c r="U10" s="15"/>
      <c r="V10" s="16">
        <f t="shared" si="1"/>
        <v>0</v>
      </c>
      <c r="W10" s="12">
        <f t="shared" si="2"/>
        <v>2</v>
      </c>
      <c r="X10" s="14">
        <f t="shared" si="3"/>
        <v>19800000</v>
      </c>
      <c r="Y10" s="17"/>
      <c r="Z10" s="14">
        <f t="shared" si="4"/>
        <v>19800000</v>
      </c>
      <c r="AA10" s="18" t="s">
        <v>79</v>
      </c>
      <c r="AB10" s="13" t="s">
        <v>642</v>
      </c>
      <c r="AC10" s="19" t="s">
        <v>643</v>
      </c>
      <c r="AD10" s="20" t="s">
        <v>99</v>
      </c>
      <c r="AE10" s="19"/>
      <c r="AF10" s="21"/>
      <c r="AG10" s="22" t="str">
        <f t="shared" si="5"/>
        <v>TRUE</v>
      </c>
      <c r="AH10" s="23" t="str">
        <f t="shared" si="6"/>
        <v>تهران خیابان طالقانی،خیابان موسوی،کوچه ایرانشهر،پلاک ۱ عمارت جهان کوچک من - امیرحسین ضیائی پور 09366388030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8</v>
      </c>
      <c r="H11" s="10">
        <v>55110043701</v>
      </c>
      <c r="I11" s="9" t="s">
        <v>500</v>
      </c>
      <c r="J11" s="9" t="s">
        <v>76</v>
      </c>
      <c r="K11" s="11" t="str">
        <f t="shared" ca="1" si="0"/>
        <v/>
      </c>
      <c r="L11" s="12" t="s">
        <v>112</v>
      </c>
      <c r="M11" s="12" t="s">
        <v>488</v>
      </c>
      <c r="N11" s="12" t="s">
        <v>489</v>
      </c>
      <c r="O11" s="9">
        <v>5511.3</v>
      </c>
      <c r="P11" s="9">
        <v>2</v>
      </c>
      <c r="Q11" s="13" t="str">
        <f>VLOOKUP(O11, '[1]لیست محصولات اردیبهشت ۱۴۰۳'!B:C,2,0)</f>
        <v>هامبلا | Hambella</v>
      </c>
      <c r="R11" s="9"/>
      <c r="S11" s="12">
        <f>VLOOKUP(O11, '[1]لیست محصولات اردیبهشت ۱۴۰۳'!B:F,5,0)</f>
        <v>4000</v>
      </c>
      <c r="T11" s="14">
        <f>VLOOKUP(O11, '[1]لیست محصولات اردیبهشت ۱۴۰۳'!B:G,6,0)</f>
        <v>69600000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139200000</v>
      </c>
      <c r="Y11" s="17"/>
      <c r="Z11" s="14">
        <f t="shared" si="4"/>
        <v>139200000</v>
      </c>
      <c r="AA11" s="18" t="s">
        <v>206</v>
      </c>
      <c r="AB11" s="13" t="s">
        <v>490</v>
      </c>
      <c r="AC11" s="19" t="s">
        <v>491</v>
      </c>
      <c r="AD11" s="20"/>
      <c r="AE11" s="19"/>
      <c r="AF11" s="21"/>
      <c r="AG11" s="22" t="str">
        <f t="shared" si="5"/>
        <v>TRUE</v>
      </c>
      <c r="AH11" s="23" t="str">
        <f t="shared" si="6"/>
        <v>ساری میدان امام بلوار آزادی خیابان بعثت بین بعثت ۲ و ۴ کافه قهومون - محمدرضا غلامی شه بندی 09376143341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32">
        <v>9</v>
      </c>
      <c r="H12" s="130">
        <v>277308099658</v>
      </c>
      <c r="I12" s="132" t="s">
        <v>500</v>
      </c>
      <c r="J12" s="132" t="s">
        <v>76</v>
      </c>
      <c r="K12" s="11" t="str">
        <f t="shared" ca="1" si="0"/>
        <v/>
      </c>
      <c r="L12" s="142" t="s">
        <v>286</v>
      </c>
      <c r="M12" s="142" t="s">
        <v>644</v>
      </c>
      <c r="N12" s="142" t="s">
        <v>645</v>
      </c>
      <c r="O12" s="9">
        <v>5511.2</v>
      </c>
      <c r="P12" s="9">
        <v>5</v>
      </c>
      <c r="Q12" s="13" t="str">
        <f>VLOOKUP(O12, '[1]لیست محصولات اردیبهشت ۱۴۰۳'!B:C,2,0)</f>
        <v>هامبلا | Hambella</v>
      </c>
      <c r="R12" s="9"/>
      <c r="S12" s="12">
        <f>VLOOKUP(O12, '[1]لیست محصولات اردیبهشت ۱۴۰۳'!B:F,5,0)</f>
        <v>750</v>
      </c>
      <c r="T12" s="14">
        <f>VLOOKUP(O12, '[1]لیست محصولات اردیبهشت ۱۴۰۳'!B:G,6,0)</f>
        <v>13350000</v>
      </c>
      <c r="U12" s="15"/>
      <c r="V12" s="16">
        <f t="shared" si="1"/>
        <v>0</v>
      </c>
      <c r="W12" s="12">
        <f t="shared" si="2"/>
        <v>5</v>
      </c>
      <c r="X12" s="14">
        <f t="shared" si="3"/>
        <v>66750000</v>
      </c>
      <c r="Y12" s="17"/>
      <c r="Z12" s="14">
        <f t="shared" si="4"/>
        <v>66750000</v>
      </c>
      <c r="AA12" s="140" t="s">
        <v>646</v>
      </c>
      <c r="AB12" s="138" t="s">
        <v>647</v>
      </c>
      <c r="AC12" s="136" t="s">
        <v>648</v>
      </c>
      <c r="AD12" s="134"/>
      <c r="AE12" s="19"/>
      <c r="AF12" s="21"/>
      <c r="AG12" s="22" t="str">
        <f t="shared" si="5"/>
        <v>TRUE</v>
      </c>
      <c r="AH12" s="23" t="str">
        <f t="shared" si="6"/>
        <v>بوشهر خیابان سنگی خیابان بعثت نبش کوچه عرفان ۱۷ کافه بوتیک شیرینی رلیش - علی سرروی 09364689687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33"/>
      <c r="H13" s="131"/>
      <c r="I13" s="133"/>
      <c r="J13" s="133"/>
      <c r="K13" s="11" t="str">
        <f t="shared" ca="1" si="0"/>
        <v/>
      </c>
      <c r="L13" s="143"/>
      <c r="M13" s="143"/>
      <c r="N13" s="143"/>
      <c r="O13" s="9">
        <v>3326.1</v>
      </c>
      <c r="P13" s="9">
        <v>1</v>
      </c>
      <c r="Q13" s="13" t="str">
        <f>VLOOKUP(O13, '[1]لیست محصولات اردیبهشت ۱۴۰۳'!B:C,2,0)</f>
        <v>میاگروس | Milagros</v>
      </c>
      <c r="R13" s="9"/>
      <c r="S13" s="12">
        <f>VLOOKUP(O13, '[1]لیست محصولات اردیبهشت ۱۴۰۳'!B:F,5,0)</f>
        <v>150</v>
      </c>
      <c r="T13" s="14">
        <f>VLOOKUP(O13, '[1]لیست محصولات اردیبهشت ۱۴۰۳'!B:G,6,0)</f>
        <v>3750000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3750000</v>
      </c>
      <c r="Y13" s="17"/>
      <c r="Z13" s="14">
        <f t="shared" si="4"/>
        <v>3750000</v>
      </c>
      <c r="AA13" s="141"/>
      <c r="AB13" s="139"/>
      <c r="AC13" s="137"/>
      <c r="AD13" s="135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32">
        <v>10</v>
      </c>
      <c r="H14" s="130">
        <v>277325558558</v>
      </c>
      <c r="I14" s="132" t="s">
        <v>649</v>
      </c>
      <c r="J14" s="132"/>
      <c r="K14" s="11" t="str">
        <f t="shared" ca="1" si="0"/>
        <v/>
      </c>
      <c r="L14" s="142" t="s">
        <v>650</v>
      </c>
      <c r="M14" s="142" t="s">
        <v>651</v>
      </c>
      <c r="N14" s="142"/>
      <c r="O14" s="9">
        <v>3326.1</v>
      </c>
      <c r="P14" s="9">
        <v>1</v>
      </c>
      <c r="Q14" s="13" t="str">
        <f>VLOOKUP(O14, '[1]لیست محصولات اردیبهشت ۱۴۰۳'!B:C,2,0)</f>
        <v>میاگروس | Milagros</v>
      </c>
      <c r="R14" s="9"/>
      <c r="S14" s="12">
        <f>VLOOKUP(O14, '[1]لیست محصولات اردیبهشت ۱۴۰۳'!B:F,5,0)</f>
        <v>150</v>
      </c>
      <c r="T14" s="14">
        <f>VLOOKUP(O14, '[1]لیست محصولات اردیبهشت ۱۴۰۳'!B:G,6,0)</f>
        <v>3750000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3750000</v>
      </c>
      <c r="Y14" s="17"/>
      <c r="Z14" s="14">
        <f t="shared" si="4"/>
        <v>3750000</v>
      </c>
      <c r="AA14" s="140" t="s">
        <v>187</v>
      </c>
      <c r="AB14" s="138" t="s">
        <v>652</v>
      </c>
      <c r="AC14" s="136" t="s">
        <v>653</v>
      </c>
      <c r="AD14" s="134"/>
      <c r="AE14" s="19"/>
      <c r="AF14" s="21"/>
      <c r="AG14" s="22" t="str">
        <f t="shared" si="5"/>
        <v>TRUE</v>
      </c>
      <c r="AH14" s="23" t="str">
        <f t="shared" si="6"/>
        <v>کرمان شهربابک - بلوار جمهوری اسلامی- کوچه فرهنگ 2  - احمد فرهادی 09132937149</v>
      </c>
    </row>
    <row r="15" spans="1:34" ht="22.35" customHeight="1">
      <c r="A15" s="7"/>
      <c r="B15" s="7"/>
      <c r="C15" s="7"/>
      <c r="D15" s="7"/>
      <c r="E15" s="7"/>
      <c r="F15" s="8"/>
      <c r="G15" s="133"/>
      <c r="H15" s="131"/>
      <c r="I15" s="133"/>
      <c r="J15" s="133"/>
      <c r="K15" s="11" t="str">
        <f t="shared" ca="1" si="0"/>
        <v/>
      </c>
      <c r="L15" s="143"/>
      <c r="M15" s="143"/>
      <c r="N15" s="143"/>
      <c r="O15" s="9">
        <v>3325.1</v>
      </c>
      <c r="P15" s="9">
        <v>1</v>
      </c>
      <c r="Q15" s="13" t="str">
        <f>VLOOKUP(O15, '[1]لیست محصولات اردیبهشت ۱۴۰۳'!B:C,2,0)</f>
        <v>راتناگری | Ratnagiri</v>
      </c>
      <c r="R15" s="9"/>
      <c r="S15" s="12">
        <f>VLOOKUP(O15, '[1]لیست محصولات اردیبهشت ۱۴۰۳'!B:F,5,0)</f>
        <v>150</v>
      </c>
      <c r="T15" s="14">
        <f>VLOOKUP(O15, '[1]لیست محصولات اردیبهشت ۱۴۰۳'!B:G,6,0)</f>
        <v>4250000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4250000</v>
      </c>
      <c r="Y15" s="17"/>
      <c r="Z15" s="14">
        <f t="shared" si="4"/>
        <v>4250000</v>
      </c>
      <c r="AA15" s="141"/>
      <c r="AB15" s="139"/>
      <c r="AC15" s="137"/>
      <c r="AD15" s="135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11</v>
      </c>
      <c r="H16" s="10">
        <v>277341941981</v>
      </c>
      <c r="I16" s="9" t="s">
        <v>649</v>
      </c>
      <c r="J16" s="9"/>
      <c r="K16" s="11" t="str">
        <f t="shared" ca="1" si="0"/>
        <v/>
      </c>
      <c r="L16" s="12" t="s">
        <v>654</v>
      </c>
      <c r="M16" s="12" t="s">
        <v>453</v>
      </c>
      <c r="N16" s="12"/>
      <c r="O16" s="9">
        <v>5501.2</v>
      </c>
      <c r="P16" s="9">
        <v>2</v>
      </c>
      <c r="Q16" s="13" t="str">
        <f>VLOOKUP(O16, '[1]لیست محصولات اردیبهشت ۱۴۰۳'!B:C,2,0)</f>
        <v>ورتکس | Vortex</v>
      </c>
      <c r="R16" s="9" t="s">
        <v>255</v>
      </c>
      <c r="S16" s="12">
        <f>VLOOKUP(O16, '[1]لیست محصولات اردیبهشت ۱۴۰۳'!B:F,5,0)</f>
        <v>750</v>
      </c>
      <c r="T16" s="14">
        <f>VLOOKUP(O16, '[1]لیست محصولات اردیبهشت ۱۴۰۳'!B:G,6,0)</f>
        <v>9900000</v>
      </c>
      <c r="U16" s="15"/>
      <c r="V16" s="16">
        <f t="shared" si="1"/>
        <v>0</v>
      </c>
      <c r="W16" s="12">
        <f t="shared" si="2"/>
        <v>2</v>
      </c>
      <c r="X16" s="14">
        <f t="shared" si="3"/>
        <v>19800000</v>
      </c>
      <c r="Y16" s="17"/>
      <c r="Z16" s="14">
        <f t="shared" si="4"/>
        <v>19800000</v>
      </c>
      <c r="AA16" s="18" t="s">
        <v>79</v>
      </c>
      <c r="AB16" s="13" t="s">
        <v>655</v>
      </c>
      <c r="AC16" s="19" t="s">
        <v>656</v>
      </c>
      <c r="AD16" s="20" t="s">
        <v>99</v>
      </c>
      <c r="AE16" s="68" t="s">
        <v>657</v>
      </c>
      <c r="AF16" s="21"/>
      <c r="AG16" s="22" t="str">
        <f t="shared" si="5"/>
        <v>TRUE</v>
      </c>
      <c r="AH16" s="23" t="str">
        <f t="shared" si="6"/>
        <v>تهران ولنجک.بلواردانشجو.گلستان دوم.پلاک۶.واحد۵شرقی  - خورشید اسدی 09129104392</v>
      </c>
    </row>
    <row r="17" spans="1:34" ht="22.35" customHeight="1">
      <c r="A17" s="7"/>
      <c r="B17" s="7"/>
      <c r="C17" s="7"/>
      <c r="D17" s="7"/>
      <c r="E17" s="7"/>
      <c r="F17" s="8"/>
      <c r="G17" s="9">
        <v>12</v>
      </c>
      <c r="H17" s="10">
        <v>277342404759</v>
      </c>
      <c r="I17" s="9" t="s">
        <v>649</v>
      </c>
      <c r="J17" s="9"/>
      <c r="K17" s="11" t="str">
        <f t="shared" ca="1" si="0"/>
        <v/>
      </c>
      <c r="L17" s="12" t="s">
        <v>658</v>
      </c>
      <c r="M17" s="12" t="s">
        <v>659</v>
      </c>
      <c r="N17" s="12"/>
      <c r="O17" s="9">
        <v>5522.1</v>
      </c>
      <c r="P17" s="9">
        <v>1</v>
      </c>
      <c r="Q17" s="13" t="str">
        <f>VLOOKUP(O17, '[1]لیست محصولات اردیبهشت ۱۴۰۳'!B:C,2,0)</f>
        <v>تامارا | Tamara</v>
      </c>
      <c r="R17" s="9" t="s">
        <v>255</v>
      </c>
      <c r="S17" s="12">
        <f>VLOOKUP(O17, '[1]لیست محصولات اردیبهشت ۱۴۰۳'!B:F,5,0)</f>
        <v>150</v>
      </c>
      <c r="T17" s="14">
        <f>VLOOKUP(O17, '[1]لیست محصولات اردیبهشت ۱۴۰۳'!B:G,6,0)</f>
        <v>2600000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2600000</v>
      </c>
      <c r="Y17" s="17"/>
      <c r="Z17" s="14">
        <f t="shared" si="4"/>
        <v>2600000</v>
      </c>
      <c r="AA17" s="18" t="s">
        <v>79</v>
      </c>
      <c r="AB17" s="13" t="s">
        <v>660</v>
      </c>
      <c r="AC17" s="19" t="s">
        <v>661</v>
      </c>
      <c r="AD17" s="20" t="s">
        <v>99</v>
      </c>
      <c r="AE17" s="19"/>
      <c r="AF17" s="21"/>
      <c r="AG17" s="22" t="str">
        <f t="shared" si="5"/>
        <v>TRUE</v>
      </c>
      <c r="AH17" s="23" t="str">
        <f t="shared" si="6"/>
        <v>تهران شیان ، شیان سوم پلاک 49  - پویا شهابی 09391787341</v>
      </c>
    </row>
    <row r="18" spans="1:34" ht="22.35" customHeight="1">
      <c r="A18" s="7"/>
      <c r="B18" s="7"/>
      <c r="C18" s="7"/>
      <c r="D18" s="7"/>
      <c r="E18" s="7"/>
      <c r="F18" s="8"/>
      <c r="G18" s="9">
        <v>13</v>
      </c>
      <c r="H18" s="10">
        <v>277344693236</v>
      </c>
      <c r="I18" s="9" t="s">
        <v>649</v>
      </c>
      <c r="J18" s="9"/>
      <c r="K18" s="11" t="str">
        <f t="shared" ca="1" si="0"/>
        <v/>
      </c>
      <c r="L18" s="12" t="s">
        <v>662</v>
      </c>
      <c r="M18" s="12" t="s">
        <v>663</v>
      </c>
      <c r="N18" s="12"/>
      <c r="O18" s="9">
        <v>5511.11</v>
      </c>
      <c r="P18" s="9">
        <v>2</v>
      </c>
      <c r="Q18" s="69" t="str">
        <f>VLOOKUP(O18, '[1]لیست محصولات اردیبهشت ۱۴۰۳'!B:C,2,0)</f>
        <v>هامبلا(رست دمی) | Hambella( Filter Roast)</v>
      </c>
      <c r="R18" s="9"/>
      <c r="S18" s="12">
        <f>VLOOKUP(O18, '[1]لیست محصولات اردیبهشت ۱۴۰۳'!B:F,5,0)</f>
        <v>150</v>
      </c>
      <c r="T18" s="14">
        <f>VLOOKUP(O18, '[1]لیست محصولات اردیبهشت ۱۴۰۳'!B:G,6,0)</f>
        <v>2800000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5600000</v>
      </c>
      <c r="Y18" s="17"/>
      <c r="Z18" s="14">
        <f t="shared" si="4"/>
        <v>5600000</v>
      </c>
      <c r="AA18" s="18" t="s">
        <v>79</v>
      </c>
      <c r="AB18" s="13" t="s">
        <v>664</v>
      </c>
      <c r="AC18" s="19" t="s">
        <v>665</v>
      </c>
      <c r="AD18" s="20" t="s">
        <v>99</v>
      </c>
      <c r="AE18" s="19"/>
      <c r="AF18" s="21"/>
      <c r="AG18" s="22" t="str">
        <f t="shared" si="5"/>
        <v>TRUE</v>
      </c>
      <c r="AH18" s="23" t="str">
        <f t="shared" si="6"/>
        <v>تهران گیشا، ابتدای خیابان ۳۵، جنب فروشگاه هفت، پلاک ۳۴۶، واحد ۳  - بهراد تقوی 09013335521</v>
      </c>
    </row>
    <row r="19" spans="1:34" ht="22.35" customHeight="1">
      <c r="A19" s="7"/>
      <c r="B19" s="7"/>
      <c r="C19" s="7"/>
      <c r="D19" s="7"/>
      <c r="E19" s="7"/>
      <c r="F19" s="8"/>
      <c r="G19" s="9">
        <v>14</v>
      </c>
      <c r="H19" s="10">
        <v>277350059840</v>
      </c>
      <c r="I19" s="9" t="s">
        <v>649</v>
      </c>
      <c r="J19" s="9"/>
      <c r="K19" s="11" t="str">
        <f t="shared" ca="1" si="0"/>
        <v/>
      </c>
      <c r="L19" s="12" t="s">
        <v>209</v>
      </c>
      <c r="M19" s="12" t="s">
        <v>666</v>
      </c>
      <c r="N19" s="12" t="s">
        <v>667</v>
      </c>
      <c r="O19" s="9">
        <v>3325.2</v>
      </c>
      <c r="P19" s="9">
        <v>1</v>
      </c>
      <c r="Q19" s="13" t="str">
        <f>VLOOKUP(O19, '[1]لیست محصولات اردیبهشت ۱۴۰۳'!B:C,2,0)</f>
        <v>راتناگری | Ratnagiri</v>
      </c>
      <c r="R19" s="9"/>
      <c r="S19" s="12">
        <f>VLOOKUP(O19, '[1]لیست محصولات اردیبهشت ۱۴۰۳'!B:F,5,0)</f>
        <v>750</v>
      </c>
      <c r="T19" s="14">
        <f>VLOOKUP(O19, '[1]لیست محصولات اردیبهشت ۱۴۰۳'!B:G,6,0)</f>
        <v>20700000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20700000</v>
      </c>
      <c r="Y19" s="17"/>
      <c r="Z19" s="14">
        <f t="shared" si="4"/>
        <v>20700000</v>
      </c>
      <c r="AA19" s="18" t="s">
        <v>79</v>
      </c>
      <c r="AB19" s="13" t="s">
        <v>668</v>
      </c>
      <c r="AC19" s="19" t="s">
        <v>669</v>
      </c>
      <c r="AD19" s="20" t="s">
        <v>99</v>
      </c>
      <c r="AE19" s="19"/>
      <c r="AF19" s="21"/>
      <c r="AG19" s="22" t="str">
        <f t="shared" si="5"/>
        <v>TRUE</v>
      </c>
      <c r="AH19" s="23" t="str">
        <f t="shared" si="6"/>
        <v>تهران میدان فردوسی خیابان شهید قرنی کوچه کلانتری پلاک ۴۸ طبقه همکف کافه آپارتمان - احسان رحیم زاده 09351034845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66">
        <v>15</v>
      </c>
      <c r="H20" s="67"/>
      <c r="I20" s="66" t="s">
        <v>649</v>
      </c>
      <c r="J20" s="9" t="s">
        <v>76</v>
      </c>
      <c r="K20" s="11" t="str">
        <f t="shared" ca="1" si="0"/>
        <v/>
      </c>
      <c r="L20" s="12" t="s">
        <v>452</v>
      </c>
      <c r="M20" s="12" t="s">
        <v>671</v>
      </c>
      <c r="N20" s="12" t="s">
        <v>670</v>
      </c>
      <c r="O20" s="9">
        <v>5501.3</v>
      </c>
      <c r="P20" s="9">
        <v>7</v>
      </c>
      <c r="Q20" s="13" t="str">
        <f>VLOOKUP(O20, '[1]لیست محصولات اردیبهشت ۱۴۰۳'!B:C,2,0)</f>
        <v>ورتکس | Vortex</v>
      </c>
      <c r="R20" s="9"/>
      <c r="S20" s="12">
        <f>VLOOKUP(O20, '[1]لیست محصولات اردیبهشت ۱۴۰۳'!B:F,5,0)</f>
        <v>4000</v>
      </c>
      <c r="T20" s="14">
        <f>VLOOKUP(O20, '[1]لیست محصولات اردیبهشت ۱۴۰۳'!B:G,6,0)</f>
        <v>51200000</v>
      </c>
      <c r="U20" s="15"/>
      <c r="V20" s="16">
        <f t="shared" si="1"/>
        <v>0</v>
      </c>
      <c r="W20" s="12">
        <f t="shared" si="2"/>
        <v>7</v>
      </c>
      <c r="X20" s="14">
        <f t="shared" si="3"/>
        <v>358400000</v>
      </c>
      <c r="Y20" s="17"/>
      <c r="Z20" s="14">
        <f t="shared" si="4"/>
        <v>358400000</v>
      </c>
      <c r="AA20" s="18" t="s">
        <v>129</v>
      </c>
      <c r="AB20" s="13" t="s">
        <v>672</v>
      </c>
      <c r="AC20" s="19" t="s">
        <v>673</v>
      </c>
      <c r="AD20" s="20"/>
      <c r="AE20" s="19"/>
      <c r="AF20" s="21"/>
      <c r="AG20" s="22" t="str">
        <f t="shared" si="5"/>
        <v>TRUE</v>
      </c>
      <c r="AH20" s="23" t="str">
        <f t="shared" si="6"/>
        <v>مشهد صارمي - بين صارمي 34 و 36  کافه نشانی - امیر بررودی 09369309993</v>
      </c>
    </row>
    <row r="21" spans="1:34" s="32" customFormat="1" ht="22.35" customHeight="1">
      <c r="A21" s="116"/>
      <c r="B21" s="116"/>
      <c r="C21" s="116" t="b">
        <v>0</v>
      </c>
      <c r="D21" s="116"/>
      <c r="E21" s="116"/>
      <c r="F21" s="116"/>
      <c r="G21" s="20">
        <v>16</v>
      </c>
      <c r="H21" s="117" t="s">
        <v>676</v>
      </c>
      <c r="I21" s="20" t="s">
        <v>649</v>
      </c>
      <c r="J21" s="20"/>
      <c r="K21" s="118" t="str">
        <f t="shared" ca="1" si="0"/>
        <v/>
      </c>
      <c r="L21" s="119" t="s">
        <v>674</v>
      </c>
      <c r="M21" s="119" t="s">
        <v>691</v>
      </c>
      <c r="N21" s="119" t="s">
        <v>675</v>
      </c>
      <c r="O21" s="20">
        <v>5511.11</v>
      </c>
      <c r="P21" s="20">
        <v>1</v>
      </c>
      <c r="Q21" s="127" t="str">
        <f>VLOOKUP(O21, '[1]لیست محصولات اردیبهشت ۱۴۰۳'!B:C,2,0)</f>
        <v>هامبلا(رست دمی) | Hambella( Filter Roast)</v>
      </c>
      <c r="R21" s="20"/>
      <c r="S21" s="119">
        <f>VLOOKUP(O21, '[1]لیست محصولات اردیبهشت ۱۴۰۳'!B:F,5,0)</f>
        <v>150</v>
      </c>
      <c r="T21" s="121">
        <f>VLOOKUP(O21, '[1]لیست محصولات اردیبهشت ۱۴۰۳'!B:G,6,0)</f>
        <v>2800000</v>
      </c>
      <c r="U21" s="122"/>
      <c r="V21" s="123">
        <f t="shared" si="1"/>
        <v>0</v>
      </c>
      <c r="W21" s="119">
        <f t="shared" si="2"/>
        <v>1</v>
      </c>
      <c r="X21" s="121">
        <f t="shared" si="3"/>
        <v>2800000</v>
      </c>
      <c r="Y21" s="124"/>
      <c r="Z21" s="121">
        <f t="shared" si="4"/>
        <v>2800000</v>
      </c>
      <c r="AA21" s="128" t="s">
        <v>79</v>
      </c>
      <c r="AB21" s="120" t="s">
        <v>687</v>
      </c>
      <c r="AC21" s="129" t="s">
        <v>686</v>
      </c>
      <c r="AD21" s="20" t="s">
        <v>99</v>
      </c>
      <c r="AE21" s="129"/>
      <c r="AF21" s="125"/>
      <c r="AH21" s="126" t="str">
        <f t="shared" si="6"/>
        <v>تهران خیابان انقلاب، نرسیده به میدان فردوسی، خیابان موسوی، نبش کوچه اعتماد مقدم، پلاک 32 کافه حیاط شماره 65 - سوگند نیازمند 09109855849</v>
      </c>
    </row>
    <row r="22" spans="1:34" s="32" customFormat="1" ht="22.35" customHeight="1">
      <c r="A22" s="116" t="b">
        <v>0</v>
      </c>
      <c r="B22" s="116"/>
      <c r="C22" s="116" t="b">
        <v>0</v>
      </c>
      <c r="D22" s="116"/>
      <c r="E22" s="116"/>
      <c r="F22" s="116"/>
      <c r="G22" s="134">
        <v>17</v>
      </c>
      <c r="H22" s="212" t="s">
        <v>676</v>
      </c>
      <c r="I22" s="134" t="s">
        <v>649</v>
      </c>
      <c r="J22" s="134"/>
      <c r="K22" s="118" t="str">
        <f t="shared" ca="1" si="0"/>
        <v/>
      </c>
      <c r="L22" s="224" t="s">
        <v>680</v>
      </c>
      <c r="M22" s="224" t="s">
        <v>681</v>
      </c>
      <c r="N22" s="224" t="s">
        <v>677</v>
      </c>
      <c r="O22" s="20">
        <v>5501.1</v>
      </c>
      <c r="P22" s="20">
        <v>1</v>
      </c>
      <c r="Q22" s="120" t="str">
        <f>VLOOKUP(O22, '[1]لیست محصولات اردیبهشت ۱۴۰۳'!B:C,2,0)</f>
        <v>ورتکس | Vortex</v>
      </c>
      <c r="R22" s="20"/>
      <c r="S22" s="119">
        <f>VLOOKUP(O22, '[1]لیست محصولات اردیبهشت ۱۴۰۳'!B:F,5,0)</f>
        <v>150</v>
      </c>
      <c r="T22" s="121">
        <f>VLOOKUP(O22, '[1]لیست محصولات اردیبهشت ۱۴۰۳'!B:G,6,0)</f>
        <v>2100000</v>
      </c>
      <c r="U22" s="122"/>
      <c r="V22" s="123">
        <f t="shared" si="1"/>
        <v>0</v>
      </c>
      <c r="W22" s="119">
        <f t="shared" si="2"/>
        <v>1</v>
      </c>
      <c r="X22" s="121">
        <f t="shared" si="3"/>
        <v>2100000</v>
      </c>
      <c r="Y22" s="124"/>
      <c r="Z22" s="121">
        <f t="shared" si="4"/>
        <v>2100000</v>
      </c>
      <c r="AA22" s="222" t="s">
        <v>129</v>
      </c>
      <c r="AB22" s="220" t="s">
        <v>678</v>
      </c>
      <c r="AC22" s="218" t="s">
        <v>679</v>
      </c>
      <c r="AD22" s="134"/>
      <c r="AE22" s="129"/>
      <c r="AF22" s="125"/>
      <c r="AH22" s="126" t="str">
        <f t="shared" si="6"/>
        <v>مشهد قاضی طباطبائی 10، سوزنچی 5 کافه روسو - احمد رضا گازرانی 09213036182</v>
      </c>
    </row>
    <row r="23" spans="1:34" s="32" customFormat="1" ht="22.35" customHeight="1">
      <c r="A23" s="116"/>
      <c r="B23" s="116"/>
      <c r="C23" s="116" t="b">
        <v>0</v>
      </c>
      <c r="D23" s="116"/>
      <c r="E23" s="116"/>
      <c r="F23" s="116"/>
      <c r="G23" s="135"/>
      <c r="H23" s="214"/>
      <c r="I23" s="135"/>
      <c r="J23" s="135"/>
      <c r="K23" s="118" t="str">
        <f t="shared" ca="1" si="0"/>
        <v/>
      </c>
      <c r="L23" s="225"/>
      <c r="M23" s="225"/>
      <c r="N23" s="225"/>
      <c r="O23" s="20">
        <v>3325.1</v>
      </c>
      <c r="P23" s="20">
        <v>1</v>
      </c>
      <c r="Q23" s="120" t="str">
        <f>VLOOKUP(O23, '[1]لیست محصولات اردیبهشت ۱۴۰۳'!B:C,2,0)</f>
        <v>راتناگری | Ratnagiri</v>
      </c>
      <c r="R23" s="20"/>
      <c r="S23" s="119">
        <f>VLOOKUP(O23, '[1]لیست محصولات اردیبهشت ۱۴۰۳'!B:F,5,0)</f>
        <v>150</v>
      </c>
      <c r="T23" s="121">
        <f>VLOOKUP(O23, '[1]لیست محصولات اردیبهشت ۱۴۰۳'!B:G,6,0)</f>
        <v>4250000</v>
      </c>
      <c r="U23" s="122"/>
      <c r="V23" s="123">
        <f t="shared" si="1"/>
        <v>0</v>
      </c>
      <c r="W23" s="119">
        <f t="shared" si="2"/>
        <v>1</v>
      </c>
      <c r="X23" s="121">
        <f t="shared" si="3"/>
        <v>4250000</v>
      </c>
      <c r="Y23" s="124"/>
      <c r="Z23" s="121">
        <f t="shared" si="4"/>
        <v>4250000</v>
      </c>
      <c r="AA23" s="223"/>
      <c r="AB23" s="221"/>
      <c r="AC23" s="219"/>
      <c r="AD23" s="135"/>
      <c r="AE23" s="129"/>
      <c r="AF23" s="125"/>
      <c r="AH23" s="126" t="str">
        <f t="shared" si="6"/>
        <v xml:space="preserve">   -   </v>
      </c>
    </row>
    <row r="24" spans="1:34" s="32" customFormat="1" ht="22.35" customHeight="1">
      <c r="A24" s="116"/>
      <c r="B24" s="116"/>
      <c r="C24" s="116" t="b">
        <v>0</v>
      </c>
      <c r="D24" s="116"/>
      <c r="E24" s="116"/>
      <c r="F24" s="116"/>
      <c r="G24" s="134">
        <v>18</v>
      </c>
      <c r="H24" s="212" t="s">
        <v>676</v>
      </c>
      <c r="I24" s="134" t="s">
        <v>649</v>
      </c>
      <c r="J24" s="134"/>
      <c r="K24" s="118" t="str">
        <f t="shared" ca="1" si="0"/>
        <v/>
      </c>
      <c r="L24" s="224" t="s">
        <v>340</v>
      </c>
      <c r="M24" s="224" t="s">
        <v>682</v>
      </c>
      <c r="N24" s="224" t="s">
        <v>683</v>
      </c>
      <c r="O24" s="20">
        <v>5501.1</v>
      </c>
      <c r="P24" s="20">
        <v>1</v>
      </c>
      <c r="Q24" s="120" t="str">
        <f>VLOOKUP(O24, '[1]لیست محصولات اردیبهشت ۱۴۰۳'!B:C,2,0)</f>
        <v>ورتکس | Vortex</v>
      </c>
      <c r="R24" s="20"/>
      <c r="S24" s="119">
        <f>VLOOKUP(O24, '[1]لیست محصولات اردیبهشت ۱۴۰۳'!B:F,5,0)</f>
        <v>150</v>
      </c>
      <c r="T24" s="121">
        <f>VLOOKUP(O24, '[1]لیست محصولات اردیبهشت ۱۴۰۳'!B:G,6,0)</f>
        <v>2100000</v>
      </c>
      <c r="U24" s="122"/>
      <c r="V24" s="123">
        <f t="shared" si="1"/>
        <v>0</v>
      </c>
      <c r="W24" s="119">
        <f t="shared" si="2"/>
        <v>1</v>
      </c>
      <c r="X24" s="121">
        <f t="shared" si="3"/>
        <v>2100000</v>
      </c>
      <c r="Y24" s="124"/>
      <c r="Z24" s="121">
        <f t="shared" si="4"/>
        <v>2100000</v>
      </c>
      <c r="AA24" s="222" t="s">
        <v>79</v>
      </c>
      <c r="AB24" s="220" t="s">
        <v>684</v>
      </c>
      <c r="AC24" s="218" t="s">
        <v>685</v>
      </c>
      <c r="AD24" s="134" t="s">
        <v>99</v>
      </c>
      <c r="AE24" s="129"/>
      <c r="AF24" s="125"/>
      <c r="AH24" s="126" t="str">
        <f t="shared" si="6"/>
        <v>تهران ولنجک ثارالله کوچه نیلوفر پلاک 1 کافه تژ - نیما کُره ئی 09100218314</v>
      </c>
    </row>
    <row r="25" spans="1:34" s="32" customFormat="1" ht="22.35" customHeight="1">
      <c r="A25" s="116"/>
      <c r="B25" s="116"/>
      <c r="C25" s="116" t="b">
        <v>0</v>
      </c>
      <c r="D25" s="116"/>
      <c r="E25" s="116"/>
      <c r="F25" s="116"/>
      <c r="G25" s="146"/>
      <c r="H25" s="213"/>
      <c r="I25" s="146"/>
      <c r="J25" s="146"/>
      <c r="K25" s="118" t="str">
        <f t="shared" ca="1" si="0"/>
        <v/>
      </c>
      <c r="L25" s="226"/>
      <c r="M25" s="226"/>
      <c r="N25" s="226"/>
      <c r="O25" s="20">
        <v>3325.3</v>
      </c>
      <c r="P25" s="20">
        <v>1</v>
      </c>
      <c r="Q25" s="120" t="str">
        <f>VLOOKUP(O25, '[1]لیست محصولات اردیبهشت ۱۴۰۳'!B:C,2,0)</f>
        <v>راتناگری | Ratnagiri</v>
      </c>
      <c r="R25" s="20"/>
      <c r="S25" s="119">
        <f>VLOOKUP(O25, '[1]لیست محصولات اردیبهشت ۱۴۰۳'!B:F,5,0)</f>
        <v>40</v>
      </c>
      <c r="T25" s="121">
        <f>VLOOKUP(O25, '[1]لیست محصولات اردیبهشت ۱۴۰۳'!B:G,6,0)</f>
        <v>1250000</v>
      </c>
      <c r="U25" s="122"/>
      <c r="V25" s="123">
        <f t="shared" si="1"/>
        <v>0</v>
      </c>
      <c r="W25" s="119">
        <f t="shared" si="2"/>
        <v>1</v>
      </c>
      <c r="X25" s="121">
        <f t="shared" si="3"/>
        <v>1250000</v>
      </c>
      <c r="Y25" s="124"/>
      <c r="Z25" s="121">
        <f t="shared" si="4"/>
        <v>1250000</v>
      </c>
      <c r="AA25" s="229"/>
      <c r="AB25" s="228"/>
      <c r="AC25" s="227"/>
      <c r="AD25" s="146"/>
      <c r="AE25" s="129"/>
      <c r="AF25" s="125"/>
      <c r="AH25" s="126" t="str">
        <f t="shared" si="6"/>
        <v xml:space="preserve">   -   </v>
      </c>
    </row>
    <row r="26" spans="1:34" s="32" customFormat="1" ht="22.35" customHeight="1">
      <c r="A26" s="116"/>
      <c r="B26" s="116"/>
      <c r="C26" s="116"/>
      <c r="D26" s="116"/>
      <c r="E26" s="116"/>
      <c r="F26" s="116"/>
      <c r="G26" s="135"/>
      <c r="H26" s="214"/>
      <c r="I26" s="135"/>
      <c r="J26" s="135"/>
      <c r="K26" s="118" t="str">
        <f t="shared" ca="1" si="0"/>
        <v/>
      </c>
      <c r="L26" s="225"/>
      <c r="M26" s="225"/>
      <c r="N26" s="225"/>
      <c r="O26" s="20">
        <v>3326.3</v>
      </c>
      <c r="P26" s="20">
        <v>1</v>
      </c>
      <c r="Q26" s="120" t="str">
        <f>VLOOKUP(O26, '[1]لیست محصولات اردیبهشت ۱۴۰۳'!B:C,2,0)</f>
        <v>میاگروس | Milagros</v>
      </c>
      <c r="R26" s="20"/>
      <c r="S26" s="119">
        <f>VLOOKUP(O26, '[1]لیست محصولات اردیبهشت ۱۴۰۳'!B:F,5,0)</f>
        <v>40</v>
      </c>
      <c r="T26" s="121">
        <f>VLOOKUP(O26, '[1]لیست محصولات اردیبهشت ۱۴۰۳'!B:G,6,0)</f>
        <v>1100000</v>
      </c>
      <c r="U26" s="122"/>
      <c r="V26" s="123">
        <f t="shared" si="1"/>
        <v>0</v>
      </c>
      <c r="W26" s="119">
        <f t="shared" si="2"/>
        <v>1</v>
      </c>
      <c r="X26" s="121">
        <f t="shared" si="3"/>
        <v>1100000</v>
      </c>
      <c r="Y26" s="124"/>
      <c r="Z26" s="121">
        <f t="shared" si="4"/>
        <v>1100000</v>
      </c>
      <c r="AA26" s="223"/>
      <c r="AB26" s="221"/>
      <c r="AC26" s="219"/>
      <c r="AD26" s="135"/>
      <c r="AE26" s="129"/>
      <c r="AF26" s="125"/>
      <c r="AH26" s="126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66">
        <v>20</v>
      </c>
      <c r="H27" s="67"/>
      <c r="I27" s="66" t="s">
        <v>688</v>
      </c>
      <c r="J27" s="9" t="s">
        <v>76</v>
      </c>
      <c r="K27" s="11" t="str">
        <f t="shared" ca="1" si="0"/>
        <v/>
      </c>
      <c r="L27" s="12" t="s">
        <v>137</v>
      </c>
      <c r="M27" s="12" t="s">
        <v>138</v>
      </c>
      <c r="N27" s="12" t="s">
        <v>139</v>
      </c>
      <c r="O27" s="9">
        <v>5501.3</v>
      </c>
      <c r="P27" s="9">
        <v>2</v>
      </c>
      <c r="Q27" s="13" t="str">
        <f>VLOOKUP(O27, '[1]لیست محصولات اردیبهشت ۱۴۰۳'!B:C,2,0)</f>
        <v>ورتکس | Vortex</v>
      </c>
      <c r="R27" s="9"/>
      <c r="S27" s="12">
        <f>VLOOKUP(O27, '[1]لیست محصولات اردیبهشت ۱۴۰۳'!B:F,5,0)</f>
        <v>4000</v>
      </c>
      <c r="T27" s="14">
        <f>VLOOKUP(O27, '[1]لیست محصولات اردیبهشت ۱۴۰۳'!B:G,6,0)</f>
        <v>51200000</v>
      </c>
      <c r="U27" s="15"/>
      <c r="V27" s="16">
        <f t="shared" si="1"/>
        <v>0</v>
      </c>
      <c r="W27" s="12">
        <f t="shared" si="2"/>
        <v>2</v>
      </c>
      <c r="X27" s="14">
        <f t="shared" si="3"/>
        <v>102400000</v>
      </c>
      <c r="Y27" s="17"/>
      <c r="Z27" s="14">
        <f t="shared" si="4"/>
        <v>102400000</v>
      </c>
      <c r="AA27" s="18" t="s">
        <v>79</v>
      </c>
      <c r="AB27" s="13" t="s">
        <v>690</v>
      </c>
      <c r="AC27" s="19" t="s">
        <v>140</v>
      </c>
      <c r="AD27" s="20"/>
      <c r="AE27" s="68" t="s">
        <v>689</v>
      </c>
      <c r="AF27" s="21"/>
      <c r="AG27" s="22" t="str">
        <f t="shared" si="5"/>
        <v>TRUE</v>
      </c>
      <c r="AH27" s="23" t="str">
        <f t="shared" si="6"/>
        <v>تهران خیابان نیاوران -دزاشیب(کبیری) -خیابان رمضانی-نبش کوچه حسینی -پلاک ۷ کافه مدام - امیرحسین صدیقی 09123401445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>
        <v>21</v>
      </c>
      <c r="H28" s="10">
        <v>277515440754</v>
      </c>
      <c r="I28" s="9" t="s">
        <v>692</v>
      </c>
      <c r="J28" s="9"/>
      <c r="K28" s="11" t="str">
        <f t="shared" ca="1" si="0"/>
        <v/>
      </c>
      <c r="L28" s="12" t="s">
        <v>112</v>
      </c>
      <c r="M28" s="12" t="s">
        <v>693</v>
      </c>
      <c r="N28" s="12"/>
      <c r="O28" s="9">
        <v>3326.2</v>
      </c>
      <c r="P28" s="9">
        <v>1</v>
      </c>
      <c r="Q28" s="13" t="str">
        <f>VLOOKUP(O28, '[1]لیست محصولات اردیبهشت ۱۴۰۳'!B:C,2,0)</f>
        <v>میاگروس | Milagros</v>
      </c>
      <c r="R28" s="9"/>
      <c r="S28" s="12">
        <f>VLOOKUP(O28, '[1]لیست محصولات اردیبهشت ۱۴۰۳'!B:F,5,0)</f>
        <v>750</v>
      </c>
      <c r="T28" s="14">
        <f>VLOOKUP(O28, '[1]لیست محصولات اردیبهشت ۱۴۰۳'!B:G,6,0)</f>
        <v>18150000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18150000</v>
      </c>
      <c r="Y28" s="17"/>
      <c r="Z28" s="14">
        <f t="shared" si="4"/>
        <v>18150000</v>
      </c>
      <c r="AA28" s="18" t="s">
        <v>79</v>
      </c>
      <c r="AB28" s="13" t="s">
        <v>694</v>
      </c>
      <c r="AC28" s="19" t="s">
        <v>695</v>
      </c>
      <c r="AD28" s="20" t="s">
        <v>99</v>
      </c>
      <c r="AE28" s="19"/>
      <c r="AF28" s="21"/>
      <c r="AG28" s="22" t="str">
        <f t="shared" si="5"/>
        <v>TRUE</v>
      </c>
      <c r="AH28" s="23" t="str">
        <f t="shared" si="6"/>
        <v>تهران ظفر - خیابان همایون - کوچه صمدی - پلاک ۱۱ - واحد ۵  - محمدرضا پیغمبری 09127372602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3</v>
      </c>
      <c r="AI240" s="56">
        <f t="shared" si="19"/>
        <v>0</v>
      </c>
      <c r="AJ240" s="57">
        <f>AH240-AI240</f>
        <v>3</v>
      </c>
      <c r="AK240" s="58">
        <f t="shared" si="23"/>
        <v>0.45</v>
      </c>
      <c r="AL240" s="59">
        <f>AO240+AQ240-[2]Sheet1!$AH241</f>
        <v>0</v>
      </c>
      <c r="AM240" s="59">
        <f t="shared" si="25"/>
        <v>-3</v>
      </c>
      <c r="AN240" s="58">
        <f t="shared" si="21"/>
        <v>0</v>
      </c>
      <c r="AO240" s="59"/>
      <c r="AP240" s="58">
        <f t="shared" si="22"/>
        <v>-0.45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4</v>
      </c>
      <c r="AI241" s="56">
        <f t="shared" si="19"/>
        <v>0</v>
      </c>
      <c r="AJ241" s="57">
        <f t="shared" ref="AJ241:AJ264" si="27">AH241-AI241</f>
        <v>4</v>
      </c>
      <c r="AK241" s="58">
        <f>AH241*AG241/1000</f>
        <v>3</v>
      </c>
      <c r="AL241" s="59">
        <f>AO241+AQ241-[2]Sheet1!$AH242</f>
        <v>0</v>
      </c>
      <c r="AM241" s="59">
        <f t="shared" si="25"/>
        <v>-4</v>
      </c>
      <c r="AN241" s="58">
        <f t="shared" si="21"/>
        <v>0</v>
      </c>
      <c r="AO241" s="59"/>
      <c r="AP241" s="58">
        <f t="shared" si="22"/>
        <v>-3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22</v>
      </c>
      <c r="AI242" s="56">
        <f t="shared" si="19"/>
        <v>0</v>
      </c>
      <c r="AJ242" s="57">
        <f t="shared" si="27"/>
        <v>22</v>
      </c>
      <c r="AK242" s="58">
        <f t="shared" ref="AK242:AK267" si="28">AH242*AG242/1000</f>
        <v>88</v>
      </c>
      <c r="AL242" s="59">
        <f>AO242+AQ242-[2]Sheet1!$AH243</f>
        <v>0</v>
      </c>
      <c r="AM242" s="59">
        <f t="shared" si="25"/>
        <v>-22</v>
      </c>
      <c r="AN242" s="58">
        <f t="shared" si="21"/>
        <v>0</v>
      </c>
      <c r="AO242" s="59"/>
      <c r="AP242" s="58">
        <f t="shared" si="22"/>
        <v>-88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5</v>
      </c>
      <c r="AI252" s="56">
        <f t="shared" si="19"/>
        <v>0</v>
      </c>
      <c r="AJ252" s="57">
        <f t="shared" si="27"/>
        <v>5</v>
      </c>
      <c r="AK252" s="58">
        <f t="shared" si="28"/>
        <v>3.75</v>
      </c>
      <c r="AL252" s="59">
        <f>AO252+AQ252-[2]Sheet1!$AH253</f>
        <v>0</v>
      </c>
      <c r="AM252" s="59">
        <f t="shared" si="25"/>
        <v>-5</v>
      </c>
      <c r="AN252" s="58">
        <f t="shared" si="21"/>
        <v>0</v>
      </c>
      <c r="AO252" s="59"/>
      <c r="AP252" s="58">
        <f t="shared" si="22"/>
        <v>-3.75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3</v>
      </c>
      <c r="AI253" s="56">
        <f t="shared" si="19"/>
        <v>0</v>
      </c>
      <c r="AJ253" s="57">
        <f t="shared" si="27"/>
        <v>3</v>
      </c>
      <c r="AK253" s="58">
        <f t="shared" si="28"/>
        <v>0.45</v>
      </c>
      <c r="AL253" s="59">
        <f>AO253+AQ253-[2]Sheet1!$AH254</f>
        <v>0</v>
      </c>
      <c r="AM253" s="59">
        <f t="shared" si="25"/>
        <v>-3</v>
      </c>
      <c r="AN253" s="58">
        <f t="shared" si="21"/>
        <v>0</v>
      </c>
      <c r="AO253" s="59"/>
      <c r="AP253" s="58">
        <f t="shared" si="22"/>
        <v>-0.45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71">
    <mergeCell ref="M24:M26"/>
    <mergeCell ref="N24:N26"/>
    <mergeCell ref="AD24:AD26"/>
    <mergeCell ref="AC24:AC26"/>
    <mergeCell ref="AB24:AB26"/>
    <mergeCell ref="AA24:AA26"/>
    <mergeCell ref="G24:G26"/>
    <mergeCell ref="H24:H26"/>
    <mergeCell ref="I24:I26"/>
    <mergeCell ref="J24:J26"/>
    <mergeCell ref="L24:L26"/>
    <mergeCell ref="H22:H23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J22:J23"/>
    <mergeCell ref="I22:I23"/>
    <mergeCell ref="G14:G15"/>
    <mergeCell ref="AD14:AD15"/>
    <mergeCell ref="AA14:AA15"/>
    <mergeCell ref="AC14:AC15"/>
    <mergeCell ref="AB14:AB15"/>
    <mergeCell ref="M14:M15"/>
    <mergeCell ref="L14:L15"/>
    <mergeCell ref="J14:J15"/>
    <mergeCell ref="I14:I15"/>
    <mergeCell ref="H14:H15"/>
    <mergeCell ref="AD12:AD13"/>
    <mergeCell ref="AC12:AC13"/>
    <mergeCell ref="AB12:AB13"/>
    <mergeCell ref="AA12:AA13"/>
    <mergeCell ref="N14:N15"/>
    <mergeCell ref="G7:G8"/>
    <mergeCell ref="N12:N13"/>
    <mergeCell ref="M12:M13"/>
    <mergeCell ref="L12:L13"/>
    <mergeCell ref="J12:J13"/>
    <mergeCell ref="I12:I13"/>
    <mergeCell ref="H12:H13"/>
    <mergeCell ref="G12:G13"/>
    <mergeCell ref="M7:M8"/>
    <mergeCell ref="L7:L8"/>
    <mergeCell ref="J7:J8"/>
    <mergeCell ref="I7:I8"/>
    <mergeCell ref="H7:H8"/>
    <mergeCell ref="AB7:AB8"/>
    <mergeCell ref="AA7:AA8"/>
    <mergeCell ref="AC7:AC8"/>
    <mergeCell ref="AD7:AD8"/>
    <mergeCell ref="N7:N8"/>
    <mergeCell ref="AA5:AE5"/>
    <mergeCell ref="A1:B1"/>
    <mergeCell ref="C1:D1"/>
    <mergeCell ref="E1:F1"/>
    <mergeCell ref="U1:V1"/>
    <mergeCell ref="N2:N3"/>
    <mergeCell ref="M2:M3"/>
    <mergeCell ref="L2:L3"/>
    <mergeCell ref="J2:J3"/>
    <mergeCell ref="I2:I3"/>
    <mergeCell ref="H2:H3"/>
    <mergeCell ref="G2:G3"/>
    <mergeCell ref="AD2:AD3"/>
    <mergeCell ref="AC2:AC3"/>
    <mergeCell ref="AB2:AB3"/>
    <mergeCell ref="AA2:AA3"/>
  </mergeCells>
  <conditionalFormatting sqref="G2:J2 AD2 Z2:Z200 AD4 J4:J7 AD6:AD7 J9:J12 AD9:AD12 G11:I12 G14:J14 AD14 G16:J22 AD16:AD22 G24:J24 AD24 G27:J200 AD27:AD200">
    <cfRule type="expression" dxfId="39" priority="63">
      <formula>$A2</formula>
    </cfRule>
    <cfRule type="expression" dxfId="38" priority="65">
      <formula>$E2</formula>
    </cfRule>
  </conditionalFormatting>
  <conditionalFormatting sqref="G2:AF2 Q3:Z200 AA4:AF4 J4:J7 AA6:AF7 J9:J12 AA9:AF12 G11:I12 G14:P14 AA14:AF14 G16:P22 AA16:AF22 G24:P24 AA24:AF24 G27:P200 AA27:AF200 AE3:AF3 K3:K10 O3:P10 H4:H7 AA5 AF5 AE8:AF8 H9:H10 K11:P12 K13 O13:P13 AE13:AF13 K15 O15:P15 AE15:AF15 K23 O23:P23 AE23:AF23 K25:K26 O25:P26 AE25:AF26">
    <cfRule type="expression" dxfId="37" priority="64">
      <formula>$C2</formula>
    </cfRule>
  </conditionalFormatting>
  <conditionalFormatting sqref="W2:W200">
    <cfRule type="expression" dxfId="36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{64563628-BBCE-4B11-8E5E-519627545F3E}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{C4361545-E0AA-42BC-A2A6-2BB31A030D0C}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{D5579448-233D-4C5F-B5D1-1B6F7C515433}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{59DB9849-1308-4203-8022-903B258A28BF}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{EDFE9887-F8CC-440D-9997-3A7E8E90289D}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{326B42EC-B6B5-4973-898F-68B7B7EA847E}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{5EFC6D6E-2C55-46D4-8322-9C5BB4944ED3}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{B234164F-D198-4299-A089-143C1BC2F30B}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{3C603184-C278-4ED7-85EB-BE5EBAE3E420}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{33A10736-C592-406A-AE6F-F3E1E49A0215}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{4BE4D07E-2892-4EB1-A8C6-607A9D4E384E}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{6816D5CA-94F8-42CA-9597-4C3BC6E09D2C}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{59D2FDEE-37D5-4FD7-8EFB-EAB518467589}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{7F444335-5A93-4D27-BD9E-F2D6F11BFBEF}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{F60117FC-1932-4D91-9CE1-603D2E6C0A36}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{5B8960C0-C8C6-4FAC-AF82-52D50BFF3EAD}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{CA6BFA09-F3A4-4B62-9E08-EDD2B688B058}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{F7E6D136-8C43-41B0-A856-ABADE519E475}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{679FE81E-3D7F-4271-8065-133206BD3009}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{6C4B9253-CBA6-47DB-93E9-B84C2CAD1288}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{A9AF0D29-D938-4B0D-9A7E-88A916B9A0C0}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{1BE0C94B-14A6-4A45-986E-40E62D41FDA9}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{D0C43945-0D89-41DB-BD35-5725548A84AD}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{E6052A98-2B9F-4D5E-AD57-920AD3AD8137}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{F7AC5469-7380-4F6B-AA0D-3113C7061A33}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{5D601F06-D01A-46C0-AFD4-7C78C9913798}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{0F0FF8EC-C451-42CA-9D60-AC77A88D6926}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{15A7B452-4E85-4D01-A3B5-761C4A71F923}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{77731745-4BEE-4CD1-8385-30AD9E698FF1}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{F235A51E-BBB4-4CB7-9075-3AA71433DAC0}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{13DCDECE-47CD-4FF2-A5BB-20345252C4D6}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{118E3B63-D7DA-4245-A845-D407C7DA0C03}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{A0C5540D-9AC7-4443-A9DD-CF12F63A1287}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{0690BE5C-694D-4A8B-B978-BE673D7BD59C}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{29D455B8-79B5-420A-82D1-6069ADA04AE7}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{B73B0A08-1BCA-4C3F-A0C9-7D8A6B7A4099}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{BD0BA087-0822-4C5B-A1DB-F427E67EC7A4}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{98C7699C-9D24-4B1D-97B7-3C032B0A05AF}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{1EC40CB1-83D0-4B1A-874E-BCC6044861E1}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{EEEBCB7C-F893-4B46-8ED4-0568E8439C74}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{1B229267-CDC6-4C1A-ACF1-AA0F66E3C881}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{4EBACD79-AD87-4DE0-BA95-1F9CF4D4282A}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{07DF250F-3148-4753-83B3-53DAB1266271}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{DB34B7D2-4BF0-404E-ADC7-9F0CF27D685A}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{C258E9CB-CA6C-4C6F-B6A4-B1D6F6C3C569}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{0A1E6831-D722-4028-B6B8-8EF98B22E7C0}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{6085E100-D957-4214-803E-1052499FE0DE}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{1992B201-A4E6-4B54-84EE-25F1E3F398B3}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{376E47CD-50D2-4917-BF77-D062325EA137}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{B6D5B320-6A1F-4323-8CFF-B0AFD6AD0DEC}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{A6A8F90B-3E96-444E-B2A7-81563216B10C}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{AA4AA115-324B-4200-BE17-82184DF1FA09}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{5434F2B8-49D6-4A96-8B6B-4932A12030AE}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{CAB75733-A55A-48B2-8F65-5BBB2935B24C}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{616D0EA3-5DDC-4654-8E9C-56C604573BDA}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{D8E10E4C-30A3-464B-9C15-B699CB077530}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{6B439482-F101-4456-AEEB-B57AFE2E699B}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{2CC2F238-F038-48E8-9779-FDA3046EE63F}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{F7A0956A-1875-4FD9-9369-D8008CBBB146}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{F70660BB-1380-4B41-8A26-D6347604792D}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{7055ADBA-8191-4F07-B7FF-371077F24503}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563628-BBCE-4B11-8E5E-519627545F3E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C4361545-E0AA-42BC-A2A6-2BB31A030D0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D5579448-233D-4C5F-B5D1-1B6F7C515433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59DB9849-1308-4203-8022-903B258A28B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EDFE9887-F8CC-440D-9997-3A7E8E90289D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326B42EC-B6B5-4973-898F-68B7B7EA847E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5EFC6D6E-2C55-46D4-8322-9C5BB4944ED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B234164F-D198-4299-A089-143C1BC2F30B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3C603184-C278-4ED7-85EB-BE5EBAE3E420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33A10736-C592-406A-AE6F-F3E1E49A0215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4BE4D07E-2892-4EB1-A8C6-607A9D4E384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6816D5CA-94F8-42CA-9597-4C3BC6E09D2C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59D2FDEE-37D5-4FD7-8EFB-EAB518467589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7F444335-5A93-4D27-BD9E-F2D6F11BFBE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F60117FC-1932-4D91-9CE1-603D2E6C0A36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5B8960C0-C8C6-4FAC-AF82-52D50BFF3EAD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CA6BFA09-F3A4-4B62-9E08-EDD2B688B058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F7E6D136-8C43-41B0-A856-ABADE519E475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79FE81E-3D7F-4271-8065-133206BD300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C4B9253-CBA6-47DB-93E9-B84C2CAD1288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A9AF0D29-D938-4B0D-9A7E-88A916B9A0C0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1BE0C94B-14A6-4A45-986E-40E62D41FDA9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D0C43945-0D89-41DB-BD35-5725548A84AD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6052A98-2B9F-4D5E-AD57-920AD3AD813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F7AC5469-7380-4F6B-AA0D-3113C7061A33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5D601F06-D01A-46C0-AFD4-7C78C991379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0F0FF8EC-C451-42CA-9D60-AC77A88D6926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15A7B452-4E85-4D01-A3B5-761C4A71F923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77731745-4BEE-4CD1-8385-30AD9E698FF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F235A51E-BBB4-4CB7-9075-3AA71433DAC0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13DCDECE-47CD-4FF2-A5BB-20345252C4D6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118E3B63-D7DA-4245-A845-D407C7DA0C0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A0C5540D-9AC7-4443-A9DD-CF12F63A1287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0690BE5C-694D-4A8B-B978-BE673D7BD59C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9D455B8-79B5-420A-82D1-6069ADA04AE7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B73B0A08-1BCA-4C3F-A0C9-7D8A6B7A4099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BD0BA087-0822-4C5B-A1DB-F427E67EC7A4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98C7699C-9D24-4B1D-97B7-3C032B0A05AF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1EC40CB1-83D0-4B1A-874E-BCC6044861E1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EEBCB7C-F893-4B46-8ED4-0568E8439C74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1B229267-CDC6-4C1A-ACF1-AA0F66E3C881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4EBACD79-AD87-4DE0-BA95-1F9CF4D4282A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7DF250F-3148-4753-83B3-53DAB1266271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DB34B7D2-4BF0-404E-ADC7-9F0CF27D685A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258E9CB-CA6C-4C6F-B6A4-B1D6F6C3C56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0A1E6831-D722-4028-B6B8-8EF98B22E7C0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6085E100-D957-4214-803E-1052499FE0DE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1992B201-A4E6-4B54-84EE-25F1E3F398B3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376E47CD-50D2-4917-BF77-D062325EA137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B6D5B320-6A1F-4323-8CFF-B0AFD6AD0DEC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A6A8F90B-3E96-444E-B2A7-81563216B10C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AA4AA115-324B-4200-BE17-82184DF1FA09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434F2B8-49D6-4A96-8B6B-4932A12030A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CAB75733-A55A-48B2-8F65-5BBB2935B24C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616D0EA3-5DDC-4654-8E9C-56C604573BDA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D8E10E4C-30A3-464B-9C15-B699CB077530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6B439482-F101-4456-AEEB-B57AFE2E699B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2CC2F238-F038-48E8-9779-FDA3046EE63F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F7A0956A-1875-4FD9-9369-D8008CBBB146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F70660BB-1380-4B41-8A26-D6347604792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055ADBA-8191-4F07-B7FF-371077F2450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CFE5D6-604C-4DC3-A3CE-2C517E3BF740}">
  <dimension ref="A1:AR267"/>
  <sheetViews>
    <sheetView rightToLeft="1" topLeftCell="G55" zoomScale="70" zoomScaleNormal="70" workbookViewId="0">
      <selection activeCell="L71" sqref="L71:N71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21875" style="28" bestFit="1" customWidth="1"/>
    <col min="9" max="9" width="19.66406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33.4414062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7.88671875" style="24" bestFit="1" customWidth="1"/>
    <col min="29" max="29" width="15.77734375" style="31" bestFit="1" customWidth="1"/>
    <col min="30" max="30" width="13.6640625" style="32" bestFit="1" customWidth="1"/>
    <col min="31" max="31" width="50.21875" style="24" bestFit="1" customWidth="1"/>
    <col min="32" max="32" width="28.33203125" style="24" bestFit="1" customWidth="1"/>
    <col min="33" max="33" width="13.5546875" style="24" bestFit="1" customWidth="1"/>
    <col min="34" max="34" width="125.5546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1" t="s">
        <v>0</v>
      </c>
      <c r="B1" s="152"/>
      <c r="C1" s="151" t="s">
        <v>1</v>
      </c>
      <c r="D1" s="152"/>
      <c r="E1" s="151" t="s">
        <v>2</v>
      </c>
      <c r="F1" s="152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3" t="s">
        <v>17</v>
      </c>
      <c r="V1" s="154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66">
        <v>1</v>
      </c>
      <c r="H2" s="67" t="s">
        <v>83</v>
      </c>
      <c r="I2" s="66" t="s">
        <v>649</v>
      </c>
      <c r="J2" s="9" t="s">
        <v>76</v>
      </c>
      <c r="K2" s="11" t="str">
        <f t="shared" ref="K2:K65" ca="1" si="0">IF(C2, TODAY(), "" )</f>
        <v/>
      </c>
      <c r="L2" s="12" t="s">
        <v>84</v>
      </c>
      <c r="M2" s="12" t="s">
        <v>85</v>
      </c>
      <c r="N2" s="12" t="s">
        <v>86</v>
      </c>
      <c r="O2" s="9">
        <v>5511.2</v>
      </c>
      <c r="P2" s="9">
        <v>10</v>
      </c>
      <c r="Q2" s="13" t="str">
        <f>VLOOKUP(O2, '[1]لیست محصولات اردیبهشت ۱۴۰۳'!B:C,2,0)</f>
        <v>هامبلا | Hambella</v>
      </c>
      <c r="R2" s="9"/>
      <c r="S2" s="12">
        <f>VLOOKUP(O2, '[1]لیست محصولات اردیبهشت ۱۴۰۳'!B:F,5,0)</f>
        <v>750</v>
      </c>
      <c r="T2" s="14">
        <f>VLOOKUP(O2, '[1]لیست محصولات اردیبهشت ۱۴۰۳'!B:G,6,0)</f>
        <v>13350000</v>
      </c>
      <c r="U2" s="15"/>
      <c r="V2" s="16">
        <f t="shared" ref="V2:V65" si="1">IF(C2, P2, U2 )</f>
        <v>0</v>
      </c>
      <c r="W2" s="12">
        <f t="shared" ref="W2:W65" si="2">P2-V2</f>
        <v>10</v>
      </c>
      <c r="X2" s="14">
        <f t="shared" ref="X2:X65" si="3">P2*T2</f>
        <v>133500000</v>
      </c>
      <c r="Y2" s="17"/>
      <c r="Z2" s="14">
        <f t="shared" ref="Z2:Z65" si="4">X2-Y2</f>
        <v>133500000</v>
      </c>
      <c r="AA2" s="18" t="s">
        <v>79</v>
      </c>
      <c r="AB2" s="13" t="s">
        <v>70</v>
      </c>
      <c r="AC2" s="19" t="s">
        <v>88</v>
      </c>
      <c r="AD2" s="20"/>
      <c r="AE2" s="68" t="s">
        <v>696</v>
      </c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پرا - افشین امیری 09123060890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>
        <v>2</v>
      </c>
      <c r="H3" s="10">
        <v>277353364702</v>
      </c>
      <c r="I3" s="9" t="s">
        <v>649</v>
      </c>
      <c r="J3" s="9" t="s">
        <v>76</v>
      </c>
      <c r="K3" s="11" t="str">
        <f t="shared" ca="1" si="0"/>
        <v/>
      </c>
      <c r="L3" s="12" t="s">
        <v>433</v>
      </c>
      <c r="M3" s="12" t="s">
        <v>697</v>
      </c>
      <c r="N3" s="12" t="s">
        <v>698</v>
      </c>
      <c r="O3" s="9">
        <v>5511.22</v>
      </c>
      <c r="P3" s="9">
        <v>1</v>
      </c>
      <c r="Q3" s="69" t="str">
        <f>VLOOKUP(O3, '[1]لیست محصولات اردیبهشت ۱۴۰۳'!B:C,2,0)</f>
        <v>هامبلا(رست دمی) | Hambella( Filter Roast)</v>
      </c>
      <c r="R3" s="9"/>
      <c r="S3" s="12">
        <f>VLOOKUP(O3, '[1]لیست محصولات اردیبهشت ۱۴۰۳'!B:F,5,0)</f>
        <v>750</v>
      </c>
      <c r="T3" s="14">
        <f>VLOOKUP(O3, '[1]لیست محصولات اردیبهشت ۱۴۰۳'!B:G,6,0)</f>
        <v>13350000</v>
      </c>
      <c r="U3" s="15"/>
      <c r="V3" s="16">
        <f t="shared" si="1"/>
        <v>0</v>
      </c>
      <c r="W3" s="12">
        <f t="shared" si="2"/>
        <v>1</v>
      </c>
      <c r="X3" s="14">
        <f t="shared" si="3"/>
        <v>13350000</v>
      </c>
      <c r="Y3" s="17"/>
      <c r="Z3" s="14">
        <f t="shared" si="4"/>
        <v>13350000</v>
      </c>
      <c r="AA3" s="18" t="s">
        <v>79</v>
      </c>
      <c r="AB3" s="13" t="s">
        <v>699</v>
      </c>
      <c r="AC3" s="19" t="s">
        <v>700</v>
      </c>
      <c r="AD3" s="20" t="s">
        <v>99</v>
      </c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>تهران خیابان کریمخان خیابان سنایی پلاک 166 کافه طیف - مهدی گلی 09024342502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32">
        <v>3</v>
      </c>
      <c r="H4" s="130">
        <v>277363536816</v>
      </c>
      <c r="I4" s="132" t="s">
        <v>649</v>
      </c>
      <c r="J4" s="132"/>
      <c r="K4" s="11" t="str">
        <f t="shared" ca="1" si="0"/>
        <v/>
      </c>
      <c r="L4" s="142" t="s">
        <v>591</v>
      </c>
      <c r="M4" s="142" t="s">
        <v>701</v>
      </c>
      <c r="N4" s="142"/>
      <c r="O4" s="9">
        <v>1130.0999999999999</v>
      </c>
      <c r="P4" s="9">
        <v>1</v>
      </c>
      <c r="Q4" s="13" t="str">
        <f>VLOOKUP(O4, '[1]لیست محصولات اردیبهشت ۱۴۰۳'!B:C,2,0)</f>
        <v>الیدا پلانو | Elida Plano</v>
      </c>
      <c r="R4" s="9"/>
      <c r="S4" s="12">
        <f>VLOOKUP(O4, '[1]لیست محصولات اردیبهشت ۱۴۰۳'!B:F,5,0)</f>
        <v>80</v>
      </c>
      <c r="T4" s="14">
        <f>VLOOKUP(O4, '[1]لیست محصولات اردیبهشت ۱۴۰۳'!B:G,6,0)</f>
        <v>13100000</v>
      </c>
      <c r="U4" s="15"/>
      <c r="V4" s="16">
        <f t="shared" si="1"/>
        <v>0</v>
      </c>
      <c r="W4" s="12">
        <f t="shared" si="2"/>
        <v>1</v>
      </c>
      <c r="X4" s="14">
        <f t="shared" si="3"/>
        <v>13100000</v>
      </c>
      <c r="Y4" s="17"/>
      <c r="Z4" s="14">
        <f t="shared" si="4"/>
        <v>13100000</v>
      </c>
      <c r="AA4" s="140" t="s">
        <v>79</v>
      </c>
      <c r="AB4" s="138" t="s">
        <v>702</v>
      </c>
      <c r="AC4" s="136" t="s">
        <v>703</v>
      </c>
      <c r="AD4" s="134" t="s">
        <v>99</v>
      </c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ولنجک خ۲۶(برادران ابوطالبی)پلاک۳۲ واحد۲۱  - حسین سقائیان 09121229391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44"/>
      <c r="H5" s="150"/>
      <c r="I5" s="144"/>
      <c r="J5" s="144"/>
      <c r="K5" s="11" t="str">
        <f t="shared" ca="1" si="0"/>
        <v/>
      </c>
      <c r="L5" s="145"/>
      <c r="M5" s="145"/>
      <c r="N5" s="145"/>
      <c r="O5" s="9">
        <v>1125.0999999999999</v>
      </c>
      <c r="P5" s="9">
        <v>1</v>
      </c>
      <c r="Q5" s="13" t="str">
        <f>VLOOKUP(O5, '[1]لیست محصولات اردیبهشت ۱۴۰۳'!B:C,2,0)</f>
        <v>بنجامین دیانوس | Benjamin De Dianous</v>
      </c>
      <c r="R5" s="9"/>
      <c r="S5" s="12">
        <f>VLOOKUP(O5, '[1]لیست محصولات اردیبهشت ۱۴۰۳'!B:F,5,0)</f>
        <v>80</v>
      </c>
      <c r="T5" s="14">
        <f>VLOOKUP(O5, '[1]لیست محصولات اردیبهشت ۱۴۰۳'!B:G,6,0)</f>
        <v>11000000</v>
      </c>
      <c r="U5" s="15"/>
      <c r="V5" s="16">
        <f t="shared" si="1"/>
        <v>0</v>
      </c>
      <c r="W5" s="12">
        <f t="shared" si="2"/>
        <v>1</v>
      </c>
      <c r="X5" s="14">
        <f t="shared" si="3"/>
        <v>11000000</v>
      </c>
      <c r="Y5" s="17"/>
      <c r="Z5" s="14">
        <f t="shared" si="4"/>
        <v>11000000</v>
      </c>
      <c r="AA5" s="149"/>
      <c r="AB5" s="148"/>
      <c r="AC5" s="147"/>
      <c r="AD5" s="146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133"/>
      <c r="H6" s="131"/>
      <c r="I6" s="133"/>
      <c r="J6" s="133"/>
      <c r="K6" s="11" t="str">
        <f t="shared" ca="1" si="0"/>
        <v/>
      </c>
      <c r="L6" s="143"/>
      <c r="M6" s="143"/>
      <c r="N6" s="143"/>
      <c r="O6" s="9">
        <v>3325.1</v>
      </c>
      <c r="P6" s="9">
        <v>1</v>
      </c>
      <c r="Q6" s="13" t="str">
        <f>VLOOKUP(O6, '[1]لیست محصولات اردیبهشت ۱۴۰۳'!B:C,2,0)</f>
        <v>راتناگری | Ratnagiri</v>
      </c>
      <c r="R6" s="9"/>
      <c r="S6" s="12">
        <f>VLOOKUP(O6, '[1]لیست محصولات اردیبهشت ۱۴۰۳'!B:F,5,0)</f>
        <v>150</v>
      </c>
      <c r="T6" s="14">
        <f>VLOOKUP(O6, '[1]لیست محصولات اردیبهشت ۱۴۰۳'!B:G,6,0)</f>
        <v>4250000</v>
      </c>
      <c r="U6" s="15"/>
      <c r="V6" s="16">
        <f t="shared" si="1"/>
        <v>0</v>
      </c>
      <c r="W6" s="12">
        <f t="shared" si="2"/>
        <v>1</v>
      </c>
      <c r="X6" s="14">
        <f t="shared" si="3"/>
        <v>4250000</v>
      </c>
      <c r="Y6" s="17"/>
      <c r="Z6" s="14">
        <f t="shared" si="4"/>
        <v>4250000</v>
      </c>
      <c r="AA6" s="141"/>
      <c r="AB6" s="139"/>
      <c r="AC6" s="137"/>
      <c r="AD6" s="135"/>
      <c r="AE6" s="19"/>
      <c r="AF6" s="21"/>
      <c r="AG6" s="22" t="str">
        <f t="shared" si="5"/>
        <v>TRUE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32">
        <v>4</v>
      </c>
      <c r="H7" s="130">
        <v>277372163706</v>
      </c>
      <c r="I7" s="132" t="s">
        <v>649</v>
      </c>
      <c r="J7" s="132"/>
      <c r="K7" s="11" t="str">
        <f t="shared" ca="1" si="0"/>
        <v/>
      </c>
      <c r="L7" s="142" t="s">
        <v>704</v>
      </c>
      <c r="M7" s="142" t="s">
        <v>705</v>
      </c>
      <c r="N7" s="142"/>
      <c r="O7" s="9">
        <v>5522.2</v>
      </c>
      <c r="P7" s="9">
        <v>1</v>
      </c>
      <c r="Q7" s="13" t="str">
        <f>VLOOKUP(O7, '[1]لیست محصولات اردیبهشت ۱۴۰۳'!B:C,2,0)</f>
        <v>تامارا | Tamara</v>
      </c>
      <c r="R7" s="9"/>
      <c r="S7" s="12">
        <f>VLOOKUP(O7, '[1]لیست محصولات اردیبهشت ۱۴۰۳'!B:F,5,0)</f>
        <v>750</v>
      </c>
      <c r="T7" s="14">
        <f>VLOOKUP(O7, '[1]لیست محصولات اردیبهشت ۱۴۰۳'!B:G,6,0)</f>
        <v>12450000</v>
      </c>
      <c r="U7" s="26"/>
      <c r="V7" s="16">
        <f t="shared" si="1"/>
        <v>0</v>
      </c>
      <c r="W7" s="12">
        <f t="shared" si="2"/>
        <v>1</v>
      </c>
      <c r="X7" s="14">
        <f t="shared" si="3"/>
        <v>12450000</v>
      </c>
      <c r="Y7" s="17"/>
      <c r="Z7" s="14">
        <f t="shared" si="4"/>
        <v>12450000</v>
      </c>
      <c r="AA7" s="140" t="s">
        <v>187</v>
      </c>
      <c r="AB7" s="138" t="s">
        <v>706</v>
      </c>
      <c r="AC7" s="136" t="s">
        <v>707</v>
      </c>
      <c r="AD7" s="134"/>
      <c r="AE7" s="19"/>
      <c r="AF7" s="21"/>
      <c r="AG7" s="22" t="str">
        <f t="shared" si="5"/>
        <v>TRUE</v>
      </c>
      <c r="AH7" s="23" t="str">
        <f t="shared" si="6"/>
        <v>کرمان محله طاهر آباد. بلوار امام حسن. کوچه شماره 4. مجتمع نیاوران. بلوک E. طبقه ششم. واحد 25  - حمید عسکرپور کبیر 09132417181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33"/>
      <c r="H8" s="131"/>
      <c r="I8" s="133"/>
      <c r="J8" s="133"/>
      <c r="K8" s="11" t="str">
        <f t="shared" ca="1" si="0"/>
        <v/>
      </c>
      <c r="L8" s="143"/>
      <c r="M8" s="143"/>
      <c r="N8" s="143"/>
      <c r="O8" s="9">
        <v>5511.22</v>
      </c>
      <c r="P8" s="9">
        <v>1</v>
      </c>
      <c r="Q8" s="69" t="str">
        <f>VLOOKUP(O8, '[1]لیست محصولات اردیبهشت ۱۴۰۳'!B:C,2,0)</f>
        <v>هامبلا(رست دمی) | Hambella( Filter Roast)</v>
      </c>
      <c r="R8" s="9"/>
      <c r="S8" s="12">
        <f>VLOOKUP(O8, '[1]لیست محصولات اردیبهشت ۱۴۰۳'!B:F,5,0)</f>
        <v>750</v>
      </c>
      <c r="T8" s="14">
        <f>VLOOKUP(O8, '[1]لیست محصولات اردیبهشت ۱۴۰۳'!B:G,6,0)</f>
        <v>13350000</v>
      </c>
      <c r="U8" s="15"/>
      <c r="V8" s="16">
        <f t="shared" si="1"/>
        <v>0</v>
      </c>
      <c r="W8" s="12">
        <f t="shared" si="2"/>
        <v>1</v>
      </c>
      <c r="X8" s="14">
        <f t="shared" si="3"/>
        <v>13350000</v>
      </c>
      <c r="Y8" s="17"/>
      <c r="Z8" s="14">
        <f t="shared" si="4"/>
        <v>13350000</v>
      </c>
      <c r="AA8" s="141"/>
      <c r="AB8" s="139"/>
      <c r="AC8" s="137"/>
      <c r="AD8" s="135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>
        <v>5</v>
      </c>
      <c r="H9" s="10">
        <v>277398262739</v>
      </c>
      <c r="I9" s="25" t="s">
        <v>649</v>
      </c>
      <c r="J9" s="9"/>
      <c r="K9" s="11" t="str">
        <f t="shared" ca="1" si="0"/>
        <v/>
      </c>
      <c r="L9" s="27" t="s">
        <v>286</v>
      </c>
      <c r="M9" s="12" t="s">
        <v>708</v>
      </c>
      <c r="N9" s="12"/>
      <c r="O9" s="9">
        <v>5522.1</v>
      </c>
      <c r="P9" s="9">
        <v>1</v>
      </c>
      <c r="Q9" s="13" t="str">
        <f>VLOOKUP(O9, '[1]لیست محصولات اردیبهشت ۱۴۰۳'!B:C,2,0)</f>
        <v>تامارا | Tamara</v>
      </c>
      <c r="R9" s="9" t="s">
        <v>326</v>
      </c>
      <c r="S9" s="12">
        <f>VLOOKUP(O9, '[1]لیست محصولات اردیبهشت ۱۴۰۳'!B:F,5,0)</f>
        <v>150</v>
      </c>
      <c r="T9" s="14">
        <f>VLOOKUP(O9, '[1]لیست محصولات اردیبهشت ۱۴۰۳'!B:G,6,0)</f>
        <v>2600000</v>
      </c>
      <c r="U9" s="15"/>
      <c r="V9" s="16">
        <f t="shared" si="1"/>
        <v>0</v>
      </c>
      <c r="W9" s="12">
        <f t="shared" si="2"/>
        <v>1</v>
      </c>
      <c r="X9" s="14">
        <f t="shared" si="3"/>
        <v>2600000</v>
      </c>
      <c r="Y9" s="17"/>
      <c r="Z9" s="14">
        <f t="shared" si="4"/>
        <v>2600000</v>
      </c>
      <c r="AA9" s="18" t="s">
        <v>212</v>
      </c>
      <c r="AB9" s="13" t="s">
        <v>709</v>
      </c>
      <c r="AC9" s="19" t="s">
        <v>710</v>
      </c>
      <c r="AD9" s="20"/>
      <c r="AE9" s="19"/>
      <c r="AF9" s="21"/>
      <c r="AG9" s="22" t="str">
        <f t="shared" si="5"/>
        <v>TRUE</v>
      </c>
      <c r="AH9" s="23" t="str">
        <f t="shared" si="6"/>
        <v>قم سالاریه / خیابان یاسمن / پلاک ۱۷۲  - علی برقعی 09397988901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>
        <v>6</v>
      </c>
      <c r="H10" s="10">
        <v>277405509971</v>
      </c>
      <c r="I10" s="25" t="s">
        <v>649</v>
      </c>
      <c r="J10" s="9"/>
      <c r="K10" s="11" t="str">
        <f t="shared" ca="1" si="0"/>
        <v/>
      </c>
      <c r="L10" s="27" t="s">
        <v>711</v>
      </c>
      <c r="M10" s="27" t="s">
        <v>712</v>
      </c>
      <c r="N10" s="12"/>
      <c r="O10" s="9">
        <v>5511.2</v>
      </c>
      <c r="P10" s="9">
        <v>1</v>
      </c>
      <c r="Q10" s="13" t="str">
        <f>VLOOKUP(O10, '[1]لیست محصولات اردیبهشت ۱۴۰۳'!B:C,2,0)</f>
        <v>هامبلا | Hambella</v>
      </c>
      <c r="R10" s="9" t="s">
        <v>102</v>
      </c>
      <c r="S10" s="12">
        <f>VLOOKUP(O10, '[1]لیست محصولات اردیبهشت ۱۴۰۳'!B:F,5,0)</f>
        <v>750</v>
      </c>
      <c r="T10" s="14">
        <f>VLOOKUP(O10, '[1]لیست محصولات اردیبهشت ۱۴۰۳'!B:G,6,0)</f>
        <v>13350000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13350000</v>
      </c>
      <c r="Y10" s="17"/>
      <c r="Z10" s="14">
        <f t="shared" si="4"/>
        <v>13350000</v>
      </c>
      <c r="AA10" s="18" t="s">
        <v>250</v>
      </c>
      <c r="AB10" s="13" t="s">
        <v>713</v>
      </c>
      <c r="AC10" s="19" t="s">
        <v>714</v>
      </c>
      <c r="AD10" s="20"/>
      <c r="AE10" s="19"/>
      <c r="AF10" s="21"/>
      <c r="AG10" s="22" t="str">
        <f t="shared" si="5"/>
        <v>TRUE</v>
      </c>
      <c r="AH10" s="23" t="str">
        <f t="shared" si="6"/>
        <v>کرج مهرويلا رودكى غربى بين سعدى و عطار پلاك ٢٥٤ واحد ٦  - نیلوفر سعیدی 09165804245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55">
        <v>7</v>
      </c>
      <c r="H11" s="157"/>
      <c r="I11" s="155" t="s">
        <v>649</v>
      </c>
      <c r="J11" s="132" t="s">
        <v>76</v>
      </c>
      <c r="K11" s="11" t="str">
        <f t="shared" ca="1" si="0"/>
        <v/>
      </c>
      <c r="L11" s="142" t="s">
        <v>112</v>
      </c>
      <c r="M11" s="142" t="s">
        <v>113</v>
      </c>
      <c r="N11" s="142" t="s">
        <v>715</v>
      </c>
      <c r="O11" s="9">
        <v>5511.3</v>
      </c>
      <c r="P11" s="9">
        <v>2</v>
      </c>
      <c r="Q11" s="13" t="str">
        <f>VLOOKUP(O11, '[1]لیست محصولات اردیبهشت ۱۴۰۳'!B:C,2,0)</f>
        <v>هامبلا | Hambella</v>
      </c>
      <c r="R11" s="9"/>
      <c r="S11" s="12">
        <f>VLOOKUP(O11, '[1]لیست محصولات اردیبهشت ۱۴۰۳'!B:F,5,0)</f>
        <v>4000</v>
      </c>
      <c r="T11" s="14">
        <f>VLOOKUP(O11, '[1]لیست محصولات اردیبهشت ۱۴۰۳'!B:G,6,0)</f>
        <v>69600000</v>
      </c>
      <c r="U11" s="15"/>
      <c r="V11" s="16">
        <f t="shared" si="1"/>
        <v>0</v>
      </c>
      <c r="W11" s="12">
        <f t="shared" si="2"/>
        <v>2</v>
      </c>
      <c r="X11" s="14">
        <f t="shared" si="3"/>
        <v>139200000</v>
      </c>
      <c r="Y11" s="17"/>
      <c r="Z11" s="14">
        <f t="shared" si="4"/>
        <v>139200000</v>
      </c>
      <c r="AA11" s="140" t="s">
        <v>79</v>
      </c>
      <c r="AB11" s="138" t="s">
        <v>70</v>
      </c>
      <c r="AC11" s="136" t="s">
        <v>716</v>
      </c>
      <c r="AD11" s="134"/>
      <c r="AE11" s="19"/>
      <c r="AF11" s="21"/>
      <c r="AG11" s="22" t="str">
        <f t="shared" si="5"/>
        <v>TRUE</v>
      </c>
      <c r="AH11" s="23" t="str">
        <f t="shared" si="6"/>
        <v>تهران - ویکافه - محمدرضا جلدی 09051534303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64"/>
      <c r="H12" s="165"/>
      <c r="I12" s="164"/>
      <c r="J12" s="144"/>
      <c r="K12" s="11" t="str">
        <f t="shared" ca="1" si="0"/>
        <v/>
      </c>
      <c r="L12" s="145"/>
      <c r="M12" s="145"/>
      <c r="N12" s="145"/>
      <c r="O12" s="9">
        <v>5511.1</v>
      </c>
      <c r="P12" s="9">
        <v>6</v>
      </c>
      <c r="Q12" s="13" t="str">
        <f>VLOOKUP(O12, '[1]لیست محصولات اردیبهشت ۱۴۰۳'!B:C,2,0)</f>
        <v>هامبلا | Hambella</v>
      </c>
      <c r="R12" s="9"/>
      <c r="S12" s="12">
        <f>VLOOKUP(O12, '[1]لیست محصولات اردیبهشت ۱۴۰۳'!B:F,5,0)</f>
        <v>150</v>
      </c>
      <c r="T12" s="14">
        <f>VLOOKUP(O12, '[1]لیست محصولات اردیبهشت ۱۴۰۳'!B:G,6,0)</f>
        <v>2800000</v>
      </c>
      <c r="U12" s="15"/>
      <c r="V12" s="16">
        <f t="shared" si="1"/>
        <v>0</v>
      </c>
      <c r="W12" s="12">
        <f t="shared" si="2"/>
        <v>6</v>
      </c>
      <c r="X12" s="14">
        <f t="shared" si="3"/>
        <v>16800000</v>
      </c>
      <c r="Y12" s="17"/>
      <c r="Z12" s="14">
        <f t="shared" si="4"/>
        <v>16800000</v>
      </c>
      <c r="AA12" s="149"/>
      <c r="AB12" s="148"/>
      <c r="AC12" s="147"/>
      <c r="AD12" s="146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164"/>
      <c r="H13" s="165"/>
      <c r="I13" s="164"/>
      <c r="J13" s="144"/>
      <c r="K13" s="11" t="str">
        <f t="shared" ca="1" si="0"/>
        <v/>
      </c>
      <c r="L13" s="145"/>
      <c r="M13" s="145"/>
      <c r="N13" s="145"/>
      <c r="O13" s="9">
        <v>5522.1</v>
      </c>
      <c r="P13" s="9">
        <v>6</v>
      </c>
      <c r="Q13" s="13" t="str">
        <f>VLOOKUP(O13, '[1]لیست محصولات اردیبهشت ۱۴۰۳'!B:C,2,0)</f>
        <v>تامارا | Tamara</v>
      </c>
      <c r="R13" s="9"/>
      <c r="S13" s="12">
        <f>VLOOKUP(O13, '[1]لیست محصولات اردیبهشت ۱۴۰۳'!B:F,5,0)</f>
        <v>150</v>
      </c>
      <c r="T13" s="14">
        <f>VLOOKUP(O13, '[1]لیست محصولات اردیبهشت ۱۴۰۳'!B:G,6,0)</f>
        <v>2600000</v>
      </c>
      <c r="U13" s="26"/>
      <c r="V13" s="16">
        <f t="shared" si="1"/>
        <v>0</v>
      </c>
      <c r="W13" s="12">
        <f t="shared" si="2"/>
        <v>6</v>
      </c>
      <c r="X13" s="14">
        <f t="shared" si="3"/>
        <v>15600000</v>
      </c>
      <c r="Y13" s="17"/>
      <c r="Z13" s="14">
        <f t="shared" si="4"/>
        <v>15600000</v>
      </c>
      <c r="AA13" s="149"/>
      <c r="AB13" s="148"/>
      <c r="AC13" s="147"/>
      <c r="AD13" s="146"/>
      <c r="AE13" s="19"/>
      <c r="AF13" s="21"/>
      <c r="AG13" s="22" t="str">
        <f t="shared" si="5"/>
        <v>TRUE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64"/>
      <c r="H14" s="165"/>
      <c r="I14" s="164"/>
      <c r="J14" s="144"/>
      <c r="K14" s="11" t="str">
        <f t="shared" ca="1" si="0"/>
        <v/>
      </c>
      <c r="L14" s="145"/>
      <c r="M14" s="145"/>
      <c r="N14" s="145"/>
      <c r="O14" s="9">
        <v>3326.1</v>
      </c>
      <c r="P14" s="9">
        <v>1</v>
      </c>
      <c r="Q14" s="13" t="str">
        <f>VLOOKUP(O14, '[1]لیست محصولات اردیبهشت ۱۴۰۳'!B:C,2,0)</f>
        <v>میاگروس | Milagros</v>
      </c>
      <c r="R14" s="9"/>
      <c r="S14" s="12">
        <f>VLOOKUP(O14, '[1]لیست محصولات اردیبهشت ۱۴۰۳'!B:F,5,0)</f>
        <v>150</v>
      </c>
      <c r="T14" s="14">
        <f>VLOOKUP(O14, '[1]لیست محصولات اردیبهشت ۱۴۰۳'!B:G,6,0)</f>
        <v>3750000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3750000</v>
      </c>
      <c r="Y14" s="17"/>
      <c r="Z14" s="14">
        <f t="shared" si="4"/>
        <v>3750000</v>
      </c>
      <c r="AA14" s="149"/>
      <c r="AB14" s="148"/>
      <c r="AC14" s="147"/>
      <c r="AD14" s="146"/>
      <c r="AE14" s="19"/>
      <c r="AF14" s="21"/>
      <c r="AG14" s="22" t="str">
        <f t="shared" si="5"/>
        <v>TRUE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156"/>
      <c r="H15" s="158"/>
      <c r="I15" s="156"/>
      <c r="J15" s="133"/>
      <c r="K15" s="11" t="str">
        <f t="shared" ca="1" si="0"/>
        <v/>
      </c>
      <c r="L15" s="143"/>
      <c r="M15" s="143"/>
      <c r="N15" s="143"/>
      <c r="O15" s="9">
        <v>3326.2</v>
      </c>
      <c r="P15" s="9">
        <v>2</v>
      </c>
      <c r="Q15" s="13" t="str">
        <f>VLOOKUP(O15, '[1]لیست محصولات اردیبهشت ۱۴۰۳'!B:C,2,0)</f>
        <v>میاگروس | Milagros</v>
      </c>
      <c r="R15" s="9"/>
      <c r="S15" s="12">
        <f>VLOOKUP(O15, '[1]لیست محصولات اردیبهشت ۱۴۰۳'!B:F,5,0)</f>
        <v>750</v>
      </c>
      <c r="T15" s="14">
        <f>VLOOKUP(O15, '[1]لیست محصولات اردیبهشت ۱۴۰۳'!B:G,6,0)</f>
        <v>18150000</v>
      </c>
      <c r="U15" s="15"/>
      <c r="V15" s="16">
        <f t="shared" si="1"/>
        <v>0</v>
      </c>
      <c r="W15" s="12">
        <f t="shared" si="2"/>
        <v>2</v>
      </c>
      <c r="X15" s="14">
        <f t="shared" si="3"/>
        <v>36300000</v>
      </c>
      <c r="Y15" s="17"/>
      <c r="Z15" s="14">
        <f t="shared" si="4"/>
        <v>36300000</v>
      </c>
      <c r="AA15" s="141"/>
      <c r="AB15" s="139"/>
      <c r="AC15" s="137"/>
      <c r="AD15" s="135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8</v>
      </c>
      <c r="H16" s="10">
        <v>277432592500</v>
      </c>
      <c r="I16" s="9" t="s">
        <v>688</v>
      </c>
      <c r="J16" s="9"/>
      <c r="K16" s="11" t="str">
        <f t="shared" ca="1" si="0"/>
        <v/>
      </c>
      <c r="L16" s="12" t="s">
        <v>717</v>
      </c>
      <c r="M16" s="12" t="s">
        <v>718</v>
      </c>
      <c r="N16" s="12"/>
      <c r="O16" s="9">
        <v>1125.0999999999999</v>
      </c>
      <c r="P16" s="9">
        <v>1</v>
      </c>
      <c r="Q16" s="13" t="str">
        <f>VLOOKUP(O16, '[1]لیست محصولات اردیبهشت ۱۴۰۳'!B:C,2,0)</f>
        <v>بنجامین دیانوس | Benjamin De Dianous</v>
      </c>
      <c r="R16" s="9" t="s">
        <v>102</v>
      </c>
      <c r="S16" s="12">
        <f>VLOOKUP(O16, '[1]لیست محصولات اردیبهشت ۱۴۰۳'!B:F,5,0)</f>
        <v>80</v>
      </c>
      <c r="T16" s="14">
        <f>VLOOKUP(O16, '[1]لیست محصولات اردیبهشت ۱۴۰۳'!B:G,6,0)</f>
        <v>11000000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11000000</v>
      </c>
      <c r="Y16" s="17"/>
      <c r="Z16" s="14">
        <f t="shared" si="4"/>
        <v>11000000</v>
      </c>
      <c r="AA16" s="18" t="s">
        <v>79</v>
      </c>
      <c r="AB16" s="13" t="s">
        <v>719</v>
      </c>
      <c r="AC16" s="19" t="s">
        <v>720</v>
      </c>
      <c r="AD16" s="20" t="s">
        <v>99</v>
      </c>
      <c r="AE16" s="19"/>
      <c r="AF16" s="21"/>
      <c r="AG16" s="22" t="str">
        <f t="shared" si="5"/>
        <v>TRUE</v>
      </c>
      <c r="AH16" s="23" t="str">
        <f t="shared" si="6"/>
        <v>تهران خیابان ونک،تقاطع آرارات جنوبی،روبروی درب کلانتری ۱۴۵ونک،مجتمع ایران سکناB طبقه دوم واحد۲۱۴  - نازی منوری 09379158898</v>
      </c>
    </row>
    <row r="17" spans="1:34" ht="22.35" customHeight="1">
      <c r="A17" s="7"/>
      <c r="B17" s="7"/>
      <c r="C17" s="7"/>
      <c r="D17" s="7"/>
      <c r="E17" s="7"/>
      <c r="F17" s="8"/>
      <c r="G17" s="9">
        <v>9</v>
      </c>
      <c r="H17" s="10">
        <v>277439182865</v>
      </c>
      <c r="I17" s="9" t="s">
        <v>688</v>
      </c>
      <c r="J17" s="9"/>
      <c r="K17" s="11" t="str">
        <f t="shared" ca="1" si="0"/>
        <v/>
      </c>
      <c r="L17" s="12" t="s">
        <v>112</v>
      </c>
      <c r="M17" s="12" t="s">
        <v>721</v>
      </c>
      <c r="N17" s="12"/>
      <c r="O17" s="9">
        <v>5511.3</v>
      </c>
      <c r="P17" s="9">
        <v>1</v>
      </c>
      <c r="Q17" s="13" t="str">
        <f>VLOOKUP(O17, '[1]لیست محصولات اردیبهشت ۱۴۰۳'!B:C,2,0)</f>
        <v>هامبلا | Hambella</v>
      </c>
      <c r="R17" s="9"/>
      <c r="S17" s="12">
        <f>VLOOKUP(O17, '[1]لیست محصولات اردیبهشت ۱۴۰۳'!B:F,5,0)</f>
        <v>4000</v>
      </c>
      <c r="T17" s="14">
        <f>VLOOKUP(O17, '[1]لیست محصولات اردیبهشت ۱۴۰۳'!B:G,6,0)</f>
        <v>69600000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69600000</v>
      </c>
      <c r="Y17" s="17"/>
      <c r="Z17" s="14">
        <f t="shared" si="4"/>
        <v>69600000</v>
      </c>
      <c r="AA17" s="18" t="s">
        <v>722</v>
      </c>
      <c r="AB17" s="13" t="s">
        <v>723</v>
      </c>
      <c r="AC17" s="19" t="s">
        <v>724</v>
      </c>
      <c r="AD17" s="20"/>
      <c r="AE17" s="19"/>
      <c r="AF17" s="21"/>
      <c r="AG17" s="22" t="str">
        <f t="shared" si="5"/>
        <v>TRUE</v>
      </c>
      <c r="AH17" s="23" t="str">
        <f t="shared" si="6"/>
        <v>رفسنجان  خيابان مدرس - خيابان المپيك - كوچه جامي 4 پلاك 138  - محمدرضا شمسی نژاد 09132918423</v>
      </c>
    </row>
    <row r="18" spans="1:34" ht="22.35" customHeight="1">
      <c r="A18" s="7"/>
      <c r="B18" s="7"/>
      <c r="C18" s="7"/>
      <c r="D18" s="7"/>
      <c r="E18" s="7"/>
      <c r="F18" s="8"/>
      <c r="G18" s="9">
        <v>10</v>
      </c>
      <c r="H18" s="10">
        <v>277439317878</v>
      </c>
      <c r="I18" s="9" t="s">
        <v>688</v>
      </c>
      <c r="J18" s="9"/>
      <c r="K18" s="11" t="str">
        <f t="shared" ca="1" si="0"/>
        <v/>
      </c>
      <c r="L18" s="12" t="s">
        <v>170</v>
      </c>
      <c r="M18" s="12" t="s">
        <v>725</v>
      </c>
      <c r="N18" s="12" t="s">
        <v>726</v>
      </c>
      <c r="O18" s="9">
        <v>5501.1</v>
      </c>
      <c r="P18" s="9">
        <v>4</v>
      </c>
      <c r="Q18" s="13" t="str">
        <f>VLOOKUP(O18, '[1]لیست محصولات اردیبهشت ۱۴۰۳'!B:C,2,0)</f>
        <v>ورتکس | Vortex</v>
      </c>
      <c r="R18" s="9" t="s">
        <v>727</v>
      </c>
      <c r="S18" s="12">
        <f>VLOOKUP(O18, '[1]لیست محصولات اردیبهشت ۱۴۰۳'!B:F,5,0)</f>
        <v>150</v>
      </c>
      <c r="T18" s="14">
        <f>VLOOKUP(O18, '[1]لیست محصولات اردیبهشت ۱۴۰۳'!B:G,6,0)</f>
        <v>2100000</v>
      </c>
      <c r="U18" s="15"/>
      <c r="V18" s="16">
        <f t="shared" si="1"/>
        <v>0</v>
      </c>
      <c r="W18" s="12">
        <f t="shared" si="2"/>
        <v>4</v>
      </c>
      <c r="X18" s="14">
        <f t="shared" si="3"/>
        <v>8400000</v>
      </c>
      <c r="Y18" s="17"/>
      <c r="Z18" s="14">
        <f t="shared" si="4"/>
        <v>8400000</v>
      </c>
      <c r="AA18" s="18" t="s">
        <v>250</v>
      </c>
      <c r="AB18" s="13" t="s">
        <v>729</v>
      </c>
      <c r="AC18" s="19" t="s">
        <v>728</v>
      </c>
      <c r="AD18" s="20"/>
      <c r="AE18" s="19"/>
      <c r="AF18" s="21"/>
      <c r="AG18" s="22" t="str">
        <f t="shared" si="5"/>
        <v>TRUE</v>
      </c>
      <c r="AH18" s="23" t="str">
        <f t="shared" si="6"/>
        <v>کرج جهانشهر بلوار مولانا خیابان ابو علی سینا بین بن بست دوم و چهارم * تحویل بعد از ساعت 12 ظهر* کافه رستوران دونو - حسام زارع رفیع 09939117838</v>
      </c>
    </row>
    <row r="19" spans="1:34" ht="22.35" customHeight="1">
      <c r="A19" s="7"/>
      <c r="B19" s="7"/>
      <c r="C19" s="7"/>
      <c r="D19" s="7"/>
      <c r="E19" s="7"/>
      <c r="F19" s="8"/>
      <c r="G19" s="9">
        <v>11</v>
      </c>
      <c r="H19" s="10">
        <v>55159146101</v>
      </c>
      <c r="I19" s="9" t="s">
        <v>688</v>
      </c>
      <c r="J19" s="9"/>
      <c r="K19" s="11" t="str">
        <f t="shared" ca="1" si="0"/>
        <v/>
      </c>
      <c r="L19" s="12" t="s">
        <v>112</v>
      </c>
      <c r="M19" s="12" t="s">
        <v>730</v>
      </c>
      <c r="N19" s="12" t="s">
        <v>731</v>
      </c>
      <c r="O19" s="9">
        <v>3326.1</v>
      </c>
      <c r="P19" s="9">
        <v>2</v>
      </c>
      <c r="Q19" s="13" t="str">
        <f>VLOOKUP(O19, '[1]لیست محصولات اردیبهشت ۱۴۰۳'!B:C,2,0)</f>
        <v>میاگروس | Milagros</v>
      </c>
      <c r="R19" s="9"/>
      <c r="S19" s="12">
        <f>VLOOKUP(O19, '[1]لیست محصولات اردیبهشت ۱۴۰۳'!B:F,5,0)</f>
        <v>150</v>
      </c>
      <c r="T19" s="14">
        <f>VLOOKUP(O19, '[1]لیست محصولات اردیبهشت ۱۴۰۳'!B:G,6,0)</f>
        <v>3750000</v>
      </c>
      <c r="U19" s="15"/>
      <c r="V19" s="16">
        <f t="shared" si="1"/>
        <v>0</v>
      </c>
      <c r="W19" s="12">
        <f t="shared" si="2"/>
        <v>2</v>
      </c>
      <c r="X19" s="14">
        <f t="shared" si="3"/>
        <v>7500000</v>
      </c>
      <c r="Y19" s="17"/>
      <c r="Z19" s="14">
        <f t="shared" si="4"/>
        <v>7500000</v>
      </c>
      <c r="AA19" s="18" t="s">
        <v>449</v>
      </c>
      <c r="AB19" s="13" t="s">
        <v>732</v>
      </c>
      <c r="AC19" s="19" t="s">
        <v>733</v>
      </c>
      <c r="AD19" s="20"/>
      <c r="AE19" s="19"/>
      <c r="AF19" s="21"/>
      <c r="AG19" s="22" t="str">
        <f t="shared" si="5"/>
        <v>TRUE</v>
      </c>
      <c r="AH19" s="23" t="str">
        <f t="shared" si="6"/>
        <v>خراسان رضوی تایباد - بلوار امام حسین، بین امام حسین ۴ و ۶ کافه میم - محمدرضا رجب 09339611092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12</v>
      </c>
      <c r="H20" s="10">
        <v>277446951846</v>
      </c>
      <c r="I20" s="9" t="s">
        <v>688</v>
      </c>
      <c r="J20" s="9"/>
      <c r="K20" s="11" t="str">
        <f t="shared" ca="1" si="0"/>
        <v/>
      </c>
      <c r="L20" s="12" t="s">
        <v>286</v>
      </c>
      <c r="M20" s="12" t="s">
        <v>734</v>
      </c>
      <c r="N20" s="12"/>
      <c r="O20" s="9">
        <v>5501.2</v>
      </c>
      <c r="P20" s="9">
        <v>1</v>
      </c>
      <c r="Q20" s="13" t="str">
        <f>VLOOKUP(O20, '[1]لیست محصولات اردیبهشت ۱۴۰۳'!B:C,2,0)</f>
        <v>ورتکس | Vortex</v>
      </c>
      <c r="R20" s="9"/>
      <c r="S20" s="12">
        <f>VLOOKUP(O20, '[1]لیست محصولات اردیبهشت ۱۴۰۳'!B:F,5,0)</f>
        <v>750</v>
      </c>
      <c r="T20" s="14">
        <f>VLOOKUP(O20, '[1]لیست محصولات اردیبهشت ۱۴۰۳'!B:G,6,0)</f>
        <v>9900000</v>
      </c>
      <c r="U20" s="15"/>
      <c r="V20" s="16">
        <f t="shared" si="1"/>
        <v>0</v>
      </c>
      <c r="W20" s="12">
        <f t="shared" si="2"/>
        <v>1</v>
      </c>
      <c r="X20" s="14">
        <f t="shared" si="3"/>
        <v>9900000</v>
      </c>
      <c r="Y20" s="17"/>
      <c r="Z20" s="14">
        <f t="shared" si="4"/>
        <v>9900000</v>
      </c>
      <c r="AA20" s="18" t="s">
        <v>109</v>
      </c>
      <c r="AB20" s="13" t="s">
        <v>735</v>
      </c>
      <c r="AC20" s="19" t="s">
        <v>736</v>
      </c>
      <c r="AD20" s="20"/>
      <c r="AE20" s="19"/>
      <c r="AF20" s="21"/>
      <c r="AG20" s="22" t="str">
        <f t="shared" si="5"/>
        <v>TRUE</v>
      </c>
      <c r="AH20" s="23" t="str">
        <f t="shared" si="6"/>
        <v>اصفهان بلوار کشاورز ، کوچه ۴۲(ارغوان)، پلاک ۷۰ طبقه ۲  - علی رزمخواه 09134094834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32">
        <v>13</v>
      </c>
      <c r="H21" s="130">
        <v>277457549832</v>
      </c>
      <c r="I21" s="132" t="s">
        <v>688</v>
      </c>
      <c r="J21" s="132"/>
      <c r="K21" s="11"/>
      <c r="L21" s="142" t="s">
        <v>137</v>
      </c>
      <c r="M21" s="142" t="s">
        <v>737</v>
      </c>
      <c r="N21" s="142"/>
      <c r="O21" s="9">
        <v>5501.1</v>
      </c>
      <c r="P21" s="9">
        <v>1</v>
      </c>
      <c r="Q21" s="13" t="str">
        <f>VLOOKUP(O21, '[1]لیست محصولات اردیبهشت ۱۴۰۳'!B:C,2,0)</f>
        <v>ورتکس | Vortex</v>
      </c>
      <c r="R21" s="9" t="s">
        <v>727</v>
      </c>
      <c r="S21" s="12">
        <f>VLOOKUP(O21, '[1]لیست محصولات اردیبهشت ۱۴۰۳'!B:F,5,0)</f>
        <v>150</v>
      </c>
      <c r="T21" s="14">
        <f>VLOOKUP(O21, '[1]لیست محصولات اردیبهشت ۱۴۰۳'!B:G,6,0)</f>
        <v>2100000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2100000</v>
      </c>
      <c r="Y21" s="17"/>
      <c r="Z21" s="14">
        <f t="shared" si="4"/>
        <v>2100000</v>
      </c>
      <c r="AA21" s="140" t="s">
        <v>250</v>
      </c>
      <c r="AB21" s="138" t="s">
        <v>738</v>
      </c>
      <c r="AC21" s="230" t="s">
        <v>739</v>
      </c>
      <c r="AD21" s="134"/>
      <c r="AE21" s="19"/>
      <c r="AF21" s="21"/>
      <c r="AG21" s="22" t="str">
        <f t="shared" si="5"/>
        <v>TRUE</v>
      </c>
      <c r="AH21" s="23" t="str">
        <f t="shared" si="6"/>
        <v>کرج جهانشهر غربی ، میدان جمهوری ، پشت تالار لوتوس ، خیابان ارغوان ، کوچه پاییزان غربی ، پلاک ۲۶ واحد ۱۰  - امیرحسین شمس 09354182299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44"/>
      <c r="H22" s="150"/>
      <c r="I22" s="144"/>
      <c r="J22" s="144"/>
      <c r="K22" s="11" t="str">
        <f t="shared" ca="1" si="0"/>
        <v/>
      </c>
      <c r="L22" s="145"/>
      <c r="M22" s="145"/>
      <c r="N22" s="145"/>
      <c r="O22" s="9">
        <v>3326.1</v>
      </c>
      <c r="P22" s="9">
        <v>1</v>
      </c>
      <c r="Q22" s="13" t="str">
        <f>VLOOKUP(O22, '[1]لیست محصولات اردیبهشت ۱۴۰۳'!B:C,2,0)</f>
        <v>میاگروس | Milagros</v>
      </c>
      <c r="R22" s="9" t="s">
        <v>727</v>
      </c>
      <c r="S22" s="12">
        <f>VLOOKUP(O22, '[1]لیست محصولات اردیبهشت ۱۴۰۳'!B:F,5,0)</f>
        <v>150</v>
      </c>
      <c r="T22" s="14">
        <f>VLOOKUP(O22, '[1]لیست محصولات اردیبهشت ۱۴۰۳'!B:G,6,0)</f>
        <v>3750000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3750000</v>
      </c>
      <c r="Y22" s="17"/>
      <c r="Z22" s="14">
        <f t="shared" si="4"/>
        <v>3750000</v>
      </c>
      <c r="AA22" s="149"/>
      <c r="AB22" s="148"/>
      <c r="AC22" s="231"/>
      <c r="AD22" s="146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33"/>
      <c r="H23" s="131"/>
      <c r="I23" s="133"/>
      <c r="J23" s="133"/>
      <c r="K23" s="11" t="str">
        <f t="shared" ca="1" si="0"/>
        <v/>
      </c>
      <c r="L23" s="143"/>
      <c r="M23" s="143"/>
      <c r="N23" s="143"/>
      <c r="O23" s="9">
        <v>5511.11</v>
      </c>
      <c r="P23" s="9">
        <v>2</v>
      </c>
      <c r="Q23" s="69" t="str">
        <f>VLOOKUP(O23, '[1]لیست محصولات اردیبهشت ۱۴۰۳'!B:C,2,0)</f>
        <v>هامبلا(رست دمی) | Hambella( Filter Roast)</v>
      </c>
      <c r="R23" s="9" t="s">
        <v>727</v>
      </c>
      <c r="S23" s="12">
        <f>VLOOKUP(O23, '[1]لیست محصولات اردیبهشت ۱۴۰۳'!B:F,5,0)</f>
        <v>150</v>
      </c>
      <c r="T23" s="14">
        <f>VLOOKUP(O23, '[1]لیست محصولات اردیبهشت ۱۴۰۳'!B:G,6,0)</f>
        <v>2800000</v>
      </c>
      <c r="U23" s="15"/>
      <c r="V23" s="16">
        <f t="shared" si="1"/>
        <v>0</v>
      </c>
      <c r="W23" s="12">
        <f t="shared" si="2"/>
        <v>2</v>
      </c>
      <c r="X23" s="14">
        <f t="shared" si="3"/>
        <v>5600000</v>
      </c>
      <c r="Y23" s="17"/>
      <c r="Z23" s="14">
        <f t="shared" si="4"/>
        <v>5600000</v>
      </c>
      <c r="AA23" s="141"/>
      <c r="AB23" s="139"/>
      <c r="AC23" s="232"/>
      <c r="AD23" s="135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32">
        <v>14</v>
      </c>
      <c r="H24" s="130">
        <v>277461217567</v>
      </c>
      <c r="I24" s="132" t="s">
        <v>688</v>
      </c>
      <c r="J24" s="132"/>
      <c r="K24" s="11" t="str">
        <f t="shared" ca="1" si="0"/>
        <v/>
      </c>
      <c r="L24" s="142" t="s">
        <v>658</v>
      </c>
      <c r="M24" s="142" t="s">
        <v>740</v>
      </c>
      <c r="N24" s="142" t="s">
        <v>741</v>
      </c>
      <c r="O24" s="9">
        <v>3326.1</v>
      </c>
      <c r="P24" s="9">
        <v>2</v>
      </c>
      <c r="Q24" s="13" t="str">
        <f>VLOOKUP(O24, '[1]لیست محصولات اردیبهشت ۱۴۰۳'!B:C,2,0)</f>
        <v>میاگروس | Milagros</v>
      </c>
      <c r="R24" s="9"/>
      <c r="S24" s="12">
        <f>VLOOKUP(O24, '[1]لیست محصولات اردیبهشت ۱۴۰۳'!B:F,5,0)</f>
        <v>150</v>
      </c>
      <c r="T24" s="14">
        <f>VLOOKUP(O24, '[1]لیست محصولات اردیبهشت ۱۴۰۳'!B:G,6,0)</f>
        <v>3750000</v>
      </c>
      <c r="U24" s="15"/>
      <c r="V24" s="16">
        <f t="shared" si="1"/>
        <v>0</v>
      </c>
      <c r="W24" s="12">
        <f t="shared" si="2"/>
        <v>2</v>
      </c>
      <c r="X24" s="14">
        <f t="shared" si="3"/>
        <v>7500000</v>
      </c>
      <c r="Y24" s="17"/>
      <c r="Z24" s="14">
        <f t="shared" si="4"/>
        <v>7500000</v>
      </c>
      <c r="AA24" s="140" t="s">
        <v>187</v>
      </c>
      <c r="AB24" s="138" t="s">
        <v>742</v>
      </c>
      <c r="AC24" s="136" t="s">
        <v>743</v>
      </c>
      <c r="AD24" s="134"/>
      <c r="AE24" s="19"/>
      <c r="AF24" s="21"/>
      <c r="AG24" s="22" t="str">
        <f t="shared" si="5"/>
        <v>TRUE</v>
      </c>
      <c r="AH24" s="23" t="str">
        <f t="shared" si="6"/>
        <v>کرمان خیابان میثم روبرو کوچه 5 کافه اوکو - پویا امیرشکاری 09217820597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133"/>
      <c r="H25" s="131"/>
      <c r="I25" s="133"/>
      <c r="J25" s="133"/>
      <c r="K25" s="11" t="str">
        <f t="shared" ca="1" si="0"/>
        <v/>
      </c>
      <c r="L25" s="143"/>
      <c r="M25" s="143"/>
      <c r="N25" s="143"/>
      <c r="O25" s="9">
        <v>3325.1</v>
      </c>
      <c r="P25" s="9">
        <v>2</v>
      </c>
      <c r="Q25" s="13" t="str">
        <f>VLOOKUP(O25, '[1]لیست محصولات اردیبهشت ۱۴۰۳'!B:C,2,0)</f>
        <v>راتناگری | Ratnagiri</v>
      </c>
      <c r="R25" s="9"/>
      <c r="S25" s="12">
        <f>VLOOKUP(O25, '[1]لیست محصولات اردیبهشت ۱۴۰۳'!B:F,5,0)</f>
        <v>150</v>
      </c>
      <c r="T25" s="14">
        <f>VLOOKUP(O25, '[1]لیست محصولات اردیبهشت ۱۴۰۳'!B:G,6,0)</f>
        <v>4250000</v>
      </c>
      <c r="U25" s="15"/>
      <c r="V25" s="16">
        <f t="shared" si="1"/>
        <v>0</v>
      </c>
      <c r="W25" s="12">
        <f t="shared" si="2"/>
        <v>2</v>
      </c>
      <c r="X25" s="14">
        <f t="shared" si="3"/>
        <v>8500000</v>
      </c>
      <c r="Y25" s="17"/>
      <c r="Z25" s="14">
        <f t="shared" si="4"/>
        <v>8500000</v>
      </c>
      <c r="AA25" s="141"/>
      <c r="AB25" s="139"/>
      <c r="AC25" s="137"/>
      <c r="AD25" s="135"/>
      <c r="AE25" s="19"/>
      <c r="AF25" s="21"/>
      <c r="AG25" s="22" t="str">
        <f t="shared" si="5"/>
        <v>TRUE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132">
        <v>15</v>
      </c>
      <c r="H26" s="130">
        <v>277463179078</v>
      </c>
      <c r="I26" s="132" t="s">
        <v>688</v>
      </c>
      <c r="J26" s="132"/>
      <c r="K26" s="11" t="str">
        <f t="shared" ca="1" si="0"/>
        <v/>
      </c>
      <c r="L26" s="142" t="s">
        <v>433</v>
      </c>
      <c r="M26" s="142" t="s">
        <v>744</v>
      </c>
      <c r="N26" s="142"/>
      <c r="O26" s="9">
        <v>5501.1</v>
      </c>
      <c r="P26" s="9">
        <v>1</v>
      </c>
      <c r="Q26" s="13" t="str">
        <f>VLOOKUP(O26, '[1]لیست محصولات اردیبهشت ۱۴۰۳'!B:C,2,0)</f>
        <v>ورتکس | Vortex</v>
      </c>
      <c r="R26" s="9" t="s">
        <v>102</v>
      </c>
      <c r="S26" s="12">
        <f>VLOOKUP(O26, '[1]لیست محصولات اردیبهشت ۱۴۰۳'!B:F,5,0)</f>
        <v>150</v>
      </c>
      <c r="T26" s="14">
        <f>VLOOKUP(O26, '[1]لیست محصولات اردیبهشت ۱۴۰۳'!B:G,6,0)</f>
        <v>2100000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2100000</v>
      </c>
      <c r="Y26" s="17"/>
      <c r="Z26" s="14">
        <f t="shared" si="4"/>
        <v>2100000</v>
      </c>
      <c r="AA26" s="140" t="s">
        <v>79</v>
      </c>
      <c r="AB26" s="138" t="s">
        <v>745</v>
      </c>
      <c r="AC26" s="136" t="s">
        <v>746</v>
      </c>
      <c r="AD26" s="134" t="s">
        <v>99</v>
      </c>
      <c r="AE26" s="19"/>
      <c r="AF26" s="21"/>
      <c r="AG26" s="22" t="str">
        <f t="shared" si="5"/>
        <v>TRUE</v>
      </c>
      <c r="AH26" s="23" t="str">
        <f t="shared" si="6"/>
        <v>تهران خیابان فلسطین جنوبی بعد از تقاطع جمهوری کوچه رستمی زاهد (درخشان) پ ۵واحد۷  - مهدی اعمی بصیر 09347684550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44"/>
      <c r="H27" s="150"/>
      <c r="I27" s="144"/>
      <c r="J27" s="144"/>
      <c r="K27" s="11" t="str">
        <f t="shared" ca="1" si="0"/>
        <v/>
      </c>
      <c r="L27" s="145"/>
      <c r="M27" s="145"/>
      <c r="N27" s="145"/>
      <c r="O27" s="9">
        <v>5522.1</v>
      </c>
      <c r="P27" s="9">
        <v>1</v>
      </c>
      <c r="Q27" s="13" t="str">
        <f>VLOOKUP(O27, '[1]لیست محصولات اردیبهشت ۱۴۰۳'!B:C,2,0)</f>
        <v>تامارا | Tamara</v>
      </c>
      <c r="R27" s="9"/>
      <c r="S27" s="12">
        <f>VLOOKUP(O27, '[1]لیست محصولات اردیبهشت ۱۴۰۳'!B:F,5,0)</f>
        <v>150</v>
      </c>
      <c r="T27" s="14">
        <f>VLOOKUP(O27, '[1]لیست محصولات اردیبهشت ۱۴۰۳'!B:G,6,0)</f>
        <v>2600000</v>
      </c>
      <c r="U27" s="15"/>
      <c r="V27" s="16">
        <f t="shared" si="1"/>
        <v>0</v>
      </c>
      <c r="W27" s="12">
        <f t="shared" si="2"/>
        <v>1</v>
      </c>
      <c r="X27" s="14">
        <f t="shared" si="3"/>
        <v>2600000</v>
      </c>
      <c r="Y27" s="17"/>
      <c r="Z27" s="14">
        <f t="shared" si="4"/>
        <v>2600000</v>
      </c>
      <c r="AA27" s="149"/>
      <c r="AB27" s="148"/>
      <c r="AC27" s="147"/>
      <c r="AD27" s="146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44"/>
      <c r="H28" s="150"/>
      <c r="I28" s="144"/>
      <c r="J28" s="144"/>
      <c r="K28" s="11" t="str">
        <f t="shared" ca="1" si="0"/>
        <v/>
      </c>
      <c r="L28" s="145"/>
      <c r="M28" s="145"/>
      <c r="N28" s="145"/>
      <c r="O28" s="9">
        <v>3326.1</v>
      </c>
      <c r="P28" s="9">
        <v>1</v>
      </c>
      <c r="Q28" s="13" t="str">
        <f>VLOOKUP(O28, '[1]لیست محصولات اردیبهشت ۱۴۰۳'!B:C,2,0)</f>
        <v>میاگروس | Milagros</v>
      </c>
      <c r="R28" s="9" t="s">
        <v>102</v>
      </c>
      <c r="S28" s="12">
        <f>VLOOKUP(O28, '[1]لیست محصولات اردیبهشت ۱۴۰۳'!B:F,5,0)</f>
        <v>150</v>
      </c>
      <c r="T28" s="14">
        <f>VLOOKUP(O28, '[1]لیست محصولات اردیبهشت ۱۴۰۳'!B:G,6,0)</f>
        <v>3750000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3750000</v>
      </c>
      <c r="Y28" s="17"/>
      <c r="Z28" s="14">
        <f t="shared" si="4"/>
        <v>3750000</v>
      </c>
      <c r="AA28" s="149"/>
      <c r="AB28" s="148"/>
      <c r="AC28" s="147"/>
      <c r="AD28" s="146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33"/>
      <c r="H29" s="131"/>
      <c r="I29" s="133"/>
      <c r="J29" s="133"/>
      <c r="K29" s="11" t="str">
        <f t="shared" ca="1" si="0"/>
        <v/>
      </c>
      <c r="L29" s="143"/>
      <c r="M29" s="143"/>
      <c r="N29" s="143"/>
      <c r="O29" s="9">
        <v>5522.1</v>
      </c>
      <c r="P29" s="9">
        <v>1</v>
      </c>
      <c r="Q29" s="13" t="str">
        <f>VLOOKUP(O29, '[1]لیست محصولات اردیبهشت ۱۴۰۳'!B:C,2,0)</f>
        <v>تامارا | Tamara</v>
      </c>
      <c r="R29" s="9" t="s">
        <v>102</v>
      </c>
      <c r="S29" s="12">
        <f>VLOOKUP(O29, '[1]لیست محصولات اردیبهشت ۱۴۰۳'!B:F,5,0)</f>
        <v>150</v>
      </c>
      <c r="T29" s="14">
        <f>VLOOKUP(O29, '[1]لیست محصولات اردیبهشت ۱۴۰۳'!B:G,6,0)</f>
        <v>2600000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2600000</v>
      </c>
      <c r="Y29" s="17"/>
      <c r="Z29" s="14">
        <f t="shared" si="4"/>
        <v>2600000</v>
      </c>
      <c r="AA29" s="141"/>
      <c r="AB29" s="139"/>
      <c r="AC29" s="137"/>
      <c r="AD29" s="135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32">
        <v>16</v>
      </c>
      <c r="H30" s="130">
        <v>277466618795</v>
      </c>
      <c r="I30" s="132" t="s">
        <v>688</v>
      </c>
      <c r="J30" s="132"/>
      <c r="K30" s="11" t="str">
        <f t="shared" ca="1" si="0"/>
        <v/>
      </c>
      <c r="L30" s="142" t="s">
        <v>747</v>
      </c>
      <c r="M30" s="142" t="s">
        <v>259</v>
      </c>
      <c r="N30" s="142"/>
      <c r="O30" s="9">
        <v>5511.22</v>
      </c>
      <c r="P30" s="9">
        <v>2</v>
      </c>
      <c r="Q30" s="69" t="str">
        <f>VLOOKUP(O30, '[1]لیست محصولات اردیبهشت ۱۴۰۳'!B:C,2,0)</f>
        <v>هامبلا(رست دمی) | Hambella( Filter Roast)</v>
      </c>
      <c r="R30" s="9"/>
      <c r="S30" s="12">
        <f>VLOOKUP(O30, '[1]لیست محصولات اردیبهشت ۱۴۰۳'!B:F,5,0)</f>
        <v>750</v>
      </c>
      <c r="T30" s="14">
        <f>VLOOKUP(O30, '[1]لیست محصولات اردیبهشت ۱۴۰۳'!B:G,6,0)</f>
        <v>13350000</v>
      </c>
      <c r="U30" s="15"/>
      <c r="V30" s="16">
        <f t="shared" si="1"/>
        <v>0</v>
      </c>
      <c r="W30" s="12">
        <f t="shared" si="2"/>
        <v>2</v>
      </c>
      <c r="X30" s="14">
        <f t="shared" si="3"/>
        <v>26700000</v>
      </c>
      <c r="Y30" s="17"/>
      <c r="Z30" s="14">
        <f t="shared" si="4"/>
        <v>26700000</v>
      </c>
      <c r="AA30" s="140" t="s">
        <v>79</v>
      </c>
      <c r="AB30" s="138" t="s">
        <v>748</v>
      </c>
      <c r="AC30" s="136" t="s">
        <v>749</v>
      </c>
      <c r="AD30" s="134" t="s">
        <v>99</v>
      </c>
      <c r="AE30" s="159" t="s">
        <v>285</v>
      </c>
      <c r="AF30" s="21"/>
      <c r="AG30" s="22" t="str">
        <f t="shared" si="5"/>
        <v>TRUE</v>
      </c>
      <c r="AH30" s="23" t="str">
        <f t="shared" si="6"/>
        <v>تهران خیابان ولیعصر، بالاتر از طالقانی، کوچه فرهنگ حسینی، پلاک ۱۱ ط دوم  - رامیار خلیلی 09128141925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33"/>
      <c r="H31" s="131"/>
      <c r="I31" s="133"/>
      <c r="J31" s="133"/>
      <c r="K31" s="11" t="str">
        <f t="shared" ca="1" si="0"/>
        <v/>
      </c>
      <c r="L31" s="143"/>
      <c r="M31" s="143"/>
      <c r="N31" s="143"/>
      <c r="O31" s="9">
        <v>5522.2</v>
      </c>
      <c r="P31" s="9">
        <v>3</v>
      </c>
      <c r="Q31" s="13" t="str">
        <f>VLOOKUP(O31, '[1]لیست محصولات اردیبهشت ۱۴۰۳'!B:C,2,0)</f>
        <v>تامارا | Tamara</v>
      </c>
      <c r="R31" s="9"/>
      <c r="S31" s="12">
        <f>VLOOKUP(O31, '[1]لیست محصولات اردیبهشت ۱۴۰۳'!B:F,5,0)</f>
        <v>750</v>
      </c>
      <c r="T31" s="14">
        <f>VLOOKUP(O31, '[1]لیست محصولات اردیبهشت ۱۴۰۳'!B:G,6,0)</f>
        <v>12450000</v>
      </c>
      <c r="U31" s="15"/>
      <c r="V31" s="16">
        <f t="shared" si="1"/>
        <v>0</v>
      </c>
      <c r="W31" s="12">
        <f t="shared" si="2"/>
        <v>3</v>
      </c>
      <c r="X31" s="14">
        <f t="shared" si="3"/>
        <v>37350000</v>
      </c>
      <c r="Y31" s="17"/>
      <c r="Z31" s="14">
        <f t="shared" si="4"/>
        <v>37350000</v>
      </c>
      <c r="AA31" s="141"/>
      <c r="AB31" s="139"/>
      <c r="AC31" s="137"/>
      <c r="AD31" s="135"/>
      <c r="AE31" s="160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>
        <v>17</v>
      </c>
      <c r="H32" s="10">
        <v>277471393391</v>
      </c>
      <c r="I32" s="9" t="s">
        <v>688</v>
      </c>
      <c r="J32" s="9"/>
      <c r="K32" s="11" t="str">
        <f t="shared" ca="1" si="0"/>
        <v/>
      </c>
      <c r="L32" s="12" t="s">
        <v>750</v>
      </c>
      <c r="M32" s="12" t="s">
        <v>751</v>
      </c>
      <c r="N32" s="12" t="s">
        <v>752</v>
      </c>
      <c r="O32" s="9">
        <v>5501.3</v>
      </c>
      <c r="P32" s="9">
        <v>1</v>
      </c>
      <c r="Q32" s="13" t="str">
        <f>VLOOKUP(O32, '[1]لیست محصولات اردیبهشت ۱۴۰۳'!B:C,2,0)</f>
        <v>ورتکس | Vortex</v>
      </c>
      <c r="R32" s="9"/>
      <c r="S32" s="12">
        <f>VLOOKUP(O32, '[1]لیست محصولات اردیبهشت ۱۴۰۳'!B:F,5,0)</f>
        <v>4000</v>
      </c>
      <c r="T32" s="14">
        <f>VLOOKUP(O32, '[1]لیست محصولات اردیبهشت ۱۴۰۳'!B:G,6,0)</f>
        <v>51200000</v>
      </c>
      <c r="U32" s="15"/>
      <c r="V32" s="16">
        <f t="shared" si="1"/>
        <v>0</v>
      </c>
      <c r="W32" s="12">
        <f t="shared" si="2"/>
        <v>1</v>
      </c>
      <c r="X32" s="14">
        <f t="shared" si="3"/>
        <v>51200000</v>
      </c>
      <c r="Y32" s="17"/>
      <c r="Z32" s="14">
        <f t="shared" si="4"/>
        <v>51200000</v>
      </c>
      <c r="AA32" s="18" t="s">
        <v>115</v>
      </c>
      <c r="AB32" s="13" t="s">
        <v>753</v>
      </c>
      <c r="AC32" s="19" t="s">
        <v>754</v>
      </c>
      <c r="AD32" s="20"/>
      <c r="AE32" s="19"/>
      <c r="AF32" s="21"/>
      <c r="AG32" s="22" t="str">
        <f t="shared" si="5"/>
        <v>TRUE</v>
      </c>
      <c r="AH32" s="23" t="str">
        <f t="shared" si="6"/>
        <v>زنجان بلوار دانشجو _ روبروی آموزشگاه رانندگی فجر _ کانکس سفید کافه لامور - ریحانه پرچگانی 09190595396</v>
      </c>
    </row>
    <row r="33" spans="1:34" ht="22.35" customHeight="1">
      <c r="A33" s="7"/>
      <c r="B33" s="7"/>
      <c r="C33" s="7"/>
      <c r="D33" s="7"/>
      <c r="E33" s="7"/>
      <c r="F33" s="8"/>
      <c r="G33" s="132">
        <v>18</v>
      </c>
      <c r="H33" s="130">
        <v>277478639386</v>
      </c>
      <c r="I33" s="132" t="s">
        <v>688</v>
      </c>
      <c r="J33" s="132"/>
      <c r="K33" s="11" t="str">
        <f t="shared" ca="1" si="0"/>
        <v/>
      </c>
      <c r="L33" s="142" t="s">
        <v>756</v>
      </c>
      <c r="M33" s="142" t="s">
        <v>755</v>
      </c>
      <c r="N33" s="142"/>
      <c r="O33" s="9">
        <v>5511.1</v>
      </c>
      <c r="P33" s="9">
        <v>1</v>
      </c>
      <c r="Q33" s="13" t="str">
        <f>VLOOKUP(O33, '[1]لیست محصولات اردیبهشت ۱۴۰۳'!B:C,2,0)</f>
        <v>هامبلا | Hambella</v>
      </c>
      <c r="R33" s="9" t="s">
        <v>255</v>
      </c>
      <c r="S33" s="12">
        <f>VLOOKUP(O33, '[1]لیست محصولات اردیبهشت ۱۴۰۳'!B:F,5,0)</f>
        <v>150</v>
      </c>
      <c r="T33" s="14">
        <f>VLOOKUP(O33, '[1]لیست محصولات اردیبهشت ۱۴۰۳'!B:G,6,0)</f>
        <v>2800000</v>
      </c>
      <c r="U33" s="15"/>
      <c r="V33" s="16">
        <f t="shared" si="1"/>
        <v>0</v>
      </c>
      <c r="W33" s="12">
        <f t="shared" si="2"/>
        <v>1</v>
      </c>
      <c r="X33" s="14">
        <f t="shared" si="3"/>
        <v>2800000</v>
      </c>
      <c r="Y33" s="17"/>
      <c r="Z33" s="14">
        <f t="shared" si="4"/>
        <v>2800000</v>
      </c>
      <c r="AA33" s="140" t="s">
        <v>79</v>
      </c>
      <c r="AB33" s="138" t="s">
        <v>757</v>
      </c>
      <c r="AC33" s="136" t="s">
        <v>758</v>
      </c>
      <c r="AD33" s="134" t="s">
        <v>99</v>
      </c>
      <c r="AE33" s="19"/>
      <c r="AF33" s="21"/>
      <c r="AG33" s="22" t="str">
        <f t="shared" si="5"/>
        <v>TRUE</v>
      </c>
      <c r="AH33" s="23" t="str">
        <f t="shared" si="6"/>
        <v>تهران خیابان مقدس اردبیلی روبروی سفارت ژاپن نبش خیابان عمید برج مروارید - لطفا تحویل نگهبانی شود مربوط به واحد ۶۵  - روژ عبدی 09122190225</v>
      </c>
    </row>
    <row r="34" spans="1:34" ht="22.35" customHeight="1">
      <c r="A34" s="7"/>
      <c r="B34" s="7"/>
      <c r="C34" s="7"/>
      <c r="D34" s="7"/>
      <c r="E34" s="7"/>
      <c r="F34" s="8"/>
      <c r="G34" s="133"/>
      <c r="H34" s="131"/>
      <c r="I34" s="133"/>
      <c r="J34" s="133"/>
      <c r="K34" s="11" t="str">
        <f t="shared" ca="1" si="0"/>
        <v/>
      </c>
      <c r="L34" s="143"/>
      <c r="M34" s="143"/>
      <c r="N34" s="143"/>
      <c r="O34" s="9">
        <v>5522.1</v>
      </c>
      <c r="P34" s="9">
        <v>1</v>
      </c>
      <c r="Q34" s="13" t="str">
        <f>VLOOKUP(O34, '[1]لیست محصولات اردیبهشت ۱۴۰۳'!B:C,2,0)</f>
        <v>تامارا | Tamara</v>
      </c>
      <c r="R34" s="9" t="s">
        <v>255</v>
      </c>
      <c r="S34" s="12">
        <f>VLOOKUP(O34, '[1]لیست محصولات اردیبهشت ۱۴۰۳'!B:F,5,0)</f>
        <v>150</v>
      </c>
      <c r="T34" s="14">
        <f>VLOOKUP(O34, '[1]لیست محصولات اردیبهشت ۱۴۰۳'!B:G,6,0)</f>
        <v>2600000</v>
      </c>
      <c r="U34" s="15"/>
      <c r="V34" s="16">
        <f t="shared" si="1"/>
        <v>0</v>
      </c>
      <c r="W34" s="12">
        <f t="shared" si="2"/>
        <v>1</v>
      </c>
      <c r="X34" s="14">
        <f t="shared" si="3"/>
        <v>2600000</v>
      </c>
      <c r="Y34" s="17"/>
      <c r="Z34" s="14">
        <f t="shared" si="4"/>
        <v>2600000</v>
      </c>
      <c r="AA34" s="141"/>
      <c r="AB34" s="139"/>
      <c r="AC34" s="137"/>
      <c r="AD34" s="135"/>
      <c r="AE34" s="19"/>
      <c r="AF34" s="21"/>
      <c r="AG34" s="22" t="str">
        <f t="shared" si="5"/>
        <v>TRUE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>
        <v>19</v>
      </c>
      <c r="H35" s="10">
        <v>277483691057</v>
      </c>
      <c r="I35" s="9" t="s">
        <v>688</v>
      </c>
      <c r="J35" s="9"/>
      <c r="K35" s="11" t="str">
        <f t="shared" ca="1" si="0"/>
        <v/>
      </c>
      <c r="L35" s="12" t="s">
        <v>452</v>
      </c>
      <c r="M35" s="12" t="s">
        <v>759</v>
      </c>
      <c r="N35" s="12"/>
      <c r="O35" s="9">
        <v>5501.2</v>
      </c>
      <c r="P35" s="9">
        <v>1</v>
      </c>
      <c r="Q35" s="13" t="str">
        <f>VLOOKUP(O35, '[1]لیست محصولات اردیبهشت ۱۴۰۳'!B:C,2,0)</f>
        <v>ورتکس | Vortex</v>
      </c>
      <c r="R35" s="9" t="s">
        <v>102</v>
      </c>
      <c r="S35" s="12">
        <f>VLOOKUP(O35, '[1]لیست محصولات اردیبهشت ۱۴۰۳'!B:F,5,0)</f>
        <v>750</v>
      </c>
      <c r="T35" s="14">
        <f>VLOOKUP(O35, '[1]لیست محصولات اردیبهشت ۱۴۰۳'!B:G,6,0)</f>
        <v>9900000</v>
      </c>
      <c r="U35" s="15"/>
      <c r="V35" s="16">
        <f t="shared" si="1"/>
        <v>0</v>
      </c>
      <c r="W35" s="12">
        <f t="shared" si="2"/>
        <v>1</v>
      </c>
      <c r="X35" s="14">
        <f t="shared" si="3"/>
        <v>9900000</v>
      </c>
      <c r="Y35" s="17"/>
      <c r="Z35" s="14">
        <f t="shared" si="4"/>
        <v>9900000</v>
      </c>
      <c r="AA35" s="18" t="s">
        <v>79</v>
      </c>
      <c r="AB35" s="13" t="s">
        <v>760</v>
      </c>
      <c r="AC35" s="19" t="s">
        <v>761</v>
      </c>
      <c r="AD35" s="20" t="s">
        <v>99</v>
      </c>
      <c r="AE35" s="19"/>
      <c r="AF35" s="21"/>
      <c r="AG35" s="22" t="str">
        <f t="shared" si="5"/>
        <v>TRUE</v>
      </c>
      <c r="AH35" s="23" t="str">
        <f t="shared" si="6"/>
        <v>تهران شریعتی پل رومی خ رضایی روبروی پارک بانو پ۲۰ واحد۷۰۱  - امیر محمدی 09121209998</v>
      </c>
    </row>
    <row r="36" spans="1:34" ht="22.35" customHeight="1">
      <c r="A36" s="7"/>
      <c r="B36" s="7"/>
      <c r="C36" s="7"/>
      <c r="D36" s="7"/>
      <c r="E36" s="7"/>
      <c r="F36" s="8"/>
      <c r="G36" s="66">
        <v>20</v>
      </c>
      <c r="H36" s="67"/>
      <c r="I36" s="66" t="s">
        <v>692</v>
      </c>
      <c r="J36" s="9"/>
      <c r="K36" s="11" t="str">
        <f t="shared" ca="1" si="0"/>
        <v/>
      </c>
      <c r="L36" s="12" t="s">
        <v>762</v>
      </c>
      <c r="M36" s="12" t="s">
        <v>763</v>
      </c>
      <c r="N36" s="12" t="s">
        <v>764</v>
      </c>
      <c r="O36" s="9">
        <v>5501.3</v>
      </c>
      <c r="P36" s="9">
        <v>5</v>
      </c>
      <c r="Q36" s="13" t="str">
        <f>VLOOKUP(O36, '[1]لیست محصولات اردیبهشت ۱۴۰۳'!B:C,2,0)</f>
        <v>ورتکس | Vortex</v>
      </c>
      <c r="R36" s="9"/>
      <c r="S36" s="12">
        <f>VLOOKUP(O36, '[1]لیست محصولات اردیبهشت ۱۴۰۳'!B:F,5,0)</f>
        <v>4000</v>
      </c>
      <c r="T36" s="14">
        <f>VLOOKUP(O36, '[1]لیست محصولات اردیبهشت ۱۴۰۳'!B:G,6,0)</f>
        <v>51200000</v>
      </c>
      <c r="U36" s="15"/>
      <c r="V36" s="16">
        <f t="shared" si="1"/>
        <v>0</v>
      </c>
      <c r="W36" s="12">
        <f t="shared" si="2"/>
        <v>5</v>
      </c>
      <c r="X36" s="14">
        <f t="shared" si="3"/>
        <v>256000000</v>
      </c>
      <c r="Y36" s="17"/>
      <c r="Z36" s="14">
        <f t="shared" si="4"/>
        <v>256000000</v>
      </c>
      <c r="AA36" s="18" t="s">
        <v>79</v>
      </c>
      <c r="AB36" s="13" t="s">
        <v>70</v>
      </c>
      <c r="AC36" s="19" t="s">
        <v>765</v>
      </c>
      <c r="AD36" s="20"/>
      <c r="AE36" s="19"/>
      <c r="AF36" s="21"/>
      <c r="AG36" s="22" t="str">
        <f t="shared" si="5"/>
        <v>TRUE</v>
      </c>
      <c r="AH36" s="23" t="str">
        <f t="shared" si="6"/>
        <v>تهران - کافه نولان پونک - آرین  بیکدلی 09125690775</v>
      </c>
    </row>
    <row r="37" spans="1:34" ht="22.35" customHeight="1">
      <c r="A37" s="7"/>
      <c r="B37" s="7"/>
      <c r="C37" s="7"/>
      <c r="D37" s="7"/>
      <c r="E37" s="7"/>
      <c r="F37" s="8"/>
      <c r="G37" s="9">
        <v>21</v>
      </c>
      <c r="H37" s="10">
        <v>277491913719</v>
      </c>
      <c r="I37" s="9" t="s">
        <v>692</v>
      </c>
      <c r="J37" s="9"/>
      <c r="K37" s="11" t="str">
        <f t="shared" ca="1" si="0"/>
        <v/>
      </c>
      <c r="L37" s="12" t="s">
        <v>766</v>
      </c>
      <c r="M37" s="12" t="s">
        <v>767</v>
      </c>
      <c r="N37" s="12"/>
      <c r="O37" s="9">
        <v>3326.1</v>
      </c>
      <c r="P37" s="9">
        <v>1</v>
      </c>
      <c r="Q37" s="13" t="str">
        <f>VLOOKUP(O37, '[1]لیست محصولات اردیبهشت ۱۴۰۳'!B:C,2,0)</f>
        <v>میاگروس | Milagros</v>
      </c>
      <c r="R37" s="9"/>
      <c r="S37" s="12">
        <f>VLOOKUP(O37, '[1]لیست محصولات اردیبهشت ۱۴۰۳'!B:F,5,0)</f>
        <v>150</v>
      </c>
      <c r="T37" s="14">
        <f>VLOOKUP(O37, '[1]لیست محصولات اردیبهشت ۱۴۰۳'!B:G,6,0)</f>
        <v>3750000</v>
      </c>
      <c r="U37" s="15"/>
      <c r="V37" s="16">
        <f t="shared" si="1"/>
        <v>0</v>
      </c>
      <c r="W37" s="12">
        <f t="shared" si="2"/>
        <v>1</v>
      </c>
      <c r="X37" s="14">
        <f t="shared" si="3"/>
        <v>3750000</v>
      </c>
      <c r="Y37" s="17"/>
      <c r="Z37" s="14">
        <f t="shared" si="4"/>
        <v>3750000</v>
      </c>
      <c r="AA37" s="18" t="s">
        <v>129</v>
      </c>
      <c r="AB37" s="13" t="s">
        <v>769</v>
      </c>
      <c r="AC37" s="19" t="s">
        <v>768</v>
      </c>
      <c r="AD37" s="20"/>
      <c r="AE37" s="19"/>
      <c r="AF37" s="21"/>
      <c r="AG37" s="22" t="str">
        <f t="shared" si="5"/>
        <v>TRUE</v>
      </c>
      <c r="AH37" s="23" t="str">
        <f t="shared" si="6"/>
        <v>مشهد سرافرازان ۳۹ مجتمع الوند بلوک ۳واحد ۳۰۲ *در صورت در دسترس نبودن، به نگهبانی مجتمع تحویل داده شود*  - حَصین معصومی 09052760090</v>
      </c>
    </row>
    <row r="38" spans="1:34" ht="22.35" customHeight="1">
      <c r="A38" s="7"/>
      <c r="B38" s="7"/>
      <c r="C38" s="7"/>
      <c r="D38" s="7"/>
      <c r="E38" s="7"/>
      <c r="F38" s="8"/>
      <c r="G38" s="132">
        <v>22</v>
      </c>
      <c r="H38" s="130">
        <v>277497816984</v>
      </c>
      <c r="I38" s="132" t="s">
        <v>692</v>
      </c>
      <c r="J38" s="132"/>
      <c r="K38" s="11" t="str">
        <f t="shared" ca="1" si="0"/>
        <v/>
      </c>
      <c r="L38" s="142" t="s">
        <v>291</v>
      </c>
      <c r="M38" s="142" t="s">
        <v>770</v>
      </c>
      <c r="N38" s="142"/>
      <c r="O38" s="9">
        <v>5522.1</v>
      </c>
      <c r="P38" s="9">
        <v>1</v>
      </c>
      <c r="Q38" s="13" t="str">
        <f>VLOOKUP(O38, '[1]لیست محصولات اردیبهشت ۱۴۰۳'!B:C,2,0)</f>
        <v>تامارا | Tamara</v>
      </c>
      <c r="R38" s="9"/>
      <c r="S38" s="12">
        <f>VLOOKUP(O38, '[1]لیست محصولات اردیبهشت ۱۴۰۳'!B:F,5,0)</f>
        <v>150</v>
      </c>
      <c r="T38" s="14">
        <f>VLOOKUP(O38, '[1]لیست محصولات اردیبهشت ۱۴۰۳'!B:G,6,0)</f>
        <v>2600000</v>
      </c>
      <c r="U38" s="15"/>
      <c r="V38" s="16">
        <f t="shared" si="1"/>
        <v>0</v>
      </c>
      <c r="W38" s="12">
        <f t="shared" si="2"/>
        <v>1</v>
      </c>
      <c r="X38" s="14">
        <f t="shared" si="3"/>
        <v>2600000</v>
      </c>
      <c r="Y38" s="17"/>
      <c r="Z38" s="14">
        <f t="shared" si="4"/>
        <v>2600000</v>
      </c>
      <c r="AA38" s="140" t="s">
        <v>79</v>
      </c>
      <c r="AB38" s="138" t="s">
        <v>771</v>
      </c>
      <c r="AC38" s="136" t="s">
        <v>772</v>
      </c>
      <c r="AD38" s="134" t="s">
        <v>99</v>
      </c>
      <c r="AE38" s="19"/>
      <c r="AF38" s="21"/>
      <c r="AG38" s="22" t="str">
        <f t="shared" si="5"/>
        <v>TRUE</v>
      </c>
      <c r="AH38" s="23" t="str">
        <f t="shared" si="6"/>
        <v>تهران میدان ونک خیابان ولیعصر خیابان دامن افشار پلاک 55  - پریسا هدایتی 09128369791</v>
      </c>
    </row>
    <row r="39" spans="1:34" ht="22.35" customHeight="1">
      <c r="A39" s="7"/>
      <c r="B39" s="7"/>
      <c r="C39" s="7"/>
      <c r="D39" s="7"/>
      <c r="E39" s="7"/>
      <c r="F39" s="8"/>
      <c r="G39" s="133"/>
      <c r="H39" s="131"/>
      <c r="I39" s="133"/>
      <c r="J39" s="133"/>
      <c r="K39" s="11" t="str">
        <f t="shared" ca="1" si="0"/>
        <v/>
      </c>
      <c r="L39" s="143"/>
      <c r="M39" s="143"/>
      <c r="N39" s="143"/>
      <c r="O39" s="9">
        <v>5511.11</v>
      </c>
      <c r="P39" s="9">
        <v>1</v>
      </c>
      <c r="Q39" s="69" t="str">
        <f>VLOOKUP(O39, '[1]لیست محصولات اردیبهشت ۱۴۰۳'!B:C,2,0)</f>
        <v>هامبلا(رست دمی) | Hambella( Filter Roast)</v>
      </c>
      <c r="R39" s="9"/>
      <c r="S39" s="12">
        <f>VLOOKUP(O39, '[1]لیست محصولات اردیبهشت ۱۴۰۳'!B:F,5,0)</f>
        <v>150</v>
      </c>
      <c r="T39" s="14">
        <f>VLOOKUP(O39, '[1]لیست محصولات اردیبهشت ۱۴۰۳'!B:G,6,0)</f>
        <v>2800000</v>
      </c>
      <c r="U39" s="15"/>
      <c r="V39" s="16">
        <f t="shared" si="1"/>
        <v>0</v>
      </c>
      <c r="W39" s="12">
        <f t="shared" si="2"/>
        <v>1</v>
      </c>
      <c r="X39" s="14">
        <f t="shared" si="3"/>
        <v>2800000</v>
      </c>
      <c r="Y39" s="17"/>
      <c r="Z39" s="14">
        <f t="shared" si="4"/>
        <v>2800000</v>
      </c>
      <c r="AA39" s="141"/>
      <c r="AB39" s="139"/>
      <c r="AC39" s="137"/>
      <c r="AD39" s="135"/>
      <c r="AE39" s="19"/>
      <c r="AF39" s="21"/>
      <c r="AG39" s="22" t="str">
        <f t="shared" si="5"/>
        <v>TRUE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66">
        <v>23</v>
      </c>
      <c r="H40" s="67"/>
      <c r="I40" s="66" t="s">
        <v>692</v>
      </c>
      <c r="J40" s="9" t="s">
        <v>76</v>
      </c>
      <c r="K40" s="11" t="str">
        <f t="shared" ca="1" si="0"/>
        <v/>
      </c>
      <c r="L40" s="12"/>
      <c r="M40" s="12" t="s">
        <v>773</v>
      </c>
      <c r="N40" s="12" t="s">
        <v>774</v>
      </c>
      <c r="O40" s="9">
        <v>5501.3</v>
      </c>
      <c r="P40" s="9">
        <v>1</v>
      </c>
      <c r="Q40" s="13" t="str">
        <f>VLOOKUP(O40, '[1]لیست محصولات اردیبهشت ۱۴۰۳'!B:C,2,0)</f>
        <v>ورتکس | Vortex</v>
      </c>
      <c r="R40" s="9"/>
      <c r="S40" s="12">
        <f>VLOOKUP(O40, '[1]لیست محصولات اردیبهشت ۱۴۰۳'!B:F,5,0)</f>
        <v>4000</v>
      </c>
      <c r="T40" s="14">
        <f>VLOOKUP(O40, '[1]لیست محصولات اردیبهشت ۱۴۰۳'!B:G,6,0)</f>
        <v>51200000</v>
      </c>
      <c r="U40" s="15"/>
      <c r="V40" s="16">
        <f t="shared" si="1"/>
        <v>0</v>
      </c>
      <c r="W40" s="12">
        <f t="shared" si="2"/>
        <v>1</v>
      </c>
      <c r="X40" s="14">
        <f t="shared" si="3"/>
        <v>51200000</v>
      </c>
      <c r="Y40" s="17"/>
      <c r="Z40" s="14">
        <f t="shared" si="4"/>
        <v>51200000</v>
      </c>
      <c r="AA40" s="18" t="s">
        <v>79</v>
      </c>
      <c r="AB40" s="13" t="s">
        <v>776</v>
      </c>
      <c r="AC40" s="19" t="s">
        <v>775</v>
      </c>
      <c r="AD40" s="20" t="s">
        <v>99</v>
      </c>
      <c r="AE40" s="19"/>
      <c r="AF40" s="21"/>
      <c r="AG40" s="22" t="str">
        <f t="shared" si="5"/>
        <v>TRUE</v>
      </c>
      <c r="AH40" s="23" t="str">
        <f t="shared" si="6"/>
        <v>تهران صادقیه اشرفی اصفهانی خیابان عرب حسینی خیابان حائری پلاک ۲۶ کلینیک دامپزشکی دکتر مهرداد کریمی -  عسگری 09370977784</v>
      </c>
    </row>
    <row r="41" spans="1:34" ht="22.35" customHeight="1">
      <c r="A41" s="7"/>
      <c r="B41" s="7"/>
      <c r="C41" s="7"/>
      <c r="D41" s="7"/>
      <c r="E41" s="7"/>
      <c r="F41" s="8"/>
      <c r="G41" s="132">
        <v>24</v>
      </c>
      <c r="H41" s="130">
        <v>277503494018</v>
      </c>
      <c r="I41" s="132" t="s">
        <v>692</v>
      </c>
      <c r="J41" s="132"/>
      <c r="K41" s="11" t="str">
        <f t="shared" ca="1" si="0"/>
        <v/>
      </c>
      <c r="L41" s="142" t="s">
        <v>141</v>
      </c>
      <c r="M41" s="142" t="s">
        <v>779</v>
      </c>
      <c r="N41" s="142"/>
      <c r="O41" s="9">
        <v>5522.1</v>
      </c>
      <c r="P41" s="9">
        <v>1</v>
      </c>
      <c r="Q41" s="13" t="str">
        <f>VLOOKUP(O41, '[1]لیست محصولات اردیبهشت ۱۴۰۳'!B:C,2,0)</f>
        <v>تامارا | Tamara</v>
      </c>
      <c r="R41" s="9"/>
      <c r="S41" s="12">
        <f>VLOOKUP(O41, '[1]لیست محصولات اردیبهشت ۱۴۰۳'!B:F,5,0)</f>
        <v>150</v>
      </c>
      <c r="T41" s="14">
        <f>VLOOKUP(O41, '[1]لیست محصولات اردیبهشت ۱۴۰۳'!B:G,6,0)</f>
        <v>2600000</v>
      </c>
      <c r="U41" s="15"/>
      <c r="V41" s="16">
        <f t="shared" si="1"/>
        <v>0</v>
      </c>
      <c r="W41" s="12">
        <f t="shared" si="2"/>
        <v>1</v>
      </c>
      <c r="X41" s="14">
        <f t="shared" si="3"/>
        <v>2600000</v>
      </c>
      <c r="Y41" s="17"/>
      <c r="Z41" s="14">
        <f t="shared" si="4"/>
        <v>2600000</v>
      </c>
      <c r="AA41" s="140" t="s">
        <v>109</v>
      </c>
      <c r="AB41" s="138" t="s">
        <v>777</v>
      </c>
      <c r="AC41" s="136" t="s">
        <v>778</v>
      </c>
      <c r="AD41" s="134"/>
      <c r="AE41" s="19"/>
      <c r="AF41" s="21"/>
      <c r="AG41" s="22" t="str">
        <f t="shared" si="5"/>
        <v>TRUE</v>
      </c>
      <c r="AH41" s="23" t="str">
        <f t="shared" si="6"/>
        <v>اصفهان ملکشهر خیابان مطهری کوچه 35 پلاک 44 واحد 3  - محمد حسن میری 09337347280</v>
      </c>
    </row>
    <row r="42" spans="1:34" ht="22.35" customHeight="1">
      <c r="A42" s="7"/>
      <c r="B42" s="7"/>
      <c r="C42" s="7"/>
      <c r="D42" s="7"/>
      <c r="E42" s="7"/>
      <c r="F42" s="8"/>
      <c r="G42" s="144"/>
      <c r="H42" s="150"/>
      <c r="I42" s="144"/>
      <c r="J42" s="144"/>
      <c r="K42" s="11" t="str">
        <f t="shared" ca="1" si="0"/>
        <v/>
      </c>
      <c r="L42" s="145"/>
      <c r="M42" s="145"/>
      <c r="N42" s="145"/>
      <c r="O42" s="9">
        <v>5511.11</v>
      </c>
      <c r="P42" s="9">
        <v>1</v>
      </c>
      <c r="Q42" s="69" t="str">
        <f>VLOOKUP(O42, '[1]لیست محصولات اردیبهشت ۱۴۰۳'!B:C,2,0)</f>
        <v>هامبلا(رست دمی) | Hambella( Filter Roast)</v>
      </c>
      <c r="R42" s="9"/>
      <c r="S42" s="12">
        <f>VLOOKUP(O42, '[1]لیست محصولات اردیبهشت ۱۴۰۳'!B:F,5,0)</f>
        <v>150</v>
      </c>
      <c r="T42" s="14">
        <f>VLOOKUP(O42, '[1]لیست محصولات اردیبهشت ۱۴۰۳'!B:G,6,0)</f>
        <v>2800000</v>
      </c>
      <c r="U42" s="15"/>
      <c r="V42" s="16">
        <f t="shared" si="1"/>
        <v>0</v>
      </c>
      <c r="W42" s="12">
        <f t="shared" si="2"/>
        <v>1</v>
      </c>
      <c r="X42" s="14">
        <f t="shared" si="3"/>
        <v>2800000</v>
      </c>
      <c r="Y42" s="17"/>
      <c r="Z42" s="14">
        <f t="shared" si="4"/>
        <v>2800000</v>
      </c>
      <c r="AA42" s="149"/>
      <c r="AB42" s="148"/>
      <c r="AC42" s="147"/>
      <c r="AD42" s="146"/>
      <c r="AE42" s="19"/>
      <c r="AF42" s="21"/>
      <c r="AG42" s="22" t="str">
        <f t="shared" si="5"/>
        <v>TRUE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144"/>
      <c r="H43" s="150"/>
      <c r="I43" s="144"/>
      <c r="J43" s="144"/>
      <c r="K43" s="11" t="str">
        <f t="shared" ca="1" si="0"/>
        <v/>
      </c>
      <c r="L43" s="145"/>
      <c r="M43" s="145"/>
      <c r="N43" s="145"/>
      <c r="O43" s="9">
        <v>5501.1</v>
      </c>
      <c r="P43" s="9">
        <v>1</v>
      </c>
      <c r="Q43" s="13" t="str">
        <f>VLOOKUP(O43, '[1]لیست محصولات اردیبهشت ۱۴۰۳'!B:C,2,0)</f>
        <v>ورتکس | Vortex</v>
      </c>
      <c r="R43" s="9"/>
      <c r="S43" s="12">
        <f>VLOOKUP(O43, '[1]لیست محصولات اردیبهشت ۱۴۰۳'!B:F,5,0)</f>
        <v>150</v>
      </c>
      <c r="T43" s="14">
        <f>VLOOKUP(O43, '[1]لیست محصولات اردیبهشت ۱۴۰۳'!B:G,6,0)</f>
        <v>2100000</v>
      </c>
      <c r="U43" s="15"/>
      <c r="V43" s="16">
        <f t="shared" si="1"/>
        <v>0</v>
      </c>
      <c r="W43" s="12">
        <f t="shared" si="2"/>
        <v>1</v>
      </c>
      <c r="X43" s="14">
        <f t="shared" si="3"/>
        <v>2100000</v>
      </c>
      <c r="Y43" s="17"/>
      <c r="Z43" s="14">
        <f t="shared" si="4"/>
        <v>2100000</v>
      </c>
      <c r="AA43" s="149"/>
      <c r="AB43" s="148"/>
      <c r="AC43" s="147"/>
      <c r="AD43" s="146"/>
      <c r="AE43" s="19"/>
      <c r="AF43" s="21"/>
      <c r="AG43" s="22" t="str">
        <f t="shared" si="5"/>
        <v>TRUE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144"/>
      <c r="H44" s="150"/>
      <c r="I44" s="144"/>
      <c r="J44" s="144"/>
      <c r="K44" s="11" t="str">
        <f t="shared" ca="1" si="0"/>
        <v/>
      </c>
      <c r="L44" s="145"/>
      <c r="M44" s="145"/>
      <c r="N44" s="145"/>
      <c r="O44" s="9">
        <v>3326.1</v>
      </c>
      <c r="P44" s="9">
        <v>1</v>
      </c>
      <c r="Q44" s="13" t="str">
        <f>VLOOKUP(O44, '[1]لیست محصولات اردیبهشت ۱۴۰۳'!B:C,2,0)</f>
        <v>میاگروس | Milagros</v>
      </c>
      <c r="R44" s="9"/>
      <c r="S44" s="12">
        <f>VLOOKUP(O44, '[1]لیست محصولات اردیبهشت ۱۴۰۳'!B:F,5,0)</f>
        <v>150</v>
      </c>
      <c r="T44" s="14">
        <f>VLOOKUP(O44, '[1]لیست محصولات اردیبهشت ۱۴۰۳'!B:G,6,0)</f>
        <v>3750000</v>
      </c>
      <c r="U44" s="15"/>
      <c r="V44" s="16">
        <f t="shared" si="1"/>
        <v>0</v>
      </c>
      <c r="W44" s="12">
        <f t="shared" si="2"/>
        <v>1</v>
      </c>
      <c r="X44" s="14">
        <f t="shared" si="3"/>
        <v>3750000</v>
      </c>
      <c r="Y44" s="17"/>
      <c r="Z44" s="14">
        <f t="shared" si="4"/>
        <v>3750000</v>
      </c>
      <c r="AA44" s="149"/>
      <c r="AB44" s="148"/>
      <c r="AC44" s="147"/>
      <c r="AD44" s="146"/>
      <c r="AE44" s="19"/>
      <c r="AF44" s="21"/>
      <c r="AG44" s="22" t="str">
        <f t="shared" si="5"/>
        <v>TRUE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133"/>
      <c r="H45" s="131"/>
      <c r="I45" s="133"/>
      <c r="J45" s="133"/>
      <c r="K45" s="11" t="str">
        <f t="shared" ca="1" si="0"/>
        <v/>
      </c>
      <c r="L45" s="143"/>
      <c r="M45" s="143"/>
      <c r="N45" s="143"/>
      <c r="O45" s="9">
        <v>3325.1</v>
      </c>
      <c r="P45" s="9">
        <v>1</v>
      </c>
      <c r="Q45" s="13" t="str">
        <f>VLOOKUP(O45, '[1]لیست محصولات اردیبهشت ۱۴۰۳'!B:C,2,0)</f>
        <v>راتناگری | Ratnagiri</v>
      </c>
      <c r="R45" s="9"/>
      <c r="S45" s="12">
        <f>VLOOKUP(O45, '[1]لیست محصولات اردیبهشت ۱۴۰۳'!B:F,5,0)</f>
        <v>150</v>
      </c>
      <c r="T45" s="14">
        <f>VLOOKUP(O45, '[1]لیست محصولات اردیبهشت ۱۴۰۳'!B:G,6,0)</f>
        <v>4250000</v>
      </c>
      <c r="U45" s="26"/>
      <c r="V45" s="16">
        <f t="shared" si="1"/>
        <v>0</v>
      </c>
      <c r="W45" s="12">
        <f t="shared" si="2"/>
        <v>1</v>
      </c>
      <c r="X45" s="14">
        <f t="shared" si="3"/>
        <v>4250000</v>
      </c>
      <c r="Y45" s="17"/>
      <c r="Z45" s="14">
        <f t="shared" si="4"/>
        <v>4250000</v>
      </c>
      <c r="AA45" s="141"/>
      <c r="AB45" s="139"/>
      <c r="AC45" s="137"/>
      <c r="AD45" s="135"/>
      <c r="AE45" s="19"/>
      <c r="AF45" s="21"/>
      <c r="AG45" s="22" t="str">
        <f t="shared" si="5"/>
        <v>TRUE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>
        <v>25</v>
      </c>
      <c r="H46" s="10">
        <v>277503474876</v>
      </c>
      <c r="I46" s="9" t="s">
        <v>692</v>
      </c>
      <c r="J46" s="9"/>
      <c r="K46" s="11" t="str">
        <f t="shared" ca="1" si="0"/>
        <v/>
      </c>
      <c r="L46" s="12" t="s">
        <v>780</v>
      </c>
      <c r="M46" s="12" t="s">
        <v>781</v>
      </c>
      <c r="N46" s="12"/>
      <c r="O46" s="9">
        <v>5501.2</v>
      </c>
      <c r="P46" s="9">
        <v>1</v>
      </c>
      <c r="Q46" s="13" t="str">
        <f>VLOOKUP(O46, '[1]لیست محصولات اردیبهشت ۱۴۰۳'!B:C,2,0)</f>
        <v>ورتکس | Vortex</v>
      </c>
      <c r="R46" s="9"/>
      <c r="S46" s="12">
        <f>VLOOKUP(O46, '[1]لیست محصولات اردیبهشت ۱۴۰۳'!B:F,5,0)</f>
        <v>750</v>
      </c>
      <c r="T46" s="14">
        <f>VLOOKUP(O46, '[1]لیست محصولات اردیبهشت ۱۴۰۳'!B:G,6,0)</f>
        <v>9900000</v>
      </c>
      <c r="U46" s="26"/>
      <c r="V46" s="16">
        <f t="shared" si="1"/>
        <v>0</v>
      </c>
      <c r="W46" s="12">
        <f t="shared" si="2"/>
        <v>1</v>
      </c>
      <c r="X46" s="14">
        <f t="shared" si="3"/>
        <v>9900000</v>
      </c>
      <c r="Y46" s="17"/>
      <c r="Z46" s="14">
        <f t="shared" si="4"/>
        <v>9900000</v>
      </c>
      <c r="AA46" s="18" t="s">
        <v>79</v>
      </c>
      <c r="AB46" s="13" t="s">
        <v>782</v>
      </c>
      <c r="AC46" s="19" t="s">
        <v>783</v>
      </c>
      <c r="AD46" s="20" t="s">
        <v>99</v>
      </c>
      <c r="AE46" s="19"/>
      <c r="AF46" s="21"/>
      <c r="AG46" s="22" t="str">
        <f t="shared" si="5"/>
        <v>TRUE</v>
      </c>
      <c r="AH46" s="23" t="str">
        <f t="shared" si="6"/>
        <v>تهران شهرک اکباتان، فاز ۲، بلوک ۶، ورودی۲، طبقه۳، واحد ۲۳۹  - سارا صبور 09128399372</v>
      </c>
    </row>
    <row r="47" spans="1:34" ht="22.35" customHeight="1">
      <c r="A47" s="7"/>
      <c r="B47" s="7"/>
      <c r="C47" s="7"/>
      <c r="D47" s="7"/>
      <c r="E47" s="7"/>
      <c r="F47" s="8"/>
      <c r="G47" s="155">
        <v>26</v>
      </c>
      <c r="H47" s="157"/>
      <c r="I47" s="155" t="s">
        <v>692</v>
      </c>
      <c r="J47" s="132"/>
      <c r="K47" s="11" t="str">
        <f t="shared" ca="1" si="0"/>
        <v/>
      </c>
      <c r="L47" s="142" t="s">
        <v>359</v>
      </c>
      <c r="M47" s="142" t="s">
        <v>784</v>
      </c>
      <c r="N47" s="142" t="s">
        <v>785</v>
      </c>
      <c r="O47" s="9">
        <v>3326.2</v>
      </c>
      <c r="P47" s="9">
        <v>2</v>
      </c>
      <c r="Q47" s="13" t="str">
        <f>VLOOKUP(O47, '[1]لیست محصولات اردیبهشت ۱۴۰۳'!B:C,2,0)</f>
        <v>میاگروس | Milagros</v>
      </c>
      <c r="R47" s="9"/>
      <c r="S47" s="12">
        <f>VLOOKUP(O47, '[1]لیست محصولات اردیبهشت ۱۴۰۳'!B:F,5,0)</f>
        <v>750</v>
      </c>
      <c r="T47" s="14">
        <f>VLOOKUP(O47, '[1]لیست محصولات اردیبهشت ۱۴۰۳'!B:G,6,0)</f>
        <v>18150000</v>
      </c>
      <c r="U47" s="15"/>
      <c r="V47" s="16">
        <f t="shared" si="1"/>
        <v>0</v>
      </c>
      <c r="W47" s="12">
        <f t="shared" si="2"/>
        <v>2</v>
      </c>
      <c r="X47" s="14">
        <f t="shared" si="3"/>
        <v>36300000</v>
      </c>
      <c r="Y47" s="17"/>
      <c r="Z47" s="14">
        <f t="shared" si="4"/>
        <v>36300000</v>
      </c>
      <c r="AA47" s="140" t="s">
        <v>79</v>
      </c>
      <c r="AB47" s="138" t="s">
        <v>70</v>
      </c>
      <c r="AC47" s="136" t="s">
        <v>786</v>
      </c>
      <c r="AD47" s="134"/>
      <c r="AE47" s="19"/>
      <c r="AF47" s="21"/>
      <c r="AG47" s="22" t="str">
        <f t="shared" si="5"/>
        <v>TRUE</v>
      </c>
      <c r="AH47" s="23" t="str">
        <f t="shared" si="6"/>
        <v>تهران - کافه نولان ونک - علیرضا متقی 09331770320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164"/>
      <c r="H48" s="165"/>
      <c r="I48" s="164"/>
      <c r="J48" s="144"/>
      <c r="K48" s="11" t="str">
        <f t="shared" ca="1" si="0"/>
        <v/>
      </c>
      <c r="L48" s="145"/>
      <c r="M48" s="145"/>
      <c r="N48" s="145"/>
      <c r="O48" s="9">
        <v>3325.2</v>
      </c>
      <c r="P48" s="9">
        <v>1</v>
      </c>
      <c r="Q48" s="13" t="str">
        <f>VLOOKUP(O48, '[1]لیست محصولات اردیبهشت ۱۴۰۳'!B:C,2,0)</f>
        <v>راتناگری | Ratnagiri</v>
      </c>
      <c r="R48" s="9"/>
      <c r="S48" s="12">
        <f>VLOOKUP(O48, '[1]لیست محصولات اردیبهشت ۱۴۰۳'!B:F,5,0)</f>
        <v>750</v>
      </c>
      <c r="T48" s="14">
        <f>VLOOKUP(O48, '[1]لیست محصولات اردیبهشت ۱۴۰۳'!B:G,6,0)</f>
        <v>20700000</v>
      </c>
      <c r="U48" s="15"/>
      <c r="V48" s="16">
        <f t="shared" si="1"/>
        <v>0</v>
      </c>
      <c r="W48" s="12">
        <f t="shared" si="2"/>
        <v>1</v>
      </c>
      <c r="X48" s="14">
        <f t="shared" si="3"/>
        <v>20700000</v>
      </c>
      <c r="Y48" s="17"/>
      <c r="Z48" s="14">
        <f t="shared" si="4"/>
        <v>20700000</v>
      </c>
      <c r="AA48" s="149"/>
      <c r="AB48" s="148"/>
      <c r="AC48" s="147"/>
      <c r="AD48" s="146"/>
      <c r="AE48" s="19"/>
      <c r="AF48" s="21"/>
      <c r="AG48" s="22" t="str">
        <f t="shared" si="5"/>
        <v>TRUE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156"/>
      <c r="H49" s="158"/>
      <c r="I49" s="156"/>
      <c r="J49" s="133"/>
      <c r="K49" s="11" t="str">
        <f t="shared" ca="1" si="0"/>
        <v/>
      </c>
      <c r="L49" s="143"/>
      <c r="M49" s="143"/>
      <c r="N49" s="143"/>
      <c r="O49" s="9">
        <v>5501.3</v>
      </c>
      <c r="P49" s="9">
        <v>3</v>
      </c>
      <c r="Q49" s="13" t="str">
        <f>VLOOKUP(O49, '[1]لیست محصولات اردیبهشت ۱۴۰۳'!B:C,2,0)</f>
        <v>ورتکس | Vortex</v>
      </c>
      <c r="R49" s="9"/>
      <c r="S49" s="12">
        <f>VLOOKUP(O49, '[1]لیست محصولات اردیبهشت ۱۴۰۳'!B:F,5,0)</f>
        <v>4000</v>
      </c>
      <c r="T49" s="14">
        <f>VLOOKUP(O49, '[1]لیست محصولات اردیبهشت ۱۴۰۳'!B:G,6,0)</f>
        <v>51200000</v>
      </c>
      <c r="U49" s="15"/>
      <c r="V49" s="16">
        <f t="shared" si="1"/>
        <v>0</v>
      </c>
      <c r="W49" s="12">
        <f t="shared" si="2"/>
        <v>3</v>
      </c>
      <c r="X49" s="14">
        <f t="shared" si="3"/>
        <v>153600000</v>
      </c>
      <c r="Y49" s="17"/>
      <c r="Z49" s="14">
        <f t="shared" si="4"/>
        <v>153600000</v>
      </c>
      <c r="AA49" s="141"/>
      <c r="AB49" s="139"/>
      <c r="AC49" s="137"/>
      <c r="AD49" s="135"/>
      <c r="AE49" s="19"/>
      <c r="AF49" s="21"/>
      <c r="AG49" s="22" t="str">
        <f t="shared" si="5"/>
        <v>TRUE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>
        <v>27</v>
      </c>
      <c r="H50" s="10">
        <v>277516769975</v>
      </c>
      <c r="I50" s="9" t="s">
        <v>692</v>
      </c>
      <c r="J50" s="9" t="s">
        <v>76</v>
      </c>
      <c r="K50" s="11" t="str">
        <f t="shared" ca="1" si="0"/>
        <v/>
      </c>
      <c r="L50" s="12" t="s">
        <v>433</v>
      </c>
      <c r="M50" s="12" t="s">
        <v>787</v>
      </c>
      <c r="N50" s="12" t="s">
        <v>788</v>
      </c>
      <c r="O50" s="9">
        <v>5501.3</v>
      </c>
      <c r="P50" s="9">
        <v>1</v>
      </c>
      <c r="Q50" s="13" t="str">
        <f>VLOOKUP(O50, '[1]لیست محصولات اردیبهشت ۱۴۰۳'!B:C,2,0)</f>
        <v>ورتکس | Vortex</v>
      </c>
      <c r="R50" s="9"/>
      <c r="S50" s="12">
        <f>VLOOKUP(O50, '[1]لیست محصولات اردیبهشت ۱۴۰۳'!B:F,5,0)</f>
        <v>4000</v>
      </c>
      <c r="T50" s="14">
        <f>VLOOKUP(O50, '[1]لیست محصولات اردیبهشت ۱۴۰۳'!B:G,6,0)</f>
        <v>51200000</v>
      </c>
      <c r="U50" s="26"/>
      <c r="V50" s="16">
        <f t="shared" si="1"/>
        <v>0</v>
      </c>
      <c r="W50" s="12">
        <f t="shared" si="2"/>
        <v>1</v>
      </c>
      <c r="X50" s="14">
        <f t="shared" si="3"/>
        <v>51200000</v>
      </c>
      <c r="Y50" s="17"/>
      <c r="Z50" s="14">
        <f t="shared" si="4"/>
        <v>51200000</v>
      </c>
      <c r="AA50" s="18" t="s">
        <v>79</v>
      </c>
      <c r="AB50" s="13" t="s">
        <v>789</v>
      </c>
      <c r="AC50" s="19" t="s">
        <v>790</v>
      </c>
      <c r="AD50" s="20" t="s">
        <v>99</v>
      </c>
      <c r="AE50" s="19"/>
      <c r="AF50" s="21"/>
      <c r="AG50" s="22" t="str">
        <f t="shared" si="5"/>
        <v>TRUE</v>
      </c>
      <c r="AH50" s="23" t="str">
        <f t="shared" si="6"/>
        <v>تهران خ جمهوری خ رازی خ پرتوی پلاک 18/1 کافه والهالا - مهدی محمدی فخر 09376116149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132">
        <v>28</v>
      </c>
      <c r="H51" s="130">
        <v>55191453401</v>
      </c>
      <c r="I51" s="132" t="s">
        <v>692</v>
      </c>
      <c r="J51" s="132" t="s">
        <v>76</v>
      </c>
      <c r="K51" s="11" t="str">
        <f t="shared" ca="1" si="0"/>
        <v/>
      </c>
      <c r="L51" s="142" t="s">
        <v>112</v>
      </c>
      <c r="M51" s="142" t="s">
        <v>488</v>
      </c>
      <c r="N51" s="142" t="s">
        <v>489</v>
      </c>
      <c r="O51" s="9">
        <v>5511.3</v>
      </c>
      <c r="P51" s="9">
        <v>2</v>
      </c>
      <c r="Q51" s="13" t="str">
        <f>VLOOKUP(O51, '[1]لیست محصولات اردیبهشت ۱۴۰۳'!B:C,2,0)</f>
        <v>هامبلا | Hambella</v>
      </c>
      <c r="R51" s="9"/>
      <c r="S51" s="12">
        <f>VLOOKUP(O51, '[1]لیست محصولات اردیبهشت ۱۴۰۳'!B:F,5,0)</f>
        <v>4000</v>
      </c>
      <c r="T51" s="14">
        <f>VLOOKUP(O51, '[1]لیست محصولات اردیبهشت ۱۴۰۳'!B:G,6,0)</f>
        <v>69600000</v>
      </c>
      <c r="U51" s="15"/>
      <c r="V51" s="16">
        <f t="shared" si="1"/>
        <v>0</v>
      </c>
      <c r="W51" s="12">
        <f t="shared" si="2"/>
        <v>2</v>
      </c>
      <c r="X51" s="14">
        <f t="shared" si="3"/>
        <v>139200000</v>
      </c>
      <c r="Y51" s="17"/>
      <c r="Z51" s="14">
        <f t="shared" si="4"/>
        <v>139200000</v>
      </c>
      <c r="AA51" s="140" t="s">
        <v>206</v>
      </c>
      <c r="AB51" s="138" t="s">
        <v>490</v>
      </c>
      <c r="AC51" s="136" t="s">
        <v>491</v>
      </c>
      <c r="AD51" s="134"/>
      <c r="AE51" s="19"/>
      <c r="AF51" s="21"/>
      <c r="AG51" s="22" t="str">
        <f t="shared" si="5"/>
        <v>TRUE</v>
      </c>
      <c r="AH51" s="23" t="str">
        <f t="shared" si="6"/>
        <v>ساری میدان امام بلوار آزادی خیابان بعثت بین بعثت ۲ و ۴ کافه قهومون - محمدرضا غلامی شه بندی 09376143341</v>
      </c>
    </row>
    <row r="52" spans="1:34" ht="22.35" customHeight="1">
      <c r="A52" s="7"/>
      <c r="B52" s="7"/>
      <c r="C52" s="7"/>
      <c r="D52" s="7"/>
      <c r="E52" s="7"/>
      <c r="F52" s="8"/>
      <c r="G52" s="144"/>
      <c r="H52" s="150"/>
      <c r="I52" s="144"/>
      <c r="J52" s="144"/>
      <c r="K52" s="11" t="str">
        <f t="shared" ca="1" si="0"/>
        <v/>
      </c>
      <c r="L52" s="145"/>
      <c r="M52" s="145"/>
      <c r="N52" s="145"/>
      <c r="O52" s="9">
        <v>5522.1</v>
      </c>
      <c r="P52" s="9">
        <v>1</v>
      </c>
      <c r="Q52" s="13" t="str">
        <f>VLOOKUP(O52, '[1]لیست محصولات اردیبهشت ۱۴۰۳'!B:C,2,0)</f>
        <v>تامارا | Tamara</v>
      </c>
      <c r="R52" s="9"/>
      <c r="S52" s="12">
        <f>VLOOKUP(O52, '[1]لیست محصولات اردیبهشت ۱۴۰۳'!B:F,5,0)</f>
        <v>150</v>
      </c>
      <c r="T52" s="14">
        <f>VLOOKUP(O52, '[1]لیست محصولات اردیبهشت ۱۴۰۳'!B:G,6,0)</f>
        <v>2600000</v>
      </c>
      <c r="U52" s="15"/>
      <c r="V52" s="16">
        <f t="shared" si="1"/>
        <v>0</v>
      </c>
      <c r="W52" s="12">
        <f t="shared" si="2"/>
        <v>1</v>
      </c>
      <c r="X52" s="14">
        <f t="shared" si="3"/>
        <v>2600000</v>
      </c>
      <c r="Y52" s="17"/>
      <c r="Z52" s="14">
        <f t="shared" si="4"/>
        <v>2600000</v>
      </c>
      <c r="AA52" s="149"/>
      <c r="AB52" s="148"/>
      <c r="AC52" s="147"/>
      <c r="AD52" s="146"/>
      <c r="AE52" s="19"/>
      <c r="AF52" s="21"/>
      <c r="AG52" s="22" t="str">
        <f t="shared" si="5"/>
        <v>TRUE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144"/>
      <c r="H53" s="150"/>
      <c r="I53" s="144"/>
      <c r="J53" s="144"/>
      <c r="K53" s="11" t="str">
        <f t="shared" ca="1" si="0"/>
        <v/>
      </c>
      <c r="L53" s="145"/>
      <c r="M53" s="145"/>
      <c r="N53" s="145"/>
      <c r="O53" s="9">
        <v>5511.1</v>
      </c>
      <c r="P53" s="9">
        <v>1</v>
      </c>
      <c r="Q53" s="13" t="str">
        <f>VLOOKUP(O53, '[1]لیست محصولات اردیبهشت ۱۴۰۳'!B:C,2,0)</f>
        <v>هامبلا | Hambella</v>
      </c>
      <c r="R53" s="9"/>
      <c r="S53" s="12">
        <f>VLOOKUP(O53, '[1]لیست محصولات اردیبهشت ۱۴۰۳'!B:F,5,0)</f>
        <v>150</v>
      </c>
      <c r="T53" s="14">
        <f>VLOOKUP(O53, '[1]لیست محصولات اردیبهشت ۱۴۰۳'!B:G,6,0)</f>
        <v>2800000</v>
      </c>
      <c r="U53" s="15"/>
      <c r="V53" s="16">
        <f t="shared" si="1"/>
        <v>0</v>
      </c>
      <c r="W53" s="12">
        <f t="shared" si="2"/>
        <v>1</v>
      </c>
      <c r="X53" s="14">
        <f t="shared" si="3"/>
        <v>2800000</v>
      </c>
      <c r="Y53" s="17"/>
      <c r="Z53" s="14">
        <f t="shared" si="4"/>
        <v>2800000</v>
      </c>
      <c r="AA53" s="149"/>
      <c r="AB53" s="148"/>
      <c r="AC53" s="147"/>
      <c r="AD53" s="146"/>
      <c r="AE53" s="19"/>
      <c r="AF53" s="21"/>
      <c r="AG53" s="22" t="str">
        <f t="shared" si="5"/>
        <v>TRUE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144"/>
      <c r="H54" s="150"/>
      <c r="I54" s="144"/>
      <c r="J54" s="144"/>
      <c r="K54" s="11" t="str">
        <f t="shared" ca="1" si="0"/>
        <v/>
      </c>
      <c r="L54" s="145"/>
      <c r="M54" s="145"/>
      <c r="N54" s="145"/>
      <c r="O54" s="9">
        <v>5501.1</v>
      </c>
      <c r="P54" s="9">
        <v>1</v>
      </c>
      <c r="Q54" s="13" t="str">
        <f>VLOOKUP(O54, '[1]لیست محصولات اردیبهشت ۱۴۰۳'!B:C,2,0)</f>
        <v>ورتکس | Vortex</v>
      </c>
      <c r="R54" s="9"/>
      <c r="S54" s="12">
        <f>VLOOKUP(O54, '[1]لیست محصولات اردیبهشت ۱۴۰۳'!B:F,5,0)</f>
        <v>150</v>
      </c>
      <c r="T54" s="14">
        <f>VLOOKUP(O54, '[1]لیست محصولات اردیبهشت ۱۴۰۳'!B:G,6,0)</f>
        <v>2100000</v>
      </c>
      <c r="U54" s="15"/>
      <c r="V54" s="16">
        <f t="shared" si="1"/>
        <v>0</v>
      </c>
      <c r="W54" s="12">
        <f t="shared" si="2"/>
        <v>1</v>
      </c>
      <c r="X54" s="14">
        <f t="shared" si="3"/>
        <v>2100000</v>
      </c>
      <c r="Y54" s="17"/>
      <c r="Z54" s="14">
        <f t="shared" si="4"/>
        <v>2100000</v>
      </c>
      <c r="AA54" s="149"/>
      <c r="AB54" s="148"/>
      <c r="AC54" s="147"/>
      <c r="AD54" s="146"/>
      <c r="AE54" s="19"/>
      <c r="AF54" s="21"/>
      <c r="AG54" s="22" t="str">
        <f t="shared" si="5"/>
        <v>TRUE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144"/>
      <c r="H55" s="150"/>
      <c r="I55" s="144"/>
      <c r="J55" s="144"/>
      <c r="K55" s="11" t="str">
        <f t="shared" ca="1" si="0"/>
        <v/>
      </c>
      <c r="L55" s="145"/>
      <c r="M55" s="145"/>
      <c r="N55" s="145"/>
      <c r="O55" s="9">
        <v>3326.1</v>
      </c>
      <c r="P55" s="9">
        <v>1</v>
      </c>
      <c r="Q55" s="13" t="str">
        <f>VLOOKUP(O55, '[1]لیست محصولات اردیبهشت ۱۴۰۳'!B:C,2,0)</f>
        <v>میاگروس | Milagros</v>
      </c>
      <c r="R55" s="9"/>
      <c r="S55" s="12">
        <f>VLOOKUP(O55, '[1]لیست محصولات اردیبهشت ۱۴۰۳'!B:F,5,0)</f>
        <v>150</v>
      </c>
      <c r="T55" s="14">
        <f>VLOOKUP(O55, '[1]لیست محصولات اردیبهشت ۱۴۰۳'!B:G,6,0)</f>
        <v>3750000</v>
      </c>
      <c r="U55" s="26"/>
      <c r="V55" s="16">
        <f t="shared" si="1"/>
        <v>0</v>
      </c>
      <c r="W55" s="12">
        <f t="shared" si="2"/>
        <v>1</v>
      </c>
      <c r="X55" s="14">
        <f t="shared" si="3"/>
        <v>3750000</v>
      </c>
      <c r="Y55" s="17"/>
      <c r="Z55" s="14">
        <f t="shared" si="4"/>
        <v>3750000</v>
      </c>
      <c r="AA55" s="149"/>
      <c r="AB55" s="148"/>
      <c r="AC55" s="147"/>
      <c r="AD55" s="146"/>
      <c r="AE55" s="19"/>
      <c r="AF55" s="21"/>
      <c r="AG55" s="22" t="str">
        <f t="shared" si="5"/>
        <v>TRUE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133"/>
      <c r="H56" s="131"/>
      <c r="I56" s="133"/>
      <c r="J56" s="133"/>
      <c r="K56" s="11" t="str">
        <f t="shared" ca="1" si="0"/>
        <v/>
      </c>
      <c r="L56" s="143"/>
      <c r="M56" s="143"/>
      <c r="N56" s="143"/>
      <c r="O56" s="9">
        <v>3325.1</v>
      </c>
      <c r="P56" s="9">
        <v>2</v>
      </c>
      <c r="Q56" s="13" t="str">
        <f>VLOOKUP(O56, '[1]لیست محصولات اردیبهشت ۱۴۰۳'!B:C,2,0)</f>
        <v>راتناگری | Ratnagiri</v>
      </c>
      <c r="R56" s="9"/>
      <c r="S56" s="12">
        <f>VLOOKUP(O56, '[1]لیست محصولات اردیبهشت ۱۴۰۳'!B:F,5,0)</f>
        <v>150</v>
      </c>
      <c r="T56" s="14">
        <f>VLOOKUP(O56, '[1]لیست محصولات اردیبهشت ۱۴۰۳'!B:G,6,0)</f>
        <v>4250000</v>
      </c>
      <c r="U56" s="15"/>
      <c r="V56" s="16">
        <f t="shared" si="1"/>
        <v>0</v>
      </c>
      <c r="W56" s="12">
        <f t="shared" si="2"/>
        <v>2</v>
      </c>
      <c r="X56" s="14">
        <f t="shared" si="3"/>
        <v>8500000</v>
      </c>
      <c r="Y56" s="17"/>
      <c r="Z56" s="14">
        <f t="shared" si="4"/>
        <v>8500000</v>
      </c>
      <c r="AA56" s="141"/>
      <c r="AB56" s="139"/>
      <c r="AC56" s="137"/>
      <c r="AD56" s="135"/>
      <c r="AE56" s="19"/>
      <c r="AF56" s="21"/>
      <c r="AG56" s="22" t="str">
        <f t="shared" si="5"/>
        <v>TRUE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>
        <v>29</v>
      </c>
      <c r="H57" s="10">
        <v>277521132765</v>
      </c>
      <c r="I57" s="9" t="s">
        <v>692</v>
      </c>
      <c r="J57" s="9"/>
      <c r="K57" s="11" t="str">
        <f t="shared" ca="1" si="0"/>
        <v/>
      </c>
      <c r="L57" s="12" t="s">
        <v>591</v>
      </c>
      <c r="M57" s="12" t="s">
        <v>791</v>
      </c>
      <c r="N57" s="12"/>
      <c r="O57" s="9">
        <v>5501.2</v>
      </c>
      <c r="P57" s="9">
        <v>1</v>
      </c>
      <c r="Q57" s="13" t="str">
        <f>VLOOKUP(O57, '[1]لیست محصولات اردیبهشت ۱۴۰۳'!B:C,2,0)</f>
        <v>ورتکس | Vortex</v>
      </c>
      <c r="R57" s="9"/>
      <c r="S57" s="12">
        <f>VLOOKUP(O57, '[1]لیست محصولات اردیبهشت ۱۴۰۳'!B:F,5,0)</f>
        <v>750</v>
      </c>
      <c r="T57" s="14">
        <f>VLOOKUP(O57, '[1]لیست محصولات اردیبهشت ۱۴۰۳'!B:G,6,0)</f>
        <v>9900000</v>
      </c>
      <c r="U57" s="15"/>
      <c r="V57" s="16">
        <f t="shared" si="1"/>
        <v>0</v>
      </c>
      <c r="W57" s="12">
        <f t="shared" si="2"/>
        <v>1</v>
      </c>
      <c r="X57" s="14">
        <f t="shared" si="3"/>
        <v>9900000</v>
      </c>
      <c r="Y57" s="17"/>
      <c r="Z57" s="14">
        <f t="shared" si="4"/>
        <v>9900000</v>
      </c>
      <c r="AA57" s="18" t="s">
        <v>464</v>
      </c>
      <c r="AB57" s="13" t="s">
        <v>792</v>
      </c>
      <c r="AC57" s="19" t="s">
        <v>793</v>
      </c>
      <c r="AD57" s="20"/>
      <c r="AE57" s="19"/>
      <c r="AF57" s="21"/>
      <c r="AG57" s="22" t="str">
        <f t="shared" si="5"/>
        <v>TRUE</v>
      </c>
      <c r="AH57" s="23" t="str">
        <f t="shared" si="6"/>
        <v>اهواز نادری خیابان جهانیان بین حافظ وکتانباف بن بست گلبهار پلاک ۶۰  - حسین چهارلنگ زاده 09167292532</v>
      </c>
    </row>
    <row r="58" spans="1:34" ht="22.35" customHeight="1">
      <c r="A58" s="7"/>
      <c r="B58" s="7"/>
      <c r="C58" s="7"/>
      <c r="D58" s="7"/>
      <c r="E58" s="7"/>
      <c r="F58" s="8"/>
      <c r="G58" s="132">
        <v>30</v>
      </c>
      <c r="H58" s="130">
        <v>277528550233</v>
      </c>
      <c r="I58" s="132" t="s">
        <v>692</v>
      </c>
      <c r="J58" s="132"/>
      <c r="K58" s="11" t="str">
        <f t="shared" ca="1" si="0"/>
        <v/>
      </c>
      <c r="L58" s="142" t="s">
        <v>796</v>
      </c>
      <c r="M58" s="142" t="s">
        <v>794</v>
      </c>
      <c r="N58" s="142" t="s">
        <v>795</v>
      </c>
      <c r="O58" s="9">
        <v>3326.1</v>
      </c>
      <c r="P58" s="9">
        <v>1</v>
      </c>
      <c r="Q58" s="13" t="str">
        <f>VLOOKUP(O58, '[1]لیست محصولات اردیبهشت ۱۴۰۳'!B:C,2,0)</f>
        <v>میاگروس | Milagros</v>
      </c>
      <c r="R58" s="9"/>
      <c r="S58" s="12">
        <f>VLOOKUP(O58, '[1]لیست محصولات اردیبهشت ۱۴۰۳'!B:F,5,0)</f>
        <v>150</v>
      </c>
      <c r="T58" s="14">
        <f>VLOOKUP(O58, '[1]لیست محصولات اردیبهشت ۱۴۰۳'!B:G,6,0)</f>
        <v>3750000</v>
      </c>
      <c r="U58" s="15"/>
      <c r="V58" s="16">
        <f t="shared" si="1"/>
        <v>0</v>
      </c>
      <c r="W58" s="12">
        <f t="shared" si="2"/>
        <v>1</v>
      </c>
      <c r="X58" s="14">
        <f t="shared" si="3"/>
        <v>3750000</v>
      </c>
      <c r="Y58" s="17"/>
      <c r="Z58" s="14">
        <f t="shared" si="4"/>
        <v>3750000</v>
      </c>
      <c r="AA58" s="140" t="s">
        <v>797</v>
      </c>
      <c r="AB58" s="138" t="s">
        <v>798</v>
      </c>
      <c r="AC58" s="136" t="s">
        <v>799</v>
      </c>
      <c r="AD58" s="134"/>
      <c r="AE58" s="19"/>
      <c r="AF58" s="21"/>
      <c r="AG58" s="22" t="str">
        <f t="shared" si="5"/>
        <v>TRUE</v>
      </c>
      <c r="AH58" s="23" t="str">
        <f t="shared" si="6"/>
        <v>گرگان عدالت ۸۱ سه راه مهرگان کافه پنزا - داود دعوتی 09355596066</v>
      </c>
    </row>
    <row r="59" spans="1:34" ht="22.35" customHeight="1">
      <c r="A59" s="7"/>
      <c r="B59" s="7"/>
      <c r="C59" s="7"/>
      <c r="D59" s="7"/>
      <c r="E59" s="7"/>
      <c r="F59" s="8"/>
      <c r="G59" s="144"/>
      <c r="H59" s="150"/>
      <c r="I59" s="144"/>
      <c r="J59" s="144"/>
      <c r="K59" s="11" t="str">
        <f t="shared" ca="1" si="0"/>
        <v/>
      </c>
      <c r="L59" s="145"/>
      <c r="M59" s="145"/>
      <c r="N59" s="145"/>
      <c r="O59" s="9">
        <v>3326.2</v>
      </c>
      <c r="P59" s="9">
        <v>1</v>
      </c>
      <c r="Q59" s="13" t="str">
        <f>VLOOKUP(O59, '[1]لیست محصولات اردیبهشت ۱۴۰۳'!B:C,2,0)</f>
        <v>میاگروس | Milagros</v>
      </c>
      <c r="R59" s="9"/>
      <c r="S59" s="12">
        <f>VLOOKUP(O59, '[1]لیست محصولات اردیبهشت ۱۴۰۳'!B:F,5,0)</f>
        <v>750</v>
      </c>
      <c r="T59" s="14">
        <f>VLOOKUP(O59, '[1]لیست محصولات اردیبهشت ۱۴۰۳'!B:G,6,0)</f>
        <v>18150000</v>
      </c>
      <c r="U59" s="15"/>
      <c r="V59" s="16">
        <f t="shared" si="1"/>
        <v>0</v>
      </c>
      <c r="W59" s="12">
        <f t="shared" si="2"/>
        <v>1</v>
      </c>
      <c r="X59" s="14">
        <f t="shared" si="3"/>
        <v>18150000</v>
      </c>
      <c r="Y59" s="17"/>
      <c r="Z59" s="14">
        <f t="shared" si="4"/>
        <v>18150000</v>
      </c>
      <c r="AA59" s="149"/>
      <c r="AB59" s="148"/>
      <c r="AC59" s="147"/>
      <c r="AD59" s="146"/>
      <c r="AE59" s="19"/>
      <c r="AF59" s="21"/>
      <c r="AG59" s="22" t="str">
        <f t="shared" si="5"/>
        <v>TRUE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133"/>
      <c r="H60" s="131"/>
      <c r="I60" s="133"/>
      <c r="J60" s="133"/>
      <c r="K60" s="11" t="str">
        <f t="shared" ca="1" si="0"/>
        <v/>
      </c>
      <c r="L60" s="143"/>
      <c r="M60" s="143"/>
      <c r="N60" s="143"/>
      <c r="O60" s="9">
        <v>3325.2</v>
      </c>
      <c r="P60" s="9">
        <v>1</v>
      </c>
      <c r="Q60" s="13" t="str">
        <f>VLOOKUP(O60, '[1]لیست محصولات اردیبهشت ۱۴۰۳'!B:C,2,0)</f>
        <v>راتناگری | Ratnagiri</v>
      </c>
      <c r="R60" s="9"/>
      <c r="S60" s="12">
        <f>VLOOKUP(O60, '[1]لیست محصولات اردیبهشت ۱۴۰۳'!B:F,5,0)</f>
        <v>750</v>
      </c>
      <c r="T60" s="14">
        <f>VLOOKUP(O60, '[1]لیست محصولات اردیبهشت ۱۴۰۳'!B:G,6,0)</f>
        <v>20700000</v>
      </c>
      <c r="U60" s="15"/>
      <c r="V60" s="16">
        <f t="shared" si="1"/>
        <v>0</v>
      </c>
      <c r="W60" s="12">
        <f t="shared" si="2"/>
        <v>1</v>
      </c>
      <c r="X60" s="14">
        <f t="shared" si="3"/>
        <v>20700000</v>
      </c>
      <c r="Y60" s="17"/>
      <c r="Z60" s="14">
        <f t="shared" si="4"/>
        <v>20700000</v>
      </c>
      <c r="AA60" s="141"/>
      <c r="AB60" s="139"/>
      <c r="AC60" s="137"/>
      <c r="AD60" s="135"/>
      <c r="AE60" s="19"/>
      <c r="AF60" s="21"/>
      <c r="AG60" s="22" t="str">
        <f t="shared" si="5"/>
        <v>TRUE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155">
        <v>31</v>
      </c>
      <c r="H61" s="157"/>
      <c r="I61" s="155" t="s">
        <v>692</v>
      </c>
      <c r="J61" s="9"/>
      <c r="K61" s="11" t="str">
        <f t="shared" ca="1" si="0"/>
        <v/>
      </c>
      <c r="L61" s="142" t="s">
        <v>800</v>
      </c>
      <c r="M61" s="142" t="s">
        <v>801</v>
      </c>
      <c r="N61" s="142" t="s">
        <v>424</v>
      </c>
      <c r="O61" s="9">
        <v>5501.3</v>
      </c>
      <c r="P61" s="9">
        <v>2</v>
      </c>
      <c r="Q61" s="13" t="str">
        <f>VLOOKUP(O61, '[1]لیست محصولات اردیبهشت ۱۴۰۳'!B:C,2,0)</f>
        <v>ورتکس | Vortex</v>
      </c>
      <c r="R61" s="9"/>
      <c r="S61" s="12">
        <f>VLOOKUP(O61, '[1]لیست محصولات اردیبهشت ۱۴۰۳'!B:F,5,0)</f>
        <v>4000</v>
      </c>
      <c r="T61" s="14">
        <f>VLOOKUP(O61, '[1]لیست محصولات اردیبهشت ۱۴۰۳'!B:G,6,0)</f>
        <v>51200000</v>
      </c>
      <c r="U61" s="15"/>
      <c r="V61" s="16">
        <f t="shared" si="1"/>
        <v>0</v>
      </c>
      <c r="W61" s="12">
        <f t="shared" si="2"/>
        <v>2</v>
      </c>
      <c r="X61" s="14">
        <f t="shared" si="3"/>
        <v>102400000</v>
      </c>
      <c r="Y61" s="17"/>
      <c r="Z61" s="14">
        <f t="shared" si="4"/>
        <v>102400000</v>
      </c>
      <c r="AA61" s="140" t="s">
        <v>79</v>
      </c>
      <c r="AB61" s="138" t="s">
        <v>70</v>
      </c>
      <c r="AC61" s="136" t="s">
        <v>426</v>
      </c>
      <c r="AD61" s="134"/>
      <c r="AE61" s="19"/>
      <c r="AF61" s="21"/>
      <c r="AG61" s="22" t="str">
        <f t="shared" si="5"/>
        <v>TRUE</v>
      </c>
      <c r="AH61" s="23" t="str">
        <f t="shared" si="6"/>
        <v>تهران - کافه آرمه - اردوان یوسفی 09124047817</v>
      </c>
    </row>
    <row r="62" spans="1:34" ht="22.35" customHeight="1">
      <c r="A62" s="7"/>
      <c r="B62" s="7"/>
      <c r="C62" s="7"/>
      <c r="D62" s="7"/>
      <c r="E62" s="7"/>
      <c r="F62" s="8"/>
      <c r="G62" s="156"/>
      <c r="H62" s="158"/>
      <c r="I62" s="156"/>
      <c r="J62" s="9" t="s">
        <v>76</v>
      </c>
      <c r="K62" s="11" t="str">
        <f t="shared" ca="1" si="0"/>
        <v/>
      </c>
      <c r="L62" s="143"/>
      <c r="M62" s="143"/>
      <c r="N62" s="143"/>
      <c r="O62" s="9">
        <v>5501.2</v>
      </c>
      <c r="P62" s="9">
        <v>1</v>
      </c>
      <c r="Q62" s="13" t="str">
        <f>VLOOKUP(O62, '[1]لیست محصولات اردیبهشت ۱۴۰۳'!B:C,2,0)</f>
        <v>ورتکس | Vortex</v>
      </c>
      <c r="R62" s="9"/>
      <c r="S62" s="12">
        <f>VLOOKUP(O62, '[1]لیست محصولات اردیبهشت ۱۴۰۳'!B:F,5,0)</f>
        <v>750</v>
      </c>
      <c r="T62" s="14">
        <f>VLOOKUP(O62, '[1]لیست محصولات اردیبهشت ۱۴۰۳'!B:G,6,0)</f>
        <v>9900000</v>
      </c>
      <c r="U62" s="15"/>
      <c r="V62" s="16">
        <f t="shared" si="1"/>
        <v>0</v>
      </c>
      <c r="W62" s="12">
        <f t="shared" si="2"/>
        <v>1</v>
      </c>
      <c r="X62" s="14">
        <f t="shared" si="3"/>
        <v>9900000</v>
      </c>
      <c r="Y62" s="17"/>
      <c r="Z62" s="14">
        <f t="shared" si="4"/>
        <v>9900000</v>
      </c>
      <c r="AA62" s="141"/>
      <c r="AB62" s="139"/>
      <c r="AC62" s="137"/>
      <c r="AD62" s="135"/>
      <c r="AE62" s="68" t="s">
        <v>802</v>
      </c>
      <c r="AF62" s="21"/>
      <c r="AG62" s="22" t="str">
        <f t="shared" si="5"/>
        <v>TRUE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66">
        <v>32</v>
      </c>
      <c r="H63" s="67"/>
      <c r="I63" s="66" t="s">
        <v>692</v>
      </c>
      <c r="J63" s="9" t="s">
        <v>76</v>
      </c>
      <c r="K63" s="11" t="str">
        <f t="shared" ca="1" si="0"/>
        <v/>
      </c>
      <c r="L63" s="12" t="s">
        <v>803</v>
      </c>
      <c r="M63" s="12" t="s">
        <v>142</v>
      </c>
      <c r="N63" s="12" t="s">
        <v>143</v>
      </c>
      <c r="O63" s="9">
        <v>5523.2</v>
      </c>
      <c r="P63" s="9">
        <v>27</v>
      </c>
      <c r="Q63" s="13" t="str">
        <f>VLOOKUP(O63, '[1]لیست محصولات اردیبهشت ۱۴۰۳'!B:C,2,0)</f>
        <v>کوتوا دانکن | Kotowa Duncan</v>
      </c>
      <c r="R63" s="9"/>
      <c r="S63" s="12">
        <f>VLOOKUP(O63, '[1]لیست محصولات اردیبهشت ۱۴۰۳'!B:F,5,0)</f>
        <v>750</v>
      </c>
      <c r="T63" s="14">
        <f>VLOOKUP(O63, '[1]لیست محصولات اردیبهشت ۱۴۰۳'!B:G,6,0)</f>
        <v>12150000</v>
      </c>
      <c r="U63" s="15"/>
      <c r="V63" s="16">
        <f t="shared" si="1"/>
        <v>0</v>
      </c>
      <c r="W63" s="12">
        <f t="shared" si="2"/>
        <v>27</v>
      </c>
      <c r="X63" s="14">
        <f t="shared" si="3"/>
        <v>328050000</v>
      </c>
      <c r="Y63" s="17"/>
      <c r="Z63" s="14">
        <f t="shared" si="4"/>
        <v>328050000</v>
      </c>
      <c r="AA63" s="18" t="s">
        <v>79</v>
      </c>
      <c r="AB63" s="13" t="s">
        <v>811</v>
      </c>
      <c r="AC63" s="19" t="s">
        <v>144</v>
      </c>
      <c r="AD63" s="20"/>
      <c r="AE63" s="19"/>
      <c r="AF63" s="21"/>
      <c r="AG63" s="22" t="str">
        <f t="shared" si="5"/>
        <v>TRUE</v>
      </c>
      <c r="AH63" s="23" t="str">
        <f t="shared" si="6"/>
        <v>تهران نیاوران،خیابان عمار،نرسیده به سه راه یاسر، پلاک ۲۴ کافه بیکری رولن - محمدحسن شمیرانی 09126221305</v>
      </c>
    </row>
    <row r="64" spans="1:34" ht="22.35" customHeight="1">
      <c r="A64" s="7"/>
      <c r="B64" s="7"/>
      <c r="C64" s="7"/>
      <c r="D64" s="7"/>
      <c r="E64" s="7"/>
      <c r="F64" s="8"/>
      <c r="G64" s="155">
        <v>33</v>
      </c>
      <c r="H64" s="157"/>
      <c r="I64" s="155" t="s">
        <v>692</v>
      </c>
      <c r="J64" s="132" t="s">
        <v>76</v>
      </c>
      <c r="K64" s="11" t="str">
        <f t="shared" ca="1" si="0"/>
        <v/>
      </c>
      <c r="L64" s="142"/>
      <c r="M64" s="142" t="s">
        <v>77</v>
      </c>
      <c r="N64" s="142" t="s">
        <v>257</v>
      </c>
      <c r="O64" s="9">
        <v>5511.3</v>
      </c>
      <c r="P64" s="9">
        <v>1</v>
      </c>
      <c r="Q64" s="13" t="str">
        <f>VLOOKUP(O64, '[1]لیست محصولات اردیبهشت ۱۴۰۳'!B:C,2,0)</f>
        <v>هامبلا | Hambella</v>
      </c>
      <c r="R64" s="9"/>
      <c r="S64" s="12">
        <f>VLOOKUP(O64, '[1]لیست محصولات اردیبهشت ۱۴۰۳'!B:F,5,0)</f>
        <v>4000</v>
      </c>
      <c r="T64" s="14">
        <f>VLOOKUP(O64, '[1]لیست محصولات اردیبهشت ۱۴۰۳'!B:G,6,0)</f>
        <v>69600000</v>
      </c>
      <c r="U64" s="15"/>
      <c r="V64" s="16">
        <f t="shared" si="1"/>
        <v>0</v>
      </c>
      <c r="W64" s="12">
        <f t="shared" si="2"/>
        <v>1</v>
      </c>
      <c r="X64" s="14">
        <f t="shared" si="3"/>
        <v>69600000</v>
      </c>
      <c r="Y64" s="17"/>
      <c r="Z64" s="14">
        <f t="shared" si="4"/>
        <v>69600000</v>
      </c>
      <c r="AA64" s="140" t="s">
        <v>79</v>
      </c>
      <c r="AB64" s="138" t="s">
        <v>70</v>
      </c>
      <c r="AC64" s="136" t="s">
        <v>80</v>
      </c>
      <c r="AD64" s="134"/>
      <c r="AE64" s="19"/>
      <c r="AF64" s="21"/>
      <c r="AG64" s="22" t="str">
        <f t="shared" si="5"/>
        <v>TRUE</v>
      </c>
      <c r="AH64" s="23" t="str">
        <f t="shared" si="6"/>
        <v>تهران - کافه بیکری کروسان روشا -  حجتی 09373955769</v>
      </c>
    </row>
    <row r="65" spans="1:34" ht="22.35" customHeight="1">
      <c r="A65" s="7"/>
      <c r="B65" s="7"/>
      <c r="C65" s="7"/>
      <c r="D65" s="7"/>
      <c r="E65" s="7"/>
      <c r="F65" s="8"/>
      <c r="G65" s="156"/>
      <c r="H65" s="158"/>
      <c r="I65" s="156"/>
      <c r="J65" s="133"/>
      <c r="K65" s="11" t="str">
        <f t="shared" ca="1" si="0"/>
        <v/>
      </c>
      <c r="L65" s="143"/>
      <c r="M65" s="143"/>
      <c r="N65" s="143"/>
      <c r="O65" s="9">
        <v>5501.3</v>
      </c>
      <c r="P65" s="9">
        <v>4</v>
      </c>
      <c r="Q65" s="13" t="str">
        <f>VLOOKUP(O65, '[1]لیست محصولات اردیبهشت ۱۴۰۳'!B:C,2,0)</f>
        <v>ورتکس | Vortex</v>
      </c>
      <c r="R65" s="9"/>
      <c r="S65" s="12">
        <f>VLOOKUP(O65, '[1]لیست محصولات اردیبهشت ۱۴۰۳'!B:F,5,0)</f>
        <v>4000</v>
      </c>
      <c r="T65" s="14">
        <f>VLOOKUP(O65, '[1]لیست محصولات اردیبهشت ۱۴۰۳'!B:G,6,0)</f>
        <v>51200000</v>
      </c>
      <c r="U65" s="26"/>
      <c r="V65" s="16">
        <f t="shared" si="1"/>
        <v>0</v>
      </c>
      <c r="W65" s="12">
        <f t="shared" si="2"/>
        <v>4</v>
      </c>
      <c r="X65" s="14">
        <f t="shared" si="3"/>
        <v>204800000</v>
      </c>
      <c r="Y65" s="17"/>
      <c r="Z65" s="14">
        <f t="shared" si="4"/>
        <v>204800000</v>
      </c>
      <c r="AA65" s="141"/>
      <c r="AB65" s="139"/>
      <c r="AC65" s="137"/>
      <c r="AD65" s="135"/>
      <c r="AE65" s="19"/>
      <c r="AF65" s="21"/>
      <c r="AG65" s="22" t="str">
        <f t="shared" si="5"/>
        <v>TRUE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>
        <v>34</v>
      </c>
      <c r="H66" s="10">
        <v>277529542128</v>
      </c>
      <c r="I66" s="9" t="s">
        <v>692</v>
      </c>
      <c r="J66" s="9" t="s">
        <v>76</v>
      </c>
      <c r="K66" s="11" t="str">
        <f t="shared" ref="K66:K87" ca="1" si="7">IF(C66, TODAY(), "" )</f>
        <v/>
      </c>
      <c r="L66" s="12" t="s">
        <v>253</v>
      </c>
      <c r="M66" s="12" t="s">
        <v>405</v>
      </c>
      <c r="N66" s="12" t="s">
        <v>406</v>
      </c>
      <c r="O66" s="9">
        <v>5501.3</v>
      </c>
      <c r="P66" s="9">
        <v>2</v>
      </c>
      <c r="Q66" s="13" t="str">
        <f>VLOOKUP(O66, '[1]لیست محصولات اردیبهشت ۱۴۰۳'!B:C,2,0)</f>
        <v>ورتکس | Vortex</v>
      </c>
      <c r="R66" s="9"/>
      <c r="S66" s="12">
        <f>VLOOKUP(O66, '[1]لیست محصولات اردیبهشت ۱۴۰۳'!B:F,5,0)</f>
        <v>4000</v>
      </c>
      <c r="T66" s="14">
        <f>VLOOKUP(O66, '[1]لیست محصولات اردیبهشت ۱۴۰۳'!B:G,6,0)</f>
        <v>51200000</v>
      </c>
      <c r="U66" s="15"/>
      <c r="V66" s="16">
        <f t="shared" ref="V66:V129" si="8">IF(C66, P66, U66 )</f>
        <v>0</v>
      </c>
      <c r="W66" s="12">
        <f t="shared" ref="W66:W200" si="9">P66-V66</f>
        <v>2</v>
      </c>
      <c r="X66" s="14">
        <f t="shared" ref="X66:X200" si="10">P66*T66</f>
        <v>102400000</v>
      </c>
      <c r="Y66" s="17"/>
      <c r="Z66" s="14">
        <f t="shared" ref="Z66:Z200" si="11">X66-Y66</f>
        <v>102400000</v>
      </c>
      <c r="AA66" s="18" t="s">
        <v>79</v>
      </c>
      <c r="AB66" s="13" t="s">
        <v>407</v>
      </c>
      <c r="AC66" s="19" t="s">
        <v>408</v>
      </c>
      <c r="AD66" s="20"/>
      <c r="AE66" s="19"/>
      <c r="AF66" s="21"/>
      <c r="AG66" s="22" t="str">
        <f t="shared" ref="AG66:AG87" si="12">IF(V66=P66, "FALSE", "TRUE" )</f>
        <v>TRUE</v>
      </c>
      <c r="AH66" s="23" t="str">
        <f t="shared" si="6"/>
        <v>تهران بزرگراه حقانى بلوار كتابخانه ملى ضلع جنوبى پرديس تئاتر موسيقى کافه کُر - فهیمه قدم یاری 09124431359</v>
      </c>
    </row>
    <row r="67" spans="1:34" ht="22.35" customHeight="1">
      <c r="A67" s="7"/>
      <c r="B67" s="7"/>
      <c r="C67" s="7"/>
      <c r="D67" s="7"/>
      <c r="E67" s="7"/>
      <c r="F67" s="8"/>
      <c r="G67" s="132">
        <v>35</v>
      </c>
      <c r="H67" s="130">
        <v>277529482833</v>
      </c>
      <c r="I67" s="132" t="s">
        <v>692</v>
      </c>
      <c r="J67" s="132"/>
      <c r="K67" s="11" t="str">
        <f t="shared" ca="1" si="7"/>
        <v/>
      </c>
      <c r="L67" s="142" t="s">
        <v>505</v>
      </c>
      <c r="M67" s="142" t="s">
        <v>701</v>
      </c>
      <c r="N67" s="142"/>
      <c r="O67" s="9">
        <v>5511.1</v>
      </c>
      <c r="P67" s="9">
        <v>2</v>
      </c>
      <c r="Q67" s="13" t="str">
        <f>VLOOKUP(O67, '[1]لیست محصولات اردیبهشت ۱۴۰۳'!B:C,2,0)</f>
        <v>هامبلا | Hambella</v>
      </c>
      <c r="R67" s="9"/>
      <c r="S67" s="12">
        <f>VLOOKUP(O67, '[1]لیست محصولات اردیبهشت ۱۴۰۳'!B:F,5,0)</f>
        <v>150</v>
      </c>
      <c r="T67" s="14">
        <f>VLOOKUP(O67, '[1]لیست محصولات اردیبهشت ۱۴۰۳'!B:G,6,0)</f>
        <v>2800000</v>
      </c>
      <c r="U67" s="15"/>
      <c r="V67" s="16">
        <f t="shared" si="8"/>
        <v>0</v>
      </c>
      <c r="W67" s="12">
        <f t="shared" si="9"/>
        <v>2</v>
      </c>
      <c r="X67" s="14">
        <f t="shared" si="10"/>
        <v>5600000</v>
      </c>
      <c r="Y67" s="17"/>
      <c r="Z67" s="14">
        <f t="shared" si="11"/>
        <v>5600000</v>
      </c>
      <c r="AA67" s="140" t="s">
        <v>79</v>
      </c>
      <c r="AB67" s="138" t="s">
        <v>804</v>
      </c>
      <c r="AC67" s="136" t="s">
        <v>703</v>
      </c>
      <c r="AD67" s="134" t="s">
        <v>99</v>
      </c>
      <c r="AE67" s="19"/>
      <c r="AF67" s="21"/>
      <c r="AG67" s="22" t="str">
        <f t="shared" si="12"/>
        <v>TRUE</v>
      </c>
      <c r="AH67" s="23" t="str">
        <f t="shared" si="6"/>
        <v>تهران خیابان امیرکبیر-خیابان ملت-کوچه ملت-پاساژ ملت-طبقه همکف - پلاک4  - محمدحسین سقائیان 09121229391</v>
      </c>
    </row>
    <row r="68" spans="1:34" ht="22.35" customHeight="1">
      <c r="A68" s="7"/>
      <c r="B68" s="7"/>
      <c r="C68" s="7"/>
      <c r="D68" s="7"/>
      <c r="E68" s="7"/>
      <c r="F68" s="8"/>
      <c r="G68" s="133"/>
      <c r="H68" s="131"/>
      <c r="I68" s="133"/>
      <c r="J68" s="133"/>
      <c r="K68" s="11" t="str">
        <f t="shared" ca="1" si="7"/>
        <v/>
      </c>
      <c r="L68" s="143"/>
      <c r="M68" s="143"/>
      <c r="N68" s="143"/>
      <c r="O68" s="9">
        <v>3325.1</v>
      </c>
      <c r="P68" s="9">
        <v>1</v>
      </c>
      <c r="Q68" s="13" t="str">
        <f>VLOOKUP(O68, '[1]لیست محصولات اردیبهشت ۱۴۰۳'!B:C,2,0)</f>
        <v>راتناگری | Ratnagiri</v>
      </c>
      <c r="R68" s="9"/>
      <c r="S68" s="12">
        <f>VLOOKUP(O68, '[1]لیست محصولات اردیبهشت ۱۴۰۳'!B:F,5,0)</f>
        <v>150</v>
      </c>
      <c r="T68" s="14">
        <f>VLOOKUP(O68, '[1]لیست محصولات اردیبهشت ۱۴۰۳'!B:G,6,0)</f>
        <v>4250000</v>
      </c>
      <c r="U68" s="15"/>
      <c r="V68" s="16">
        <f t="shared" si="8"/>
        <v>0</v>
      </c>
      <c r="W68" s="12">
        <f t="shared" si="9"/>
        <v>1</v>
      </c>
      <c r="X68" s="14">
        <f t="shared" si="10"/>
        <v>4250000</v>
      </c>
      <c r="Y68" s="17"/>
      <c r="Z68" s="14">
        <f t="shared" si="11"/>
        <v>4250000</v>
      </c>
      <c r="AA68" s="141"/>
      <c r="AB68" s="139"/>
      <c r="AC68" s="137"/>
      <c r="AD68" s="135"/>
      <c r="AE68" s="19"/>
      <c r="AF68" s="21"/>
      <c r="AG68" s="22" t="str">
        <f t="shared" si="12"/>
        <v>TRUE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66">
        <v>36</v>
      </c>
      <c r="H69" s="67"/>
      <c r="I69" s="66" t="s">
        <v>692</v>
      </c>
      <c r="J69" s="9" t="s">
        <v>76</v>
      </c>
      <c r="K69" s="11" t="str">
        <f t="shared" ca="1" si="7"/>
        <v/>
      </c>
      <c r="L69" s="12" t="s">
        <v>805</v>
      </c>
      <c r="M69" s="12" t="s">
        <v>806</v>
      </c>
      <c r="N69" s="12" t="s">
        <v>807</v>
      </c>
      <c r="O69" s="9">
        <v>1130.0999999999999</v>
      </c>
      <c r="P69" s="9">
        <v>4</v>
      </c>
      <c r="Q69" s="13" t="str">
        <f>VLOOKUP(O69, '[1]لیست محصولات اردیبهشت ۱۴۰۳'!B:C,2,0)</f>
        <v>الیدا پلانو | Elida Plano</v>
      </c>
      <c r="R69" s="9"/>
      <c r="S69" s="12">
        <f>VLOOKUP(O69, '[1]لیست محصولات اردیبهشت ۱۴۰۳'!B:F,5,0)</f>
        <v>80</v>
      </c>
      <c r="T69" s="14">
        <f>VLOOKUP(O69, '[1]لیست محصولات اردیبهشت ۱۴۰۳'!B:G,6,0)</f>
        <v>13100000</v>
      </c>
      <c r="U69" s="15"/>
      <c r="V69" s="16">
        <f t="shared" si="8"/>
        <v>0</v>
      </c>
      <c r="W69" s="12">
        <f t="shared" si="9"/>
        <v>4</v>
      </c>
      <c r="X69" s="14">
        <f t="shared" si="10"/>
        <v>52400000</v>
      </c>
      <c r="Y69" s="17"/>
      <c r="Z69" s="14">
        <f t="shared" si="11"/>
        <v>52400000</v>
      </c>
      <c r="AA69" s="18" t="s">
        <v>808</v>
      </c>
      <c r="AB69" s="13" t="s">
        <v>809</v>
      </c>
      <c r="AC69" s="19" t="s">
        <v>810</v>
      </c>
      <c r="AD69" s="20"/>
      <c r="AE69" s="19"/>
      <c r="AF69" s="21"/>
      <c r="AG69" s="22" t="str">
        <f t="shared" si="12"/>
        <v>TRUE</v>
      </c>
      <c r="AH69" s="23" t="str">
        <f t="shared" si="13"/>
        <v>رشت بلوار ديلمان، نبش بلوار امام علي قهوه و کیک سایه - مصطفی موحدی فر 09116041874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66">
        <v>37</v>
      </c>
      <c r="H70" s="67"/>
      <c r="I70" s="66" t="s">
        <v>826</v>
      </c>
      <c r="J70" s="9"/>
      <c r="K70" s="11" t="str">
        <f t="shared" ca="1" si="7"/>
        <v/>
      </c>
      <c r="L70" s="12" t="s">
        <v>380</v>
      </c>
      <c r="M70" s="12" t="s">
        <v>848</v>
      </c>
      <c r="N70" s="12"/>
      <c r="O70" s="9">
        <v>5522.2</v>
      </c>
      <c r="P70" s="9">
        <v>1</v>
      </c>
      <c r="Q70" s="13" t="str">
        <f>VLOOKUP(O70, '[1]لیست محصولات اردیبهشت ۱۴۰۳'!B:C,2,0)</f>
        <v>تامارا | Tamara</v>
      </c>
      <c r="R70" s="9" t="s">
        <v>102</v>
      </c>
      <c r="S70" s="12">
        <f>VLOOKUP(O70, '[1]لیست محصولات اردیبهشت ۱۴۰۳'!B:F,5,0)</f>
        <v>750</v>
      </c>
      <c r="T70" s="14">
        <f>VLOOKUP(O70, '[1]لیست محصولات اردیبهشت ۱۴۰۳'!B:G,6,0)</f>
        <v>12450000</v>
      </c>
      <c r="U70" s="15"/>
      <c r="V70" s="16">
        <f t="shared" si="8"/>
        <v>0</v>
      </c>
      <c r="W70" s="12">
        <f t="shared" si="9"/>
        <v>1</v>
      </c>
      <c r="X70" s="14">
        <f t="shared" si="10"/>
        <v>12450000</v>
      </c>
      <c r="Y70" s="17"/>
      <c r="Z70" s="14">
        <f t="shared" si="11"/>
        <v>12450000</v>
      </c>
      <c r="AA70" s="18" t="s">
        <v>79</v>
      </c>
      <c r="AB70" s="13" t="s">
        <v>849</v>
      </c>
      <c r="AC70" s="19" t="s">
        <v>850</v>
      </c>
      <c r="AD70" s="20" t="s">
        <v>99</v>
      </c>
      <c r="AE70" s="68" t="s">
        <v>851</v>
      </c>
      <c r="AF70" s="21"/>
      <c r="AG70" s="22" t="str">
        <f t="shared" si="12"/>
        <v>TRUE</v>
      </c>
      <c r="AH70" s="23" t="str">
        <f t="shared" si="13"/>
        <v>تهران انتهای کارگر شمالی- خیابان نوزدهم- پلاک ۵۹(بین والفجر ۲ و جانبازان) واحد۴( زنگ خراب است تماس بگیرید)  - شهاب حشمت 09905544965</v>
      </c>
    </row>
    <row r="71" spans="1:34" ht="22.35" customHeight="1">
      <c r="A71" s="7"/>
      <c r="B71" s="7"/>
      <c r="C71" s="7"/>
      <c r="D71" s="7"/>
      <c r="E71" s="7"/>
      <c r="F71" s="8"/>
      <c r="G71" s="66">
        <v>38</v>
      </c>
      <c r="H71" s="67"/>
      <c r="I71" s="66" t="s">
        <v>826</v>
      </c>
      <c r="J71" s="9"/>
      <c r="K71" s="11" t="str">
        <f t="shared" ca="1" si="7"/>
        <v/>
      </c>
      <c r="L71" s="199" t="s">
        <v>863</v>
      </c>
      <c r="M71" s="200"/>
      <c r="N71" s="201"/>
      <c r="O71" s="9">
        <v>5511.11</v>
      </c>
      <c r="P71" s="9">
        <v>2</v>
      </c>
      <c r="Q71" s="69" t="str">
        <f>VLOOKUP(O71, '[1]لیست محصولات اردیبهشت ۱۴۰۳'!B:C,2,0)</f>
        <v>هامبلا(رست دمی) | Hambella( Filter Roast)</v>
      </c>
      <c r="R71" s="9" t="s">
        <v>425</v>
      </c>
      <c r="S71" s="12">
        <f>VLOOKUP(O71, '[1]لیست محصولات اردیبهشت ۱۴۰۳'!B:F,5,0)</f>
        <v>150</v>
      </c>
      <c r="T71" s="14">
        <f>VLOOKUP(O71, '[1]لیست محصولات اردیبهشت ۱۴۰۳'!B:G,6,0)</f>
        <v>2800000</v>
      </c>
      <c r="U71" s="15"/>
      <c r="V71" s="16">
        <f t="shared" si="8"/>
        <v>0</v>
      </c>
      <c r="W71" s="12">
        <f t="shared" si="9"/>
        <v>2</v>
      </c>
      <c r="X71" s="14">
        <f t="shared" si="10"/>
        <v>5600000</v>
      </c>
      <c r="Y71" s="17"/>
      <c r="Z71" s="14">
        <f t="shared" si="11"/>
        <v>5600000</v>
      </c>
      <c r="AA71" s="161" t="s">
        <v>863</v>
      </c>
      <c r="AB71" s="162"/>
      <c r="AC71" s="162"/>
      <c r="AD71" s="163"/>
      <c r="AE71" s="19"/>
      <c r="AF71" s="21"/>
      <c r="AG71" s="22" t="str">
        <f t="shared" si="12"/>
        <v>TRUE</v>
      </c>
      <c r="AH71" s="23" t="str">
        <f t="shared" si="13"/>
        <v xml:space="preserve">ادامه سفارش کافه آرمه   - ادامه سفارش کافه آرمه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8</v>
      </c>
      <c r="AI240" s="56">
        <f t="shared" si="19"/>
        <v>0</v>
      </c>
      <c r="AJ240" s="57">
        <f>AH240-AI240</f>
        <v>8</v>
      </c>
      <c r="AK240" s="58">
        <f t="shared" si="23"/>
        <v>1.2</v>
      </c>
      <c r="AL240" s="59">
        <f>AO240+AQ240-[2]Sheet1!$AH241</f>
        <v>0</v>
      </c>
      <c r="AM240" s="59">
        <f t="shared" si="25"/>
        <v>-8</v>
      </c>
      <c r="AN240" s="58">
        <f t="shared" si="21"/>
        <v>0</v>
      </c>
      <c r="AO240" s="59"/>
      <c r="AP240" s="58">
        <f t="shared" si="22"/>
        <v>-1.2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5</v>
      </c>
      <c r="AI241" s="56">
        <f t="shared" si="19"/>
        <v>0</v>
      </c>
      <c r="AJ241" s="57">
        <f t="shared" ref="AJ241:AJ264" si="27">AH241-AI241</f>
        <v>5</v>
      </c>
      <c r="AK241" s="58">
        <f>AH241*AG241/1000</f>
        <v>3.75</v>
      </c>
      <c r="AL241" s="59">
        <f>AO241+AQ241-[2]Sheet1!$AH242</f>
        <v>0</v>
      </c>
      <c r="AM241" s="59">
        <f t="shared" si="25"/>
        <v>-5</v>
      </c>
      <c r="AN241" s="58">
        <f t="shared" si="21"/>
        <v>0</v>
      </c>
      <c r="AO241" s="59"/>
      <c r="AP241" s="58">
        <f t="shared" si="22"/>
        <v>-3.75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19</v>
      </c>
      <c r="AI242" s="56">
        <f t="shared" si="19"/>
        <v>0</v>
      </c>
      <c r="AJ242" s="57">
        <f t="shared" si="27"/>
        <v>19</v>
      </c>
      <c r="AK242" s="58">
        <f t="shared" ref="AK242:AK267" si="28">AH242*AG242/1000</f>
        <v>76</v>
      </c>
      <c r="AL242" s="59">
        <f>AO242+AQ242-[2]Sheet1!$AH243</f>
        <v>0</v>
      </c>
      <c r="AM242" s="59">
        <f t="shared" si="25"/>
        <v>-19</v>
      </c>
      <c r="AN242" s="58">
        <f t="shared" si="21"/>
        <v>0</v>
      </c>
      <c r="AO242" s="59"/>
      <c r="AP242" s="58">
        <f t="shared" si="22"/>
        <v>-76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10</v>
      </c>
      <c r="AI251" s="56">
        <f t="shared" si="19"/>
        <v>0</v>
      </c>
      <c r="AJ251" s="57">
        <f t="shared" si="27"/>
        <v>10</v>
      </c>
      <c r="AK251" s="58">
        <f t="shared" si="28"/>
        <v>1.5</v>
      </c>
      <c r="AL251" s="59">
        <f>AO251+AQ251-[2]Sheet1!$AH252</f>
        <v>0</v>
      </c>
      <c r="AM251" s="59">
        <f t="shared" si="25"/>
        <v>-10</v>
      </c>
      <c r="AN251" s="58">
        <f t="shared" si="21"/>
        <v>0</v>
      </c>
      <c r="AO251" s="59"/>
      <c r="AP251" s="58">
        <f t="shared" si="22"/>
        <v>-1.5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11</v>
      </c>
      <c r="AI252" s="56">
        <f t="shared" si="19"/>
        <v>0</v>
      </c>
      <c r="AJ252" s="57">
        <f t="shared" si="27"/>
        <v>11</v>
      </c>
      <c r="AK252" s="58">
        <f t="shared" si="28"/>
        <v>8.25</v>
      </c>
      <c r="AL252" s="59">
        <f>AO252+AQ252-[2]Sheet1!$AH253</f>
        <v>0</v>
      </c>
      <c r="AM252" s="59">
        <f t="shared" si="25"/>
        <v>-11</v>
      </c>
      <c r="AN252" s="58">
        <f t="shared" si="21"/>
        <v>0</v>
      </c>
      <c r="AO252" s="59"/>
      <c r="AP252" s="58">
        <f t="shared" si="22"/>
        <v>-8.25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6</v>
      </c>
      <c r="AI253" s="56">
        <f t="shared" si="19"/>
        <v>0</v>
      </c>
      <c r="AJ253" s="57">
        <f t="shared" si="27"/>
        <v>6</v>
      </c>
      <c r="AK253" s="58">
        <f t="shared" si="28"/>
        <v>0.9</v>
      </c>
      <c r="AL253" s="59">
        <f>AO253+AQ253-[2]Sheet1!$AH254</f>
        <v>0</v>
      </c>
      <c r="AM253" s="59">
        <f t="shared" si="25"/>
        <v>-6</v>
      </c>
      <c r="AN253" s="58">
        <f t="shared" si="21"/>
        <v>0</v>
      </c>
      <c r="AO253" s="59"/>
      <c r="AP253" s="58">
        <f t="shared" si="22"/>
        <v>-0.9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4</v>
      </c>
      <c r="AI254" s="56">
        <f t="shared" si="19"/>
        <v>0</v>
      </c>
      <c r="AJ254" s="57">
        <f t="shared" si="27"/>
        <v>4</v>
      </c>
      <c r="AK254" s="58">
        <f t="shared" si="28"/>
        <v>3</v>
      </c>
      <c r="AL254" s="59">
        <f>AO254+AQ254-[2]Sheet1!$AH255</f>
        <v>0</v>
      </c>
      <c r="AM254" s="59">
        <f t="shared" si="25"/>
        <v>-4</v>
      </c>
      <c r="AN254" s="58">
        <f t="shared" si="21"/>
        <v>0</v>
      </c>
      <c r="AO254" s="59"/>
      <c r="AP254" s="58">
        <f t="shared" si="22"/>
        <v>-3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82">
    <mergeCell ref="AD4:AD6"/>
    <mergeCell ref="AC4:AC6"/>
    <mergeCell ref="AB4:AB6"/>
    <mergeCell ref="AA4:AA6"/>
    <mergeCell ref="N7:N8"/>
    <mergeCell ref="A1:B1"/>
    <mergeCell ref="C1:D1"/>
    <mergeCell ref="E1:F1"/>
    <mergeCell ref="U1:V1"/>
    <mergeCell ref="G4:G6"/>
    <mergeCell ref="H4:H6"/>
    <mergeCell ref="I4:I6"/>
    <mergeCell ref="J4:J6"/>
    <mergeCell ref="L4:L6"/>
    <mergeCell ref="M4:M6"/>
    <mergeCell ref="N4:N6"/>
    <mergeCell ref="G7:G8"/>
    <mergeCell ref="AA7:AA8"/>
    <mergeCell ref="AB7:AB8"/>
    <mergeCell ref="AC7:AC8"/>
    <mergeCell ref="AD7:AD8"/>
    <mergeCell ref="M7:M8"/>
    <mergeCell ref="L7:L8"/>
    <mergeCell ref="J7:J8"/>
    <mergeCell ref="I7:I8"/>
    <mergeCell ref="H7:H8"/>
    <mergeCell ref="M11:M15"/>
    <mergeCell ref="N11:N15"/>
    <mergeCell ref="AD11:AD15"/>
    <mergeCell ref="AC11:AC15"/>
    <mergeCell ref="AB11:AB15"/>
    <mergeCell ref="AA11:AA15"/>
    <mergeCell ref="G11:G15"/>
    <mergeCell ref="H11:H15"/>
    <mergeCell ref="I11:I15"/>
    <mergeCell ref="J11:J15"/>
    <mergeCell ref="L11:L15"/>
    <mergeCell ref="AD21:AD23"/>
    <mergeCell ref="AC21:AC23"/>
    <mergeCell ref="AB21:AB23"/>
    <mergeCell ref="AA21:AA23"/>
    <mergeCell ref="G21:G23"/>
    <mergeCell ref="H21:H23"/>
    <mergeCell ref="I21:I23"/>
    <mergeCell ref="J21:J23"/>
    <mergeCell ref="L21:L23"/>
    <mergeCell ref="M21:M23"/>
    <mergeCell ref="N21:N23"/>
    <mergeCell ref="H24:H25"/>
    <mergeCell ref="G24:G25"/>
    <mergeCell ref="AA24:AA25"/>
    <mergeCell ref="AD24:AD25"/>
    <mergeCell ref="AC24:AC25"/>
    <mergeCell ref="AB24:AB25"/>
    <mergeCell ref="N24:N25"/>
    <mergeCell ref="M24:M25"/>
    <mergeCell ref="L24:L25"/>
    <mergeCell ref="J24:J25"/>
    <mergeCell ref="I24:I25"/>
    <mergeCell ref="M26:M29"/>
    <mergeCell ref="N26:N29"/>
    <mergeCell ref="AD26:AD29"/>
    <mergeCell ref="AC26:AC29"/>
    <mergeCell ref="AB26:AB29"/>
    <mergeCell ref="AA26:AA29"/>
    <mergeCell ref="G26:G29"/>
    <mergeCell ref="H26:H29"/>
    <mergeCell ref="I26:I29"/>
    <mergeCell ref="J26:J29"/>
    <mergeCell ref="L26:L29"/>
    <mergeCell ref="I33:I34"/>
    <mergeCell ref="H33:H34"/>
    <mergeCell ref="G33:G34"/>
    <mergeCell ref="AD33:AD34"/>
    <mergeCell ref="AC33:AC34"/>
    <mergeCell ref="AB33:AB34"/>
    <mergeCell ref="AA33:AA34"/>
    <mergeCell ref="AE30:AE31"/>
    <mergeCell ref="N33:N34"/>
    <mergeCell ref="M33:M34"/>
    <mergeCell ref="L33:L34"/>
    <mergeCell ref="J33:J34"/>
    <mergeCell ref="H30:H31"/>
    <mergeCell ref="G30:G31"/>
    <mergeCell ref="AD30:AD31"/>
    <mergeCell ref="AC30:AC31"/>
    <mergeCell ref="AB30:AB31"/>
    <mergeCell ref="AA30:AA31"/>
    <mergeCell ref="N30:N31"/>
    <mergeCell ref="M30:M31"/>
    <mergeCell ref="L30:L31"/>
    <mergeCell ref="J30:J31"/>
    <mergeCell ref="I30:I31"/>
    <mergeCell ref="H38:H39"/>
    <mergeCell ref="G38:G39"/>
    <mergeCell ref="AD38:AD39"/>
    <mergeCell ref="AC38:AC39"/>
    <mergeCell ref="AB38:AB39"/>
    <mergeCell ref="AA38:AA39"/>
    <mergeCell ref="N38:N39"/>
    <mergeCell ref="M38:M39"/>
    <mergeCell ref="L38:L39"/>
    <mergeCell ref="J38:J39"/>
    <mergeCell ref="I38:I39"/>
    <mergeCell ref="AD41:AD45"/>
    <mergeCell ref="AC41:AC45"/>
    <mergeCell ref="AB41:AB45"/>
    <mergeCell ref="AA41:AA45"/>
    <mergeCell ref="G41:G45"/>
    <mergeCell ref="H41:H45"/>
    <mergeCell ref="I41:I45"/>
    <mergeCell ref="J41:J45"/>
    <mergeCell ref="L41:L45"/>
    <mergeCell ref="M41:M45"/>
    <mergeCell ref="N41:N45"/>
    <mergeCell ref="M47:M49"/>
    <mergeCell ref="N47:N49"/>
    <mergeCell ref="AD47:AD49"/>
    <mergeCell ref="AC47:AC49"/>
    <mergeCell ref="AB47:AB49"/>
    <mergeCell ref="AA47:AA49"/>
    <mergeCell ref="G47:G49"/>
    <mergeCell ref="H47:H49"/>
    <mergeCell ref="I47:I49"/>
    <mergeCell ref="J47:J49"/>
    <mergeCell ref="L47:L49"/>
    <mergeCell ref="AD51:AD56"/>
    <mergeCell ref="AC51:AC56"/>
    <mergeCell ref="AB51:AB56"/>
    <mergeCell ref="AA51:AA56"/>
    <mergeCell ref="G51:G56"/>
    <mergeCell ref="H51:H56"/>
    <mergeCell ref="I51:I56"/>
    <mergeCell ref="J51:J56"/>
    <mergeCell ref="L51:L56"/>
    <mergeCell ref="M51:M56"/>
    <mergeCell ref="N51:N56"/>
    <mergeCell ref="M58:M60"/>
    <mergeCell ref="N58:N60"/>
    <mergeCell ref="AD58:AD60"/>
    <mergeCell ref="AC58:AC60"/>
    <mergeCell ref="AB58:AB60"/>
    <mergeCell ref="AA58:AA60"/>
    <mergeCell ref="G58:G60"/>
    <mergeCell ref="H58:H60"/>
    <mergeCell ref="I58:I60"/>
    <mergeCell ref="J58:J60"/>
    <mergeCell ref="L58:L60"/>
    <mergeCell ref="G61:G62"/>
    <mergeCell ref="AD61:AD62"/>
    <mergeCell ref="AC61:AC62"/>
    <mergeCell ref="AB61:AB62"/>
    <mergeCell ref="AA61:AA62"/>
    <mergeCell ref="N61:N62"/>
    <mergeCell ref="M61:M62"/>
    <mergeCell ref="L61:L62"/>
    <mergeCell ref="I61:I62"/>
    <mergeCell ref="H61:H62"/>
    <mergeCell ref="H64:H65"/>
    <mergeCell ref="G64:G65"/>
    <mergeCell ref="AD64:AD65"/>
    <mergeCell ref="AC64:AC65"/>
    <mergeCell ref="AB64:AB65"/>
    <mergeCell ref="AA64:AA65"/>
    <mergeCell ref="N64:N65"/>
    <mergeCell ref="M64:M65"/>
    <mergeCell ref="L64:L65"/>
    <mergeCell ref="J64:J65"/>
    <mergeCell ref="I64:I65"/>
    <mergeCell ref="L71:N71"/>
    <mergeCell ref="AA71:AD71"/>
    <mergeCell ref="H67:H68"/>
    <mergeCell ref="G67:G68"/>
    <mergeCell ref="AD67:AD68"/>
    <mergeCell ref="AC67:AC68"/>
    <mergeCell ref="AB67:AB68"/>
    <mergeCell ref="AA67:AA68"/>
    <mergeCell ref="N67:N68"/>
    <mergeCell ref="M67:M68"/>
    <mergeCell ref="L67:L68"/>
    <mergeCell ref="J67:J68"/>
    <mergeCell ref="I67:I68"/>
  </mergeCells>
  <conditionalFormatting sqref="G2:J3 AD2:AD4 Z2:Z200 J4 J7 AD7 J9:J11 AD9:AD11 G11:I11 G16:J21 AD16:AD21 G24:J24 AD24 G26:J26 AD26 G30:J30 AD30 G32:J33 AD32:AD33 G35:J38 AD35:AD38 G40:J41 AD40:AD41 G46:J47 AD46:AD47 G50:J51 AD50:AD51 G57:J58 AD57:AD58 G61:J61 AD61 J62 G63:J64 AD63:AD64 G66:J67 AD66:AD67 AD69:AD70 G69:J200 AD72:AD200">
    <cfRule type="expression" dxfId="35" priority="63">
      <formula>$A2</formula>
    </cfRule>
    <cfRule type="expression" dxfId="34" priority="65">
      <formula>$E2</formula>
    </cfRule>
  </conditionalFormatting>
  <conditionalFormatting sqref="K2:Z2 G2:J3 AA2:AF4 Q3:Z200 J4 J7 AA7:AF7 J9:J11 AA9:AF11 G11:I11 G16:P21 AA16:AF21 G24:P24 AA24:AF24 G26:P26 AA26:AF26 G30:P30 AA30:AF30 G32:P33 AA32:AF33 G35:P38 AA35:AF38 G40:P41 AA40:AF41 G46:P47 AA46:AF47 G50:P51 AA50:AF51 G57:P58 AA57:AF58 G61:P61 AA61:AF61 J62:K62 G63:P64 AA63:AF64 G66:P67 AA66:AF67 G69:P70 AA69:AF70 G71:L71 G72:P200 AA72:AF200 K3:P3 H4 K4:K10 O4:P10 AE5:AF6 H7 AE8:AF8 H9:H10 K11:P11 K12:K15 O12:P15 AE12:AF15 K22:K23 O22:P23 AE22:AF23 K25 O25:P25 AE25:AF25 K27:K29 O27:P29 AE27:AF29 K31 O31:P31 AF31 K34 O34:P34 AE34:AF34 K39 O39:P39 AE39:AF39 K42:K45 O42:P45 AE42:AF45 K48:K49 O48:P49 AE48:AF49 K52:K56 O52:P56 AE52:AF56 K59:K60 O59:P60 AE59:AF60 O62:P62 AE62:AF62 K65 O65:P65 AE65:AF65 K68 O68:P68 AE68:AF68 O71:P71 AA71 AE71:AF71">
    <cfRule type="expression" dxfId="33" priority="64">
      <formula>$C2</formula>
    </cfRule>
  </conditionalFormatting>
  <conditionalFormatting sqref="W2:W200">
    <cfRule type="expression" dxfId="32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{722DEB49-9D5B-4617-A037-70D6FAC43702}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{8F259673-2EA7-4DEC-882C-79B2A9815EEC}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{74063D6B-E8B7-404C-BA71-2AC1F6C0D076}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{DCBB5B2F-8783-4CB4-B924-3ACB5F004A9E}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{6F118988-0322-4988-95B1-9D26CDC6E8EC}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{4E8236A6-304C-446D-B7B8-46FD1CB82DCD}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{4CA35E2F-5512-43F1-87AE-BE9C9B0191C3}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{B1E65EB9-BB92-4721-945C-E60CDC4BB6DF}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{E622222B-D4DF-4A3F-8AB5-57791EEC88E8}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{5930870C-9A53-4F15-8026-C2F9A7041E1D}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{13E94921-CB8D-4243-BB35-1B0037B3C534}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{B6592592-9EAE-48CA-952D-71E1350EE2F1}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{4F9F61ED-D58E-4187-B268-9329DDABCF24}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{C5650C48-7665-478B-86E0-9FFDDA4CAE3F}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{71002BBB-2F75-47AA-8B91-4597100FBFCF}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{7DB999D4-3A3B-4DF0-8C08-A62D9F70B87A}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{AB4DEED4-4AB1-4E87-9C2A-32C079E62624}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{B70908BD-90A4-4257-8A10-ED2182C667BB}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{9B15FA4F-F046-4DA9-A444-6B2401648DFA}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{F3625775-3BEE-4859-B690-C70D4FE789A1}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{47665827-4494-4032-A90B-52E589DB5344}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{B66821E3-AD51-4C56-A43E-DCED240B760B}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{2145BBD9-2628-4489-9C95-D3B4625B3371}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{7C21BFB4-95BE-470B-87EC-87462DC53924}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{6DEA547E-B08D-4BC1-BB2B-872244DD9F17}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{49ED14AA-0E07-473F-88E9-F0F8BB6D28A8}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{BC0E724C-24ED-4EB0-A89F-323C6CA9ECA1}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{00B7CCFE-FFDF-49B6-9AF4-0B20EE1E1642}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{AC6859B2-4317-4480-925C-76B6F823FE14}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{37C4C519-6BF6-43D0-9E93-714CCAB84994}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{065A5C76-0EC3-4956-910E-D26B2D25E9B9}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{EAD16D84-AD00-49AE-92B1-C56A2CAFC523}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{C38611FA-A0B9-4199-9F5B-0B45DE6B85F8}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{9F4EFB12-BC11-4652-9A3A-D1381F508272}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{25139582-5555-4026-AD69-34EBFA0EE121}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{7C486B22-2B56-4F6D-88F1-73F086C86EC7}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{9A7A4502-87D6-4A75-8B19-88DBB54E9213}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{BBB38A87-BA25-4F3E-9E61-DA8DF905044C}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{3B511F7A-F4A8-4B90-B578-3D4EF29646D3}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{7DF77F8D-63B9-4419-9C34-FC33A9F26B96}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{D9C52A0A-D41D-411F-824F-8C8C35815D15}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{C5E1223B-B2BF-45A9-ACE3-6222FFDB3FDE}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{F97DC7FD-6A9F-4E6A-8104-33C074A5A5E0}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{A756D19F-2B36-4E0B-81A4-CD16EBE3B90D}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{CDB76F38-C4D4-497C-8D2D-9CB0159BE600}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{F0EE288E-C8AC-42AF-A8C9-5FFB2B0D302B}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{24306D17-C1EE-43D2-A28C-1018DB68CEEC}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{89B49626-12BC-49A3-9E02-4DC6BBB3E5BB}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{CD6BD7D4-289B-4929-BB02-36BA283742DA}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{C46DF87B-341C-4BC7-8D56-5E61CD394B67}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{219363D7-2DBA-4B8E-A59C-842DDD45D496}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{772D9B19-3C6F-4DC8-89B8-AAC771ADFAAC}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{96988F94-8947-41AE-81F0-1639F052410D}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{D6AA9956-4977-4E1D-B9D6-7C8632D39CCD}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{43397AE3-E75D-4606-A260-D8C8D0F828AB}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{8F93D1A6-C501-4B11-90AE-EEB3DAE06AE3}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{C6CB646E-86EC-49EE-8FB6-A3F5CDDE217E}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{C75CB9EB-A065-42B3-8250-392406F7BB30}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{487D54C6-9A50-4960-9BA2-E3C00E50E8BD}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{E2055E45-0E00-489F-91F6-844161BD2D7B}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{76072C3D-B835-4195-B3F8-10566D03EA2E}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22DEB49-9D5B-4617-A037-70D6FAC43702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8F259673-2EA7-4DEC-882C-79B2A9815EEC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74063D6B-E8B7-404C-BA71-2AC1F6C0D076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DCBB5B2F-8783-4CB4-B924-3ACB5F004A9E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6F118988-0322-4988-95B1-9D26CDC6E8EC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4E8236A6-304C-446D-B7B8-46FD1CB82DCD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4CA35E2F-5512-43F1-87AE-BE9C9B0191C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B1E65EB9-BB92-4721-945C-E60CDC4BB6D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E622222B-D4DF-4A3F-8AB5-57791EEC88E8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5930870C-9A53-4F15-8026-C2F9A7041E1D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13E94921-CB8D-4243-BB35-1B0037B3C53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B6592592-9EAE-48CA-952D-71E1350EE2F1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4F9F61ED-D58E-4187-B268-9329DDABCF24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C5650C48-7665-478B-86E0-9FFDDA4CAE3F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71002BBB-2F75-47AA-8B91-4597100FBFCF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7DB999D4-3A3B-4DF0-8C08-A62D9F70B87A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AB4DEED4-4AB1-4E87-9C2A-32C079E62624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70908BD-90A4-4257-8A10-ED2182C667BB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B15FA4F-F046-4DA9-A444-6B2401648DFA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F3625775-3BEE-4859-B690-C70D4FE789A1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47665827-4494-4032-A90B-52E589DB5344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B66821E3-AD51-4C56-A43E-DCED240B760B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2145BBD9-2628-4489-9C95-D3B4625B3371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7C21BFB4-95BE-470B-87EC-87462DC53924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6DEA547E-B08D-4BC1-BB2B-872244DD9F17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49ED14AA-0E07-473F-88E9-F0F8BB6D28A8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C0E724C-24ED-4EB0-A89F-323C6CA9ECA1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0B7CCFE-FFDF-49B6-9AF4-0B20EE1E1642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C6859B2-4317-4480-925C-76B6F823FE14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7C4C519-6BF6-43D0-9E93-714CCAB84994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065A5C76-0EC3-4956-910E-D26B2D25E9B9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EAD16D84-AD00-49AE-92B1-C56A2CAFC52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C38611FA-A0B9-4199-9F5B-0B45DE6B85F8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9F4EFB12-BC11-4652-9A3A-D1381F508272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25139582-5555-4026-AD69-34EBFA0EE121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7C486B22-2B56-4F6D-88F1-73F086C86EC7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9A7A4502-87D6-4A75-8B19-88DBB54E921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BBB38A87-BA25-4F3E-9E61-DA8DF905044C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3B511F7A-F4A8-4B90-B578-3D4EF29646D3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DF77F8D-63B9-4419-9C34-FC33A9F26B96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D9C52A0A-D41D-411F-824F-8C8C35815D15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5E1223B-B2BF-45A9-ACE3-6222FFDB3FDE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97DC7FD-6A9F-4E6A-8104-33C074A5A5E0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756D19F-2B36-4E0B-81A4-CD16EBE3B90D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CDB76F38-C4D4-497C-8D2D-9CB0159BE600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F0EE288E-C8AC-42AF-A8C9-5FFB2B0D302B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24306D17-C1EE-43D2-A28C-1018DB68CEEC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89B49626-12BC-49A3-9E02-4DC6BBB3E5BB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D6BD7D4-289B-4929-BB02-36BA283742DA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C46DF87B-341C-4BC7-8D56-5E61CD394B6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219363D7-2DBA-4B8E-A59C-842DDD45D496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772D9B19-3C6F-4DC8-89B8-AAC771ADFAAC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96988F94-8947-41AE-81F0-1639F052410D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6AA9956-4977-4E1D-B9D6-7C8632D39CCD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43397AE3-E75D-4606-A260-D8C8D0F828AB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8F93D1A6-C501-4B11-90AE-EEB3DAE06AE3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C6CB646E-86EC-49EE-8FB6-A3F5CDDE217E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75CB9EB-A065-42B3-8250-392406F7BB3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487D54C6-9A50-4960-9BA2-E3C00E50E8BD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E2055E45-0E00-489F-91F6-844161BD2D7B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76072C3D-B835-4195-B3F8-10566D03EA2E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F6E29-C546-4AA7-B21B-2EC4CABF5ADC}">
  <dimension ref="A1:AR267"/>
  <sheetViews>
    <sheetView rightToLeft="1" topLeftCell="G22" zoomScale="70" zoomScaleNormal="70" workbookViewId="0">
      <selection activeCell="H32" sqref="H32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9.6640625" style="28" bestFit="1" customWidth="1"/>
    <col min="9" max="9" width="20.332031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6.886718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103.88671875" style="24" bestFit="1" customWidth="1"/>
    <col min="29" max="29" width="15.77734375" style="31" bestFit="1" customWidth="1"/>
    <col min="30" max="30" width="13.6640625" style="32" bestFit="1" customWidth="1"/>
    <col min="31" max="31" width="39" style="24" bestFit="1" customWidth="1"/>
    <col min="32" max="32" width="28.33203125" style="24" bestFit="1" customWidth="1"/>
    <col min="33" max="33" width="13.5546875" style="24" bestFit="1" customWidth="1"/>
    <col min="34" max="34" width="121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1" t="s">
        <v>0</v>
      </c>
      <c r="B1" s="152"/>
      <c r="C1" s="151" t="s">
        <v>1</v>
      </c>
      <c r="D1" s="152"/>
      <c r="E1" s="151" t="s">
        <v>2</v>
      </c>
      <c r="F1" s="152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3" t="s">
        <v>17</v>
      </c>
      <c r="V1" s="154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55">
        <v>1</v>
      </c>
      <c r="H2" s="157" t="s">
        <v>81</v>
      </c>
      <c r="I2" s="155" t="s">
        <v>500</v>
      </c>
      <c r="J2" s="132" t="s">
        <v>76</v>
      </c>
      <c r="K2" s="11" t="str">
        <f t="shared" ref="K2:K4" ca="1" si="0">IF(C2, TODAY(), "" )</f>
        <v/>
      </c>
      <c r="L2" s="142"/>
      <c r="M2" s="142" t="s">
        <v>77</v>
      </c>
      <c r="N2" s="142" t="s">
        <v>78</v>
      </c>
      <c r="O2" s="9">
        <v>5501.3</v>
      </c>
      <c r="P2" s="9">
        <v>4</v>
      </c>
      <c r="Q2" s="13" t="str">
        <f>VLOOKUP(O2, '[1]لیست محصولات اردیبهشت ۱۴۰۳'!B:C,2,0)</f>
        <v>ورتکس | Vortex</v>
      </c>
      <c r="R2" s="9"/>
      <c r="S2" s="12">
        <f>VLOOKUP(O2, '[1]لیست محصولات اردیبهشت ۱۴۰۳'!B:F,5,0)</f>
        <v>4000</v>
      </c>
      <c r="T2" s="14">
        <f>VLOOKUP(O2, '[1]لیست محصولات اردیبهشت ۱۴۰۳'!B:G,6,0)</f>
        <v>51200000</v>
      </c>
      <c r="U2" s="15"/>
      <c r="V2" s="16">
        <f t="shared" ref="V2:V4" si="1">IF(C2, P2, U2 )</f>
        <v>0</v>
      </c>
      <c r="W2" s="12">
        <f t="shared" ref="W2:W4" si="2">P2-V2</f>
        <v>4</v>
      </c>
      <c r="X2" s="14">
        <f t="shared" ref="X2:X4" si="3">P2*T2</f>
        <v>204800000</v>
      </c>
      <c r="Y2" s="17"/>
      <c r="Z2" s="14">
        <f t="shared" ref="Z2:Z4" si="4">X2-Y2</f>
        <v>204800000</v>
      </c>
      <c r="AA2" s="140" t="s">
        <v>79</v>
      </c>
      <c r="AB2" s="138" t="s">
        <v>70</v>
      </c>
      <c r="AC2" s="136" t="s">
        <v>80</v>
      </c>
      <c r="AD2" s="134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56"/>
      <c r="H3" s="158"/>
      <c r="I3" s="156"/>
      <c r="J3" s="133"/>
      <c r="K3" s="11" t="str">
        <f t="shared" ca="1" si="0"/>
        <v/>
      </c>
      <c r="L3" s="143"/>
      <c r="M3" s="143"/>
      <c r="N3" s="143"/>
      <c r="O3" s="9">
        <v>5511.3</v>
      </c>
      <c r="P3" s="9">
        <v>1</v>
      </c>
      <c r="Q3" s="13" t="str">
        <f>VLOOKUP(O3, '[1]لیست محصولات اردیبهشت ۱۴۰۳'!B:C,2,0)</f>
        <v>هامبلا | Hambella</v>
      </c>
      <c r="R3" s="9"/>
      <c r="S3" s="12">
        <f>VLOOKUP(O3, '[1]لیست محصولات اردیبهشت ۱۴۰۳'!B:F,5,0)</f>
        <v>4000</v>
      </c>
      <c r="T3" s="14">
        <f>VLOOKUP(O3, '[1]لیست محصولات اردیبهشت ۱۴۰۳'!B:G,6,0)</f>
        <v>69600000</v>
      </c>
      <c r="U3" s="15"/>
      <c r="V3" s="16">
        <f t="shared" si="1"/>
        <v>0</v>
      </c>
      <c r="W3" s="12">
        <f t="shared" si="2"/>
        <v>1</v>
      </c>
      <c r="X3" s="14">
        <f t="shared" si="3"/>
        <v>69600000</v>
      </c>
      <c r="Y3" s="17"/>
      <c r="Z3" s="14">
        <f t="shared" si="4"/>
        <v>69600000</v>
      </c>
      <c r="AA3" s="141"/>
      <c r="AB3" s="139"/>
      <c r="AC3" s="137"/>
      <c r="AD3" s="135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55">
        <v>2</v>
      </c>
      <c r="H4" s="157" t="s">
        <v>81</v>
      </c>
      <c r="I4" s="66" t="s">
        <v>500</v>
      </c>
      <c r="J4" s="132" t="s">
        <v>76</v>
      </c>
      <c r="K4" s="11" t="str">
        <f t="shared" ca="1" si="0"/>
        <v/>
      </c>
      <c r="L4" s="142"/>
      <c r="M4" s="142" t="s">
        <v>77</v>
      </c>
      <c r="N4" s="142" t="s">
        <v>280</v>
      </c>
      <c r="O4" s="9">
        <v>5501.3</v>
      </c>
      <c r="P4" s="9">
        <v>8</v>
      </c>
      <c r="Q4" s="13" t="str">
        <f>VLOOKUP(O4, '[1]لیست محصولات اردیبهشت ۱۴۰۳'!B:C,2,0)</f>
        <v>ورتکس | Vortex</v>
      </c>
      <c r="R4" s="9"/>
      <c r="S4" s="12">
        <f>VLOOKUP(O4, '[1]لیست محصولات اردیبهشت ۱۴۰۳'!B:F,5,0)</f>
        <v>4000</v>
      </c>
      <c r="T4" s="14">
        <f>VLOOKUP(O4, '[1]لیست محصولات اردیبهشت ۱۴۰۳'!B:G,6,0)</f>
        <v>51200000</v>
      </c>
      <c r="U4" s="15"/>
      <c r="V4" s="16">
        <f t="shared" si="1"/>
        <v>0</v>
      </c>
      <c r="W4" s="12">
        <f t="shared" si="2"/>
        <v>8</v>
      </c>
      <c r="X4" s="14">
        <f t="shared" si="3"/>
        <v>409600000</v>
      </c>
      <c r="Y4" s="17"/>
      <c r="Z4" s="14">
        <f t="shared" si="4"/>
        <v>409600000</v>
      </c>
      <c r="AA4" s="140" t="s">
        <v>79</v>
      </c>
      <c r="AB4" s="138" t="s">
        <v>70</v>
      </c>
      <c r="AC4" s="136" t="s">
        <v>80</v>
      </c>
      <c r="AD4" s="134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کافه بیکری روستار سانا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56"/>
      <c r="H5" s="158"/>
      <c r="I5" s="66" t="s">
        <v>692</v>
      </c>
      <c r="J5" s="133"/>
      <c r="K5" s="11" t="str">
        <f t="shared" ref="K5:K65" ca="1" si="7">IF(C5, TODAY(), "" )</f>
        <v/>
      </c>
      <c r="L5" s="143"/>
      <c r="M5" s="143"/>
      <c r="N5" s="143"/>
      <c r="O5" s="9">
        <v>5511.3</v>
      </c>
      <c r="P5" s="9">
        <v>3</v>
      </c>
      <c r="Q5" s="13" t="str">
        <f>VLOOKUP(O5, '[1]لیست محصولات اردیبهشت ۱۴۰۳'!B:C,2,0)</f>
        <v>هامبلا | Hambella</v>
      </c>
      <c r="R5" s="9"/>
      <c r="S5" s="12">
        <f>VLOOKUP(O5, '[1]لیست محصولات اردیبهشت ۱۴۰۳'!B:F,5,0)</f>
        <v>4000</v>
      </c>
      <c r="T5" s="14">
        <f>VLOOKUP(O5, '[1]لیست محصولات اردیبهشت ۱۴۰۳'!B:G,6,0)</f>
        <v>69600000</v>
      </c>
      <c r="U5" s="15"/>
      <c r="V5" s="16">
        <f t="shared" ref="V5:V65" si="8">IF(C5, P5, U5 )</f>
        <v>0</v>
      </c>
      <c r="W5" s="12">
        <f t="shared" ref="W5:W65" si="9">P5-V5</f>
        <v>3</v>
      </c>
      <c r="X5" s="14">
        <f t="shared" ref="X5:X65" si="10">P5*T5</f>
        <v>208800000</v>
      </c>
      <c r="Y5" s="17"/>
      <c r="Z5" s="14">
        <f t="shared" ref="Z5:Z65" si="11">X5-Y5</f>
        <v>208800000</v>
      </c>
      <c r="AA5" s="141"/>
      <c r="AB5" s="139"/>
      <c r="AC5" s="137"/>
      <c r="AD5" s="135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3</v>
      </c>
      <c r="H6" s="10">
        <v>55201831601</v>
      </c>
      <c r="I6" s="25" t="s">
        <v>692</v>
      </c>
      <c r="J6" s="9"/>
      <c r="K6" s="11" t="str">
        <f t="shared" ca="1" si="7"/>
        <v/>
      </c>
      <c r="L6" s="12" t="s">
        <v>812</v>
      </c>
      <c r="M6" s="12" t="s">
        <v>813</v>
      </c>
      <c r="N6" s="12" t="s">
        <v>814</v>
      </c>
      <c r="O6" s="9">
        <v>5501.3</v>
      </c>
      <c r="P6" s="9">
        <v>1</v>
      </c>
      <c r="Q6" s="13" t="str">
        <f>VLOOKUP(O6, '[1]لیست محصولات اردیبهشت ۱۴۰۳'!B:C,2,0)</f>
        <v>ورتکس | Vortex</v>
      </c>
      <c r="R6" s="9"/>
      <c r="S6" s="12">
        <f>VLOOKUP(O6, '[1]لیست محصولات اردیبهشت ۱۴۰۳'!B:F,5,0)</f>
        <v>4000</v>
      </c>
      <c r="T6" s="14">
        <f>VLOOKUP(O6, '[1]لیست محصولات اردیبهشت ۱۴۰۳'!B:G,6,0)</f>
        <v>51200000</v>
      </c>
      <c r="U6" s="15"/>
      <c r="V6" s="16">
        <f t="shared" si="8"/>
        <v>0</v>
      </c>
      <c r="W6" s="12">
        <f t="shared" si="9"/>
        <v>1</v>
      </c>
      <c r="X6" s="14">
        <f t="shared" si="10"/>
        <v>51200000</v>
      </c>
      <c r="Y6" s="17"/>
      <c r="Z6" s="14">
        <f t="shared" si="11"/>
        <v>51200000</v>
      </c>
      <c r="AA6" s="18" t="s">
        <v>212</v>
      </c>
      <c r="AB6" s="13" t="s">
        <v>815</v>
      </c>
      <c r="AC6" s="19" t="s">
        <v>816</v>
      </c>
      <c r="AD6" s="20"/>
      <c r="AE6" s="19"/>
      <c r="AF6" s="21"/>
      <c r="AG6" s="22" t="str">
        <f t="shared" si="5"/>
        <v>TRUE</v>
      </c>
      <c r="AH6" s="23" t="str">
        <f t="shared" si="6"/>
        <v>قم سالاریه خیابان اقاقیا . اقاقیا ۳ . پلاک ۸۰ کافه میان - سحر مقدم 09382302562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>
        <v>4</v>
      </c>
      <c r="H7" s="10">
        <v>277544976244</v>
      </c>
      <c r="I7" s="9" t="s">
        <v>692</v>
      </c>
      <c r="J7" s="9"/>
      <c r="K7" s="11" t="str">
        <f t="shared" ca="1" si="7"/>
        <v/>
      </c>
      <c r="L7" s="12" t="s">
        <v>359</v>
      </c>
      <c r="M7" s="12" t="s">
        <v>817</v>
      </c>
      <c r="N7" s="12"/>
      <c r="O7" s="9">
        <v>3326.2</v>
      </c>
      <c r="P7" s="9">
        <v>1</v>
      </c>
      <c r="Q7" s="13" t="str">
        <f>VLOOKUP(O7, '[1]لیست محصولات اردیبهشت ۱۴۰۳'!B:C,2,0)</f>
        <v>میاگروس | Milagros</v>
      </c>
      <c r="R7" s="9"/>
      <c r="S7" s="12">
        <f>VLOOKUP(O7, '[1]لیست محصولات اردیبهشت ۱۴۰۳'!B:F,5,0)</f>
        <v>750</v>
      </c>
      <c r="T7" s="14">
        <f>VLOOKUP(O7, '[1]لیست محصولات اردیبهشت ۱۴۰۳'!B:G,6,0)</f>
        <v>18150000</v>
      </c>
      <c r="U7" s="26"/>
      <c r="V7" s="16">
        <f t="shared" si="8"/>
        <v>0</v>
      </c>
      <c r="W7" s="12">
        <f t="shared" si="9"/>
        <v>1</v>
      </c>
      <c r="X7" s="14">
        <f t="shared" si="10"/>
        <v>18150000</v>
      </c>
      <c r="Y7" s="17"/>
      <c r="Z7" s="14">
        <f t="shared" si="11"/>
        <v>18150000</v>
      </c>
      <c r="AA7" s="18" t="s">
        <v>212</v>
      </c>
      <c r="AB7" s="13" t="s">
        <v>818</v>
      </c>
      <c r="AC7" s="19" t="s">
        <v>819</v>
      </c>
      <c r="AD7" s="20"/>
      <c r="AE7" s="19"/>
      <c r="AF7" s="21"/>
      <c r="AG7" s="22" t="str">
        <f t="shared" si="5"/>
        <v>TRUE</v>
      </c>
      <c r="AH7" s="23" t="str">
        <f t="shared" si="6"/>
        <v>قم ابتداي سالاريه ، بلوار گلزاري ، خيابان نواب صفوي ، پلاك ٢٩٠  - علیرضا وحیدی منفرد 09127177325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>
        <v>5</v>
      </c>
      <c r="H8" s="10">
        <v>277581228659</v>
      </c>
      <c r="I8" s="9" t="s">
        <v>692</v>
      </c>
      <c r="J8" s="9"/>
      <c r="K8" s="11" t="str">
        <f t="shared" ca="1" si="7"/>
        <v/>
      </c>
      <c r="L8" s="12" t="s">
        <v>547</v>
      </c>
      <c r="M8" s="12" t="s">
        <v>820</v>
      </c>
      <c r="N8" s="12"/>
      <c r="O8" s="9">
        <v>3325.1</v>
      </c>
      <c r="P8" s="9">
        <v>1</v>
      </c>
      <c r="Q8" s="13" t="str">
        <f>VLOOKUP(O8, '[1]لیست محصولات اردیبهشت ۱۴۰۳'!B:C,2,0)</f>
        <v>راتناگری | Ratnagiri</v>
      </c>
      <c r="R8" s="9"/>
      <c r="S8" s="12">
        <f>VLOOKUP(O8, '[1]لیست محصولات اردیبهشت ۱۴۰۳'!B:F,5,0)</f>
        <v>150</v>
      </c>
      <c r="T8" s="14">
        <f>VLOOKUP(O8, '[1]لیست محصولات اردیبهشت ۱۴۰۳'!B:G,6,0)</f>
        <v>4250000</v>
      </c>
      <c r="U8" s="15"/>
      <c r="V8" s="16">
        <f t="shared" si="8"/>
        <v>0</v>
      </c>
      <c r="W8" s="12">
        <f t="shared" si="9"/>
        <v>1</v>
      </c>
      <c r="X8" s="14">
        <f t="shared" si="10"/>
        <v>4250000</v>
      </c>
      <c r="Y8" s="17"/>
      <c r="Z8" s="14">
        <f t="shared" si="11"/>
        <v>4250000</v>
      </c>
      <c r="AA8" s="18" t="s">
        <v>79</v>
      </c>
      <c r="AB8" s="13" t="s">
        <v>821</v>
      </c>
      <c r="AC8" s="19" t="s">
        <v>822</v>
      </c>
      <c r="AD8" s="20" t="s">
        <v>99</v>
      </c>
      <c r="AE8" s="19"/>
      <c r="AF8" s="21"/>
      <c r="AG8" s="22" t="str">
        <f t="shared" si="5"/>
        <v>TRUE</v>
      </c>
      <c r="AH8" s="23" t="str">
        <f t="shared" si="6"/>
        <v>تهران میدان المپیک،خیابان بیست و پنجم(جنب پمپ بنزین) نبش کوچه حسینی پلاک ۸ ساختمان امپریال طبقه ۲ واحد ۵  - محسن دادگر 09120344066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32">
        <v>6</v>
      </c>
      <c r="H9" s="130">
        <v>277589040992</v>
      </c>
      <c r="I9" s="132" t="s">
        <v>826</v>
      </c>
      <c r="J9" s="132"/>
      <c r="K9" s="11" t="str">
        <f t="shared" ca="1" si="7"/>
        <v/>
      </c>
      <c r="L9" s="142" t="s">
        <v>286</v>
      </c>
      <c r="M9" s="142" t="s">
        <v>823</v>
      </c>
      <c r="N9" s="142"/>
      <c r="O9" s="9">
        <v>3325.1</v>
      </c>
      <c r="P9" s="9">
        <v>1</v>
      </c>
      <c r="Q9" s="13" t="str">
        <f>VLOOKUP(O9, '[1]لیست محصولات اردیبهشت ۱۴۰۳'!B:C,2,0)</f>
        <v>راتناگری | Ratnagiri</v>
      </c>
      <c r="R9" s="9"/>
      <c r="S9" s="12">
        <f>VLOOKUP(O9, '[1]لیست محصولات اردیبهشت ۱۴۰۳'!B:F,5,0)</f>
        <v>150</v>
      </c>
      <c r="T9" s="14">
        <f>VLOOKUP(O9, '[1]لیست محصولات اردیبهشت ۱۴۰۳'!B:G,6,0)</f>
        <v>4250000</v>
      </c>
      <c r="U9" s="15"/>
      <c r="V9" s="16">
        <f t="shared" si="8"/>
        <v>0</v>
      </c>
      <c r="W9" s="12">
        <f t="shared" si="9"/>
        <v>1</v>
      </c>
      <c r="X9" s="14">
        <f t="shared" si="10"/>
        <v>4250000</v>
      </c>
      <c r="Y9" s="17"/>
      <c r="Z9" s="14">
        <f t="shared" si="11"/>
        <v>4250000</v>
      </c>
      <c r="AA9" s="140" t="s">
        <v>129</v>
      </c>
      <c r="AB9" s="138" t="s">
        <v>824</v>
      </c>
      <c r="AC9" s="136" t="s">
        <v>825</v>
      </c>
      <c r="AD9" s="134"/>
      <c r="AE9" s="19"/>
      <c r="AF9" s="21"/>
      <c r="AG9" s="22" t="str">
        <f t="shared" si="5"/>
        <v>TRUE</v>
      </c>
      <c r="AH9" s="23" t="str">
        <f t="shared" si="6"/>
        <v>مشهد خیابان کوثر شمالی 1 پلاک 44  - علی عزمی 09366149833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33"/>
      <c r="H10" s="131"/>
      <c r="I10" s="133"/>
      <c r="J10" s="133"/>
      <c r="K10" s="11" t="str">
        <f t="shared" ca="1" si="7"/>
        <v/>
      </c>
      <c r="L10" s="143"/>
      <c r="M10" s="143"/>
      <c r="N10" s="143"/>
      <c r="O10" s="9">
        <v>3326.1</v>
      </c>
      <c r="P10" s="9">
        <v>1</v>
      </c>
      <c r="Q10" s="13" t="str">
        <f>VLOOKUP(O10, '[1]لیست محصولات اردیبهشت ۱۴۰۳'!B:C,2,0)</f>
        <v>میاگروس | Milagros</v>
      </c>
      <c r="R10" s="9"/>
      <c r="S10" s="12">
        <f>VLOOKUP(O10, '[1]لیست محصولات اردیبهشت ۱۴۰۳'!B:F,5,0)</f>
        <v>150</v>
      </c>
      <c r="T10" s="14">
        <f>VLOOKUP(O10, '[1]لیست محصولات اردیبهشت ۱۴۰۳'!B:G,6,0)</f>
        <v>3750000</v>
      </c>
      <c r="U10" s="15"/>
      <c r="V10" s="16">
        <f t="shared" si="8"/>
        <v>0</v>
      </c>
      <c r="W10" s="12">
        <f t="shared" si="9"/>
        <v>1</v>
      </c>
      <c r="X10" s="14">
        <f t="shared" si="10"/>
        <v>3750000</v>
      </c>
      <c r="Y10" s="17"/>
      <c r="Z10" s="14">
        <f t="shared" si="11"/>
        <v>3750000</v>
      </c>
      <c r="AA10" s="141"/>
      <c r="AB10" s="139"/>
      <c r="AC10" s="137"/>
      <c r="AD10" s="135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132">
        <v>7</v>
      </c>
      <c r="H11" s="130">
        <v>55222813901</v>
      </c>
      <c r="I11" s="132" t="s">
        <v>826</v>
      </c>
      <c r="J11" s="132"/>
      <c r="K11" s="11" t="str">
        <f t="shared" ca="1" si="7"/>
        <v/>
      </c>
      <c r="L11" s="142" t="s">
        <v>711</v>
      </c>
      <c r="M11" s="142" t="s">
        <v>270</v>
      </c>
      <c r="N11" s="142"/>
      <c r="O11" s="9">
        <v>5501.1</v>
      </c>
      <c r="P11" s="9">
        <v>1</v>
      </c>
      <c r="Q11" s="13" t="str">
        <f>VLOOKUP(O11, '[1]لیست محصولات اردیبهشت ۱۴۰۳'!B:C,2,0)</f>
        <v>ورتکس | Vortex</v>
      </c>
      <c r="R11" s="9"/>
      <c r="S11" s="12">
        <f>VLOOKUP(O11, '[1]لیست محصولات اردیبهشت ۱۴۰۳'!B:F,5,0)</f>
        <v>150</v>
      </c>
      <c r="T11" s="14">
        <f>VLOOKUP(O11, '[1]لیست محصولات اردیبهشت ۱۴۰۳'!B:G,6,0)</f>
        <v>2100000</v>
      </c>
      <c r="U11" s="15"/>
      <c r="V11" s="16">
        <f t="shared" si="8"/>
        <v>0</v>
      </c>
      <c r="W11" s="12">
        <f t="shared" si="9"/>
        <v>1</v>
      </c>
      <c r="X11" s="14">
        <f t="shared" si="10"/>
        <v>2100000</v>
      </c>
      <c r="Y11" s="17"/>
      <c r="Z11" s="14">
        <f t="shared" si="11"/>
        <v>2100000</v>
      </c>
      <c r="AA11" s="140" t="s">
        <v>541</v>
      </c>
      <c r="AB11" s="138" t="s">
        <v>827</v>
      </c>
      <c r="AC11" s="136" t="s">
        <v>828</v>
      </c>
      <c r="AD11" s="134"/>
      <c r="AE11" s="19"/>
      <c r="AF11" s="21"/>
      <c r="AG11" s="22" t="str">
        <f t="shared" si="5"/>
        <v>TRUE</v>
      </c>
      <c r="AH11" s="23" t="str">
        <f t="shared" si="6"/>
        <v>همدان خیابات ادیب، کوچه پاییز، کوچه میخک، ساختمان مهر، واحد ۳  - نیلوفر الهی 09026667236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133"/>
      <c r="H12" s="131"/>
      <c r="I12" s="133"/>
      <c r="J12" s="133"/>
      <c r="K12" s="11" t="str">
        <f t="shared" ca="1" si="7"/>
        <v/>
      </c>
      <c r="L12" s="143"/>
      <c r="M12" s="143"/>
      <c r="N12" s="143"/>
      <c r="O12" s="9">
        <v>5522.1</v>
      </c>
      <c r="P12" s="9">
        <v>1</v>
      </c>
      <c r="Q12" s="13" t="str">
        <f>VLOOKUP(O12, '[1]لیست محصولات اردیبهشت ۱۴۰۳'!B:C,2,0)</f>
        <v>تامارا | Tamara</v>
      </c>
      <c r="R12" s="9"/>
      <c r="S12" s="12">
        <f>VLOOKUP(O12, '[1]لیست محصولات اردیبهشت ۱۴۰۳'!B:F,5,0)</f>
        <v>150</v>
      </c>
      <c r="T12" s="14">
        <f>VLOOKUP(O12, '[1]لیست محصولات اردیبهشت ۱۴۰۳'!B:G,6,0)</f>
        <v>2600000</v>
      </c>
      <c r="U12" s="15"/>
      <c r="V12" s="16">
        <f t="shared" si="8"/>
        <v>0</v>
      </c>
      <c r="W12" s="12">
        <f t="shared" si="9"/>
        <v>1</v>
      </c>
      <c r="X12" s="14">
        <f t="shared" si="10"/>
        <v>2600000</v>
      </c>
      <c r="Y12" s="17"/>
      <c r="Z12" s="14">
        <f t="shared" si="11"/>
        <v>2600000</v>
      </c>
      <c r="AA12" s="141"/>
      <c r="AB12" s="139"/>
      <c r="AC12" s="137"/>
      <c r="AD12" s="135"/>
      <c r="AE12" s="19"/>
      <c r="AF12" s="21"/>
      <c r="AG12" s="22" t="str">
        <f t="shared" si="5"/>
        <v>TRUE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55227296601</v>
      </c>
      <c r="I13" s="9" t="s">
        <v>826</v>
      </c>
      <c r="K13" s="11" t="str">
        <f t="shared" ca="1" si="7"/>
        <v/>
      </c>
      <c r="L13" s="9" t="s">
        <v>829</v>
      </c>
      <c r="M13" s="12" t="s">
        <v>830</v>
      </c>
      <c r="N13" s="12"/>
      <c r="O13" s="9">
        <v>5522.1</v>
      </c>
      <c r="P13" s="9">
        <v>1</v>
      </c>
      <c r="Q13" s="13" t="str">
        <f>VLOOKUP(O13, '[1]لیست محصولات اردیبهشت ۱۴۰۳'!B:C,2,0)</f>
        <v>تامارا | Tamara</v>
      </c>
      <c r="R13" s="9"/>
      <c r="S13" s="12">
        <f>VLOOKUP(O13, '[1]لیست محصولات اردیبهشت ۱۴۰۳'!B:F,5,0)</f>
        <v>150</v>
      </c>
      <c r="T13" s="14">
        <f>VLOOKUP(O13, '[1]لیست محصولات اردیبهشت ۱۴۰۳'!B:G,6,0)</f>
        <v>2600000</v>
      </c>
      <c r="U13" s="26"/>
      <c r="V13" s="16">
        <f t="shared" si="8"/>
        <v>0</v>
      </c>
      <c r="W13" s="12">
        <f t="shared" si="9"/>
        <v>1</v>
      </c>
      <c r="X13" s="14">
        <f t="shared" si="10"/>
        <v>2600000</v>
      </c>
      <c r="Y13" s="17"/>
      <c r="Z13" s="14">
        <f t="shared" si="11"/>
        <v>2600000</v>
      </c>
      <c r="AA13" s="18" t="s">
        <v>797</v>
      </c>
      <c r="AB13" s="13" t="s">
        <v>831</v>
      </c>
      <c r="AC13" s="19" t="s">
        <v>832</v>
      </c>
      <c r="AD13" s="20"/>
      <c r="AE13" s="19"/>
      <c r="AF13" s="21"/>
      <c r="AG13" s="22" t="str">
        <f t="shared" si="5"/>
        <v>TRUE</v>
      </c>
      <c r="AH13" s="23" t="str">
        <f t="shared" si="6"/>
        <v>گرگان میدان بسیج سایت اداری شرکت توزیع نیروی برق  - وحید قضوهی 09113755878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32">
        <v>9</v>
      </c>
      <c r="H14" s="130">
        <v>277614633979</v>
      </c>
      <c r="I14" s="132" t="s">
        <v>826</v>
      </c>
      <c r="J14" s="132"/>
      <c r="K14" s="11" t="str">
        <f t="shared" ca="1" si="7"/>
        <v/>
      </c>
      <c r="L14" s="142" t="s">
        <v>833</v>
      </c>
      <c r="M14" s="142" t="s">
        <v>834</v>
      </c>
      <c r="N14" s="142"/>
      <c r="O14" s="9">
        <v>5511.1</v>
      </c>
      <c r="P14" s="9">
        <v>1</v>
      </c>
      <c r="Q14" s="13" t="str">
        <f>VLOOKUP(O14, '[1]لیست محصولات اردیبهشت ۱۴۰۳'!B:C,2,0)</f>
        <v>هامبلا | Hambella</v>
      </c>
      <c r="R14" s="9" t="s">
        <v>102</v>
      </c>
      <c r="S14" s="12">
        <f>VLOOKUP(O14, '[1]لیست محصولات اردیبهشت ۱۴۰۳'!B:F,5,0)</f>
        <v>150</v>
      </c>
      <c r="T14" s="14">
        <f>VLOOKUP(O14, '[1]لیست محصولات اردیبهشت ۱۴۰۳'!B:G,6,0)</f>
        <v>2800000</v>
      </c>
      <c r="U14" s="15"/>
      <c r="V14" s="16">
        <f t="shared" si="8"/>
        <v>0</v>
      </c>
      <c r="W14" s="12">
        <f t="shared" si="9"/>
        <v>1</v>
      </c>
      <c r="X14" s="14">
        <f t="shared" si="10"/>
        <v>2800000</v>
      </c>
      <c r="Y14" s="17"/>
      <c r="Z14" s="14">
        <f t="shared" si="11"/>
        <v>2800000</v>
      </c>
      <c r="AA14" s="140" t="s">
        <v>79</v>
      </c>
      <c r="AB14" s="138" t="s">
        <v>835</v>
      </c>
      <c r="AC14" s="136" t="s">
        <v>836</v>
      </c>
      <c r="AD14" s="134" t="s">
        <v>99</v>
      </c>
      <c r="AE14" s="159" t="s">
        <v>837</v>
      </c>
      <c r="AF14" s="21"/>
      <c r="AG14" s="22" t="str">
        <f t="shared" si="5"/>
        <v>TRUE</v>
      </c>
      <c r="AH14" s="23" t="str">
        <f t="shared" si="6"/>
        <v>تهران ملاصدرا، شیخ بهایی شمالی، نبش بن بست مهران، شرکت لوتوس پارسیان  - عطیه هجری 09363259118</v>
      </c>
    </row>
    <row r="15" spans="1:34" ht="22.35" customHeight="1">
      <c r="A15" s="7"/>
      <c r="B15" s="7"/>
      <c r="C15" s="7"/>
      <c r="D15" s="7"/>
      <c r="E15" s="7"/>
      <c r="F15" s="8"/>
      <c r="G15" s="133"/>
      <c r="H15" s="131"/>
      <c r="I15" s="133"/>
      <c r="J15" s="133"/>
      <c r="K15" s="11" t="str">
        <f t="shared" ca="1" si="7"/>
        <v/>
      </c>
      <c r="L15" s="143"/>
      <c r="M15" s="143"/>
      <c r="N15" s="143"/>
      <c r="O15" s="9">
        <v>3325.1</v>
      </c>
      <c r="P15" s="9">
        <v>1</v>
      </c>
      <c r="Q15" s="13" t="str">
        <f>VLOOKUP(O15, '[1]لیست محصولات اردیبهشت ۱۴۰۳'!B:C,2,0)</f>
        <v>راتناگری | Ratnagiri</v>
      </c>
      <c r="R15" s="9" t="s">
        <v>102</v>
      </c>
      <c r="S15" s="12">
        <f>VLOOKUP(O15, '[1]لیست محصولات اردیبهشت ۱۴۰۳'!B:F,5,0)</f>
        <v>150</v>
      </c>
      <c r="T15" s="14">
        <f>VLOOKUP(O15, '[1]لیست محصولات اردیبهشت ۱۴۰۳'!B:G,6,0)</f>
        <v>4250000</v>
      </c>
      <c r="U15" s="15"/>
      <c r="V15" s="16">
        <f t="shared" si="8"/>
        <v>0</v>
      </c>
      <c r="W15" s="12">
        <f t="shared" si="9"/>
        <v>1</v>
      </c>
      <c r="X15" s="14">
        <f t="shared" si="10"/>
        <v>4250000</v>
      </c>
      <c r="Y15" s="17"/>
      <c r="Z15" s="14">
        <f t="shared" si="11"/>
        <v>4250000</v>
      </c>
      <c r="AA15" s="141"/>
      <c r="AB15" s="139"/>
      <c r="AC15" s="137"/>
      <c r="AD15" s="135"/>
      <c r="AE15" s="160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>
        <v>10</v>
      </c>
      <c r="H16" s="10">
        <v>277615775537</v>
      </c>
      <c r="I16" s="9" t="s">
        <v>826</v>
      </c>
      <c r="J16" s="9"/>
      <c r="K16" s="11" t="str">
        <f t="shared" ca="1" si="7"/>
        <v/>
      </c>
      <c r="L16" s="12" t="s">
        <v>359</v>
      </c>
      <c r="M16" s="12" t="s">
        <v>838</v>
      </c>
      <c r="N16" s="12" t="s">
        <v>839</v>
      </c>
      <c r="O16" s="9">
        <v>3326.1</v>
      </c>
      <c r="P16" s="9">
        <v>1</v>
      </c>
      <c r="Q16" s="13" t="str">
        <f>VLOOKUP(O16, '[1]لیست محصولات اردیبهشت ۱۴۰۳'!B:C,2,0)</f>
        <v>میاگروس | Milagros</v>
      </c>
      <c r="R16" s="9"/>
      <c r="S16" s="12">
        <f>VLOOKUP(O16, '[1]لیست محصولات اردیبهشت ۱۴۰۳'!B:F,5,0)</f>
        <v>150</v>
      </c>
      <c r="T16" s="14">
        <f>VLOOKUP(O16, '[1]لیست محصولات اردیبهشت ۱۴۰۳'!B:G,6,0)</f>
        <v>3750000</v>
      </c>
      <c r="U16" s="15"/>
      <c r="V16" s="16">
        <f t="shared" si="8"/>
        <v>0</v>
      </c>
      <c r="W16" s="12">
        <f t="shared" si="9"/>
        <v>1</v>
      </c>
      <c r="X16" s="14">
        <f t="shared" si="10"/>
        <v>3750000</v>
      </c>
      <c r="Y16" s="17"/>
      <c r="Z16" s="14">
        <f t="shared" si="11"/>
        <v>3750000</v>
      </c>
      <c r="AA16" s="18" t="s">
        <v>79</v>
      </c>
      <c r="AB16" s="13" t="s">
        <v>840</v>
      </c>
      <c r="AC16" s="19" t="s">
        <v>841</v>
      </c>
      <c r="AD16" s="20" t="s">
        <v>99</v>
      </c>
      <c r="AE16" s="19"/>
      <c r="AF16" s="21"/>
      <c r="AG16" s="22" t="str">
        <f t="shared" si="5"/>
        <v>TRUE</v>
      </c>
      <c r="AH16" s="23" t="str">
        <f t="shared" si="6"/>
        <v>تهران شریعتی بالاتر از دوراهی قلهک قبل از یخچال پلاک ۱۴۳۵ قهوه سام - علیرضا نیکخواه 09104208052</v>
      </c>
    </row>
    <row r="17" spans="1:34" ht="22.35" customHeight="1">
      <c r="A17" s="7"/>
      <c r="B17" s="7"/>
      <c r="C17" s="7"/>
      <c r="D17" s="7"/>
      <c r="E17" s="7"/>
      <c r="F17" s="8"/>
      <c r="G17" s="9">
        <v>11</v>
      </c>
      <c r="H17" s="10">
        <v>277617183650</v>
      </c>
      <c r="I17" s="9" t="s">
        <v>826</v>
      </c>
      <c r="J17" s="9"/>
      <c r="K17" s="11" t="str">
        <f t="shared" ca="1" si="7"/>
        <v/>
      </c>
      <c r="L17" s="12" t="s">
        <v>842</v>
      </c>
      <c r="M17" s="12" t="s">
        <v>843</v>
      </c>
      <c r="N17" s="12"/>
      <c r="O17" s="9">
        <v>5501.1</v>
      </c>
      <c r="P17" s="9">
        <v>1</v>
      </c>
      <c r="Q17" s="13" t="str">
        <f>VLOOKUP(O17, '[1]لیست محصولات اردیبهشت ۱۴۰۳'!B:C,2,0)</f>
        <v>ورتکس | Vortex</v>
      </c>
      <c r="R17" s="9" t="s">
        <v>102</v>
      </c>
      <c r="S17" s="12">
        <f>VLOOKUP(O17, '[1]لیست محصولات اردیبهشت ۱۴۰۳'!B:F,5,0)</f>
        <v>150</v>
      </c>
      <c r="T17" s="14">
        <f>VLOOKUP(O17, '[1]لیست محصولات اردیبهشت ۱۴۰۳'!B:G,6,0)</f>
        <v>2100000</v>
      </c>
      <c r="U17" s="15"/>
      <c r="V17" s="16">
        <f t="shared" si="8"/>
        <v>0</v>
      </c>
      <c r="W17" s="12">
        <f t="shared" si="9"/>
        <v>1</v>
      </c>
      <c r="X17" s="14">
        <f t="shared" si="10"/>
        <v>2100000</v>
      </c>
      <c r="Y17" s="17"/>
      <c r="Z17" s="14">
        <f t="shared" si="11"/>
        <v>2100000</v>
      </c>
      <c r="AA17" s="18" t="s">
        <v>79</v>
      </c>
      <c r="AB17" s="13" t="s">
        <v>844</v>
      </c>
      <c r="AC17" s="19" t="s">
        <v>845</v>
      </c>
      <c r="AD17" s="20" t="s">
        <v>99</v>
      </c>
      <c r="AE17" s="19"/>
      <c r="AF17" s="21"/>
      <c r="AG17" s="22" t="str">
        <f t="shared" si="5"/>
        <v>TRUE</v>
      </c>
      <c r="AH17" s="23" t="str">
        <f t="shared" si="6"/>
        <v>تهران سعادت اباد سرو شرقی خیابان مروارید پنجم شرقی پ44  - صفا رفیع نژاد 09128759919</v>
      </c>
    </row>
    <row r="18" spans="1:34" ht="22.35" customHeight="1">
      <c r="A18" s="7"/>
      <c r="B18" s="7"/>
      <c r="C18" s="7"/>
      <c r="D18" s="7"/>
      <c r="E18" s="7"/>
      <c r="F18" s="8"/>
      <c r="G18" s="9">
        <v>12</v>
      </c>
      <c r="H18" s="10">
        <v>277618177625</v>
      </c>
      <c r="I18" s="9" t="s">
        <v>826</v>
      </c>
      <c r="J18" s="9"/>
      <c r="K18" s="11" t="str">
        <f t="shared" ca="1" si="7"/>
        <v/>
      </c>
      <c r="L18" s="12" t="s">
        <v>119</v>
      </c>
      <c r="M18" s="12" t="s">
        <v>247</v>
      </c>
      <c r="N18" s="12"/>
      <c r="O18" s="9">
        <v>3325.1</v>
      </c>
      <c r="P18" s="9">
        <v>1</v>
      </c>
      <c r="Q18" s="13" t="str">
        <f>VLOOKUP(O18, '[1]لیست محصولات اردیبهشت ۱۴۰۳'!B:C,2,0)</f>
        <v>راتناگری | Ratnagiri</v>
      </c>
      <c r="R18" s="9"/>
      <c r="S18" s="12">
        <f>VLOOKUP(O18, '[1]لیست محصولات اردیبهشت ۱۴۰۳'!B:F,5,0)</f>
        <v>150</v>
      </c>
      <c r="T18" s="14">
        <f>VLOOKUP(O18, '[1]لیست محصولات اردیبهشت ۱۴۰۳'!B:G,6,0)</f>
        <v>4250000</v>
      </c>
      <c r="U18" s="15"/>
      <c r="V18" s="16">
        <f t="shared" si="8"/>
        <v>0</v>
      </c>
      <c r="W18" s="12">
        <f t="shared" si="9"/>
        <v>1</v>
      </c>
      <c r="X18" s="14">
        <f t="shared" si="10"/>
        <v>4250000</v>
      </c>
      <c r="Y18" s="17"/>
      <c r="Z18" s="14">
        <f t="shared" si="11"/>
        <v>4250000</v>
      </c>
      <c r="AA18" s="18" t="s">
        <v>79</v>
      </c>
      <c r="AB18" s="13" t="s">
        <v>846</v>
      </c>
      <c r="AC18" s="19" t="s">
        <v>847</v>
      </c>
      <c r="AD18" s="20" t="s">
        <v>99</v>
      </c>
      <c r="AE18" s="19"/>
      <c r="AF18" s="21"/>
      <c r="AG18" s="22" t="str">
        <f t="shared" si="5"/>
        <v>TRUE</v>
      </c>
      <c r="AH18" s="23" t="str">
        <f t="shared" si="6"/>
        <v>تهران ستارخان، بین فلکه اول و دوم صادقیه، پاساژ زرناب، طبقه اول واحد ۱۱۸  - محمد کیان 09918746745</v>
      </c>
    </row>
    <row r="19" spans="1:34" ht="22.35" customHeight="1">
      <c r="A19" s="7"/>
      <c r="B19" s="7"/>
      <c r="C19" s="7"/>
      <c r="D19" s="7"/>
      <c r="E19" s="7"/>
      <c r="F19" s="8"/>
      <c r="G19" s="66">
        <v>13</v>
      </c>
      <c r="H19" s="67"/>
      <c r="I19" s="66" t="s">
        <v>826</v>
      </c>
      <c r="J19" s="9" t="s">
        <v>76</v>
      </c>
      <c r="K19" s="11" t="str">
        <f t="shared" ca="1" si="7"/>
        <v/>
      </c>
      <c r="L19" s="12" t="s">
        <v>119</v>
      </c>
      <c r="M19" s="12" t="s">
        <v>602</v>
      </c>
      <c r="N19" s="12" t="s">
        <v>852</v>
      </c>
      <c r="O19" s="9">
        <v>5511.2</v>
      </c>
      <c r="P19" s="9">
        <v>10</v>
      </c>
      <c r="Q19" s="13" t="str">
        <f>VLOOKUP(O19, '[1]لیست محصولات اردیبهشت ۱۴۰۳'!B:C,2,0)</f>
        <v>هامبلا | Hambella</v>
      </c>
      <c r="R19" s="9"/>
      <c r="S19" s="12">
        <f>VLOOKUP(O19, '[1]لیست محصولات اردیبهشت ۱۴۰۳'!B:F,5,0)</f>
        <v>750</v>
      </c>
      <c r="T19" s="14">
        <f>VLOOKUP(O19, '[1]لیست محصولات اردیبهشت ۱۴۰۳'!B:G,6,0)</f>
        <v>13350000</v>
      </c>
      <c r="U19" s="15"/>
      <c r="V19" s="16">
        <f t="shared" si="8"/>
        <v>0</v>
      </c>
      <c r="W19" s="12">
        <f t="shared" si="9"/>
        <v>10</v>
      </c>
      <c r="X19" s="14">
        <f t="shared" si="10"/>
        <v>133500000</v>
      </c>
      <c r="Y19" s="17"/>
      <c r="Z19" s="14">
        <f t="shared" si="11"/>
        <v>133500000</v>
      </c>
      <c r="AA19" s="18" t="s">
        <v>79</v>
      </c>
      <c r="AB19" s="13" t="s">
        <v>853</v>
      </c>
      <c r="AC19" s="19" t="s">
        <v>604</v>
      </c>
      <c r="AD19" s="20"/>
      <c r="AE19" s="19"/>
      <c r="AF19" s="21"/>
      <c r="AG19" s="22" t="str">
        <f t="shared" si="5"/>
        <v>TRUE</v>
      </c>
      <c r="AH19" s="23" t="str">
        <f t="shared" si="6"/>
        <v>تهران زعفرانيه، سه راه آصف، نبش رامكوه کافه رستوران هلوشف - محمد حاجی بابایی 09398779985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14</v>
      </c>
      <c r="H20" s="10">
        <v>277621088651</v>
      </c>
      <c r="I20" s="9" t="s">
        <v>826</v>
      </c>
      <c r="J20" s="9"/>
      <c r="K20" s="11" t="str">
        <f t="shared" ca="1" si="7"/>
        <v/>
      </c>
      <c r="L20" s="12" t="s">
        <v>854</v>
      </c>
      <c r="M20" s="12" t="s">
        <v>855</v>
      </c>
      <c r="N20" s="12"/>
      <c r="O20" s="9">
        <v>5511.2</v>
      </c>
      <c r="P20" s="9">
        <v>1</v>
      </c>
      <c r="Q20" s="13" t="str">
        <f>VLOOKUP(O20, '[1]لیست محصولات اردیبهشت ۱۴۰۳'!B:C,2,0)</f>
        <v>هامبلا | Hambella</v>
      </c>
      <c r="R20" s="9"/>
      <c r="S20" s="12">
        <f>VLOOKUP(O20, '[1]لیست محصولات اردیبهشت ۱۴۰۳'!B:F,5,0)</f>
        <v>750</v>
      </c>
      <c r="T20" s="14">
        <f>VLOOKUP(O20, '[1]لیست محصولات اردیبهشت ۱۴۰۳'!B:G,6,0)</f>
        <v>13350000</v>
      </c>
      <c r="U20" s="15"/>
      <c r="V20" s="16">
        <f t="shared" si="8"/>
        <v>0</v>
      </c>
      <c r="W20" s="12">
        <f t="shared" si="9"/>
        <v>1</v>
      </c>
      <c r="X20" s="14">
        <f t="shared" si="10"/>
        <v>13350000</v>
      </c>
      <c r="Y20" s="17"/>
      <c r="Z20" s="14">
        <f t="shared" si="11"/>
        <v>13350000</v>
      </c>
      <c r="AA20" s="18" t="s">
        <v>129</v>
      </c>
      <c r="AB20" s="13" t="s">
        <v>856</v>
      </c>
      <c r="AC20" s="19" t="s">
        <v>857</v>
      </c>
      <c r="AD20" s="20"/>
      <c r="AE20" s="19"/>
      <c r="AF20" s="21"/>
      <c r="AG20" s="22" t="str">
        <f t="shared" si="5"/>
        <v>TRUE</v>
      </c>
      <c r="AH20" s="23" t="str">
        <f t="shared" si="6"/>
        <v>مشهد خیابان احمدآباد-بابک۶، پلاک۲۱،طبقه۳  - فربد مولوی 09154712339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>
        <v>15</v>
      </c>
      <c r="H21" s="10">
        <v>277622307646</v>
      </c>
      <c r="I21" s="9" t="s">
        <v>826</v>
      </c>
      <c r="J21" s="9"/>
      <c r="K21" s="11" t="str">
        <f t="shared" ca="1" si="7"/>
        <v/>
      </c>
      <c r="L21" s="12" t="s">
        <v>209</v>
      </c>
      <c r="M21" s="12" t="s">
        <v>858</v>
      </c>
      <c r="N21" s="12"/>
      <c r="O21" s="9">
        <v>5501.2</v>
      </c>
      <c r="P21" s="9">
        <v>3</v>
      </c>
      <c r="Q21" s="13" t="str">
        <f>VLOOKUP(O21, '[1]لیست محصولات اردیبهشت ۱۴۰۳'!B:C,2,0)</f>
        <v>ورتکس | Vortex</v>
      </c>
      <c r="R21" s="9"/>
      <c r="S21" s="12">
        <f>VLOOKUP(O21, '[1]لیست محصولات اردیبهشت ۱۴۰۳'!B:F,5,0)</f>
        <v>750</v>
      </c>
      <c r="T21" s="14">
        <f>VLOOKUP(O21, '[1]لیست محصولات اردیبهشت ۱۴۰۳'!B:G,6,0)</f>
        <v>9900000</v>
      </c>
      <c r="U21" s="15"/>
      <c r="V21" s="16">
        <f t="shared" si="8"/>
        <v>0</v>
      </c>
      <c r="W21" s="12">
        <f t="shared" si="9"/>
        <v>3</v>
      </c>
      <c r="X21" s="14">
        <f t="shared" si="10"/>
        <v>29700000</v>
      </c>
      <c r="Y21" s="17"/>
      <c r="Z21" s="14">
        <f t="shared" si="11"/>
        <v>29700000</v>
      </c>
      <c r="AA21" s="18" t="s">
        <v>79</v>
      </c>
      <c r="AB21" s="13" t="s">
        <v>859</v>
      </c>
      <c r="AC21" s="19" t="s">
        <v>860</v>
      </c>
      <c r="AD21" s="20" t="s">
        <v>99</v>
      </c>
      <c r="AE21" s="19"/>
      <c r="AF21" s="21"/>
      <c r="AG21" s="22" t="str">
        <f t="shared" si="5"/>
        <v>TRUE</v>
      </c>
      <c r="AH21" s="23" t="str">
        <f t="shared" si="6"/>
        <v>تهران تهرانپارس-خ دماوند-بعد از تعمیرگاه سایپا مرکزی - کوچه کیمیداروی شرقی-ساختمان سبلان-پ90/73  - احسان جمالی 09384396463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55">
        <v>16</v>
      </c>
      <c r="H22" s="157"/>
      <c r="I22" s="155" t="s">
        <v>826</v>
      </c>
      <c r="J22" s="132" t="s">
        <v>76</v>
      </c>
      <c r="K22" s="11" t="str">
        <f t="shared" ca="1" si="7"/>
        <v/>
      </c>
      <c r="L22" s="142" t="s">
        <v>311</v>
      </c>
      <c r="M22" s="142" t="s">
        <v>312</v>
      </c>
      <c r="N22" s="142" t="s">
        <v>313</v>
      </c>
      <c r="O22" s="9">
        <v>5501.3</v>
      </c>
      <c r="P22" s="9">
        <v>4</v>
      </c>
      <c r="Q22" s="13" t="str">
        <f>VLOOKUP(O22, '[1]لیست محصولات اردیبهشت ۱۴۰۳'!B:C,2,0)</f>
        <v>ورتکس | Vortex</v>
      </c>
      <c r="R22" s="9"/>
      <c r="S22" s="12">
        <f>VLOOKUP(O22, '[1]لیست محصولات اردیبهشت ۱۴۰۳'!B:F,5,0)</f>
        <v>4000</v>
      </c>
      <c r="T22" s="14">
        <f>VLOOKUP(O22, '[1]لیست محصولات اردیبهشت ۱۴۰۳'!B:G,6,0)</f>
        <v>51200000</v>
      </c>
      <c r="U22" s="15"/>
      <c r="V22" s="16">
        <f t="shared" si="8"/>
        <v>0</v>
      </c>
      <c r="W22" s="12">
        <f t="shared" si="9"/>
        <v>4</v>
      </c>
      <c r="X22" s="14">
        <f t="shared" si="10"/>
        <v>204800000</v>
      </c>
      <c r="Y22" s="17"/>
      <c r="Z22" s="14">
        <f t="shared" si="11"/>
        <v>204800000</v>
      </c>
      <c r="AA22" s="140" t="s">
        <v>79</v>
      </c>
      <c r="AB22" s="138" t="s">
        <v>314</v>
      </c>
      <c r="AC22" s="136" t="s">
        <v>315</v>
      </c>
      <c r="AD22" s="134"/>
      <c r="AE22" s="19"/>
      <c r="AF22" s="21"/>
      <c r="AG22" s="22" t="str">
        <f t="shared" si="5"/>
        <v>TRUE</v>
      </c>
      <c r="AH22" s="23" t="str">
        <f t="shared" si="6"/>
        <v>تهران ميرداماد - نفت شمالي - كوچه هفتم - نبش كوچه - پلاك 77 - واحد 1 بن کافی - حامد تاج 09123279184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56"/>
      <c r="H23" s="158"/>
      <c r="I23" s="156"/>
      <c r="J23" s="133"/>
      <c r="K23" s="11" t="str">
        <f t="shared" ca="1" si="7"/>
        <v/>
      </c>
      <c r="L23" s="143"/>
      <c r="M23" s="143"/>
      <c r="N23" s="143"/>
      <c r="O23" s="9">
        <v>5511.2</v>
      </c>
      <c r="P23" s="9">
        <v>8</v>
      </c>
      <c r="Q23" s="13" t="str">
        <f>VLOOKUP(O23, '[1]لیست محصولات اردیبهشت ۱۴۰۳'!B:C,2,0)</f>
        <v>هامبلا | Hambella</v>
      </c>
      <c r="R23" s="9"/>
      <c r="S23" s="12">
        <f>VLOOKUP(O23, '[1]لیست محصولات اردیبهشت ۱۴۰۳'!B:F,5,0)</f>
        <v>750</v>
      </c>
      <c r="T23" s="14">
        <f>VLOOKUP(O23, '[1]لیست محصولات اردیبهشت ۱۴۰۳'!B:G,6,0)</f>
        <v>13350000</v>
      </c>
      <c r="U23" s="15"/>
      <c r="V23" s="16">
        <f t="shared" si="8"/>
        <v>0</v>
      </c>
      <c r="W23" s="12">
        <f t="shared" si="9"/>
        <v>8</v>
      </c>
      <c r="X23" s="14">
        <f t="shared" si="10"/>
        <v>106800000</v>
      </c>
      <c r="Y23" s="17"/>
      <c r="Z23" s="14">
        <f t="shared" si="11"/>
        <v>106800000</v>
      </c>
      <c r="AA23" s="141"/>
      <c r="AB23" s="139"/>
      <c r="AC23" s="137"/>
      <c r="AD23" s="135"/>
      <c r="AE23" s="19"/>
      <c r="AF23" s="21"/>
      <c r="AG23" s="22" t="str">
        <f t="shared" si="5"/>
        <v>TRUE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>
        <v>17</v>
      </c>
      <c r="H24" s="10">
        <v>277628547350</v>
      </c>
      <c r="I24" s="9" t="s">
        <v>826</v>
      </c>
      <c r="J24" s="9"/>
      <c r="K24" s="11" t="str">
        <f t="shared" ca="1" si="7"/>
        <v/>
      </c>
      <c r="L24" s="12" t="s">
        <v>803</v>
      </c>
      <c r="M24" s="12" t="s">
        <v>712</v>
      </c>
      <c r="N24" s="12"/>
      <c r="O24" s="9">
        <v>5522.1</v>
      </c>
      <c r="P24" s="9">
        <v>1</v>
      </c>
      <c r="Q24" s="13" t="str">
        <f>VLOOKUP(O24, '[1]لیست محصولات اردیبهشت ۱۴۰۳'!B:C,2,0)</f>
        <v>تامارا | Tamara</v>
      </c>
      <c r="R24" s="9"/>
      <c r="S24" s="12">
        <f>VLOOKUP(O24, '[1]لیست محصولات اردیبهشت ۱۴۰۳'!B:F,5,0)</f>
        <v>150</v>
      </c>
      <c r="T24" s="14">
        <f>VLOOKUP(O24, '[1]لیست محصولات اردیبهشت ۱۴۰۳'!B:G,6,0)</f>
        <v>2600000</v>
      </c>
      <c r="U24" s="15"/>
      <c r="V24" s="16">
        <f t="shared" si="8"/>
        <v>0</v>
      </c>
      <c r="W24" s="12">
        <f t="shared" si="9"/>
        <v>1</v>
      </c>
      <c r="X24" s="14">
        <f t="shared" si="10"/>
        <v>2600000</v>
      </c>
      <c r="Y24" s="17"/>
      <c r="Z24" s="14">
        <f t="shared" si="11"/>
        <v>2600000</v>
      </c>
      <c r="AA24" s="18" t="s">
        <v>79</v>
      </c>
      <c r="AB24" s="13" t="s">
        <v>861</v>
      </c>
      <c r="AC24" s="19" t="s">
        <v>862</v>
      </c>
      <c r="AD24" s="20" t="s">
        <v>99</v>
      </c>
      <c r="AE24" s="19"/>
      <c r="AF24" s="21"/>
      <c r="AG24" s="22" t="str">
        <f t="shared" si="5"/>
        <v>TRUE</v>
      </c>
      <c r="AH24" s="23" t="str">
        <f t="shared" si="6"/>
        <v>تهران خیابان بهارشیراز، خیابان خداپرست، نبش لاچینی، پلاک ۵۳, واحد ۳  - محمدحسن سعیدی 09197819878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>
        <v>18</v>
      </c>
      <c r="H25" s="10">
        <v>277629464813</v>
      </c>
      <c r="I25" s="9" t="s">
        <v>826</v>
      </c>
      <c r="J25" s="9"/>
      <c r="K25" s="11" t="str">
        <f t="shared" ca="1" si="7"/>
        <v/>
      </c>
      <c r="L25" s="12" t="s">
        <v>547</v>
      </c>
      <c r="M25" s="12" t="s">
        <v>864</v>
      </c>
      <c r="N25" s="12" t="s">
        <v>865</v>
      </c>
      <c r="O25" s="9">
        <v>5511.3</v>
      </c>
      <c r="P25" s="9">
        <v>1</v>
      </c>
      <c r="Q25" s="13" t="str">
        <f>VLOOKUP(O25, '[1]لیست محصولات اردیبهشت ۱۴۰۳'!B:C,2,0)</f>
        <v>هامبلا | Hambella</v>
      </c>
      <c r="R25" s="9"/>
      <c r="S25" s="12">
        <f>VLOOKUP(O25, '[1]لیست محصولات اردیبهشت ۱۴۰۳'!B:F,5,0)</f>
        <v>4000</v>
      </c>
      <c r="T25" s="14">
        <f>VLOOKUP(O25, '[1]لیست محصولات اردیبهشت ۱۴۰۳'!B:G,6,0)</f>
        <v>69600000</v>
      </c>
      <c r="U25" s="15"/>
      <c r="V25" s="16">
        <f t="shared" si="8"/>
        <v>0</v>
      </c>
      <c r="W25" s="12">
        <f t="shared" si="9"/>
        <v>1</v>
      </c>
      <c r="X25" s="14">
        <f t="shared" si="10"/>
        <v>69600000</v>
      </c>
      <c r="Y25" s="17"/>
      <c r="Z25" s="14">
        <f t="shared" si="11"/>
        <v>69600000</v>
      </c>
      <c r="AA25" s="18" t="s">
        <v>115</v>
      </c>
      <c r="AB25" s="13" t="s">
        <v>866</v>
      </c>
      <c r="AC25" s="19" t="s">
        <v>867</v>
      </c>
      <c r="AD25" s="20"/>
      <c r="AE25" s="19"/>
      <c r="AF25" s="21"/>
      <c r="AG25" s="22" t="str">
        <f t="shared" si="5"/>
        <v>TRUE</v>
      </c>
      <c r="AH25" s="23" t="str">
        <f t="shared" si="6"/>
        <v>زنجان اراضی مصلی خیابان هقتم پلاک 114 کافه نیروانا - محسن سعادتی 09123413312</v>
      </c>
    </row>
    <row r="26" spans="1:34" ht="22.35" customHeight="1">
      <c r="A26" s="7"/>
      <c r="B26" s="7"/>
      <c r="C26" s="7"/>
      <c r="D26" s="7"/>
      <c r="E26" s="7"/>
      <c r="F26" s="8"/>
      <c r="G26" s="132">
        <v>19</v>
      </c>
      <c r="H26" s="130">
        <v>55236022901</v>
      </c>
      <c r="I26" s="132" t="s">
        <v>826</v>
      </c>
      <c r="J26" s="132"/>
      <c r="K26" s="11" t="str">
        <f t="shared" ca="1" si="7"/>
        <v/>
      </c>
      <c r="L26" s="142" t="s">
        <v>868</v>
      </c>
      <c r="M26" s="142" t="s">
        <v>869</v>
      </c>
      <c r="N26" s="142" t="s">
        <v>870</v>
      </c>
      <c r="O26" s="9">
        <v>5501.3</v>
      </c>
      <c r="P26" s="9">
        <v>1</v>
      </c>
      <c r="Q26" s="13" t="str">
        <f>VLOOKUP(O26, '[1]لیست محصولات اردیبهشت ۱۴۰۳'!B:C,2,0)</f>
        <v>ورتکس | Vortex</v>
      </c>
      <c r="R26" s="9"/>
      <c r="S26" s="12">
        <f>VLOOKUP(O26, '[1]لیست محصولات اردیبهشت ۱۴۰۳'!B:F,5,0)</f>
        <v>4000</v>
      </c>
      <c r="T26" s="14">
        <f>VLOOKUP(O26, '[1]لیست محصولات اردیبهشت ۱۴۰۳'!B:G,6,0)</f>
        <v>51200000</v>
      </c>
      <c r="U26" s="15"/>
      <c r="V26" s="16">
        <f t="shared" si="8"/>
        <v>0</v>
      </c>
      <c r="W26" s="12">
        <f t="shared" si="9"/>
        <v>1</v>
      </c>
      <c r="X26" s="14">
        <f t="shared" si="10"/>
        <v>51200000</v>
      </c>
      <c r="Y26" s="17"/>
      <c r="Z26" s="14">
        <f t="shared" si="11"/>
        <v>51200000</v>
      </c>
      <c r="AA26" s="140" t="s">
        <v>871</v>
      </c>
      <c r="AB26" s="138" t="s">
        <v>872</v>
      </c>
      <c r="AC26" s="136" t="s">
        <v>873</v>
      </c>
      <c r="AD26" s="134"/>
      <c r="AE26" s="19"/>
      <c r="AF26" s="21"/>
      <c r="AG26" s="22" t="str">
        <f t="shared" si="5"/>
        <v>TRUE</v>
      </c>
      <c r="AH26" s="23" t="str">
        <f t="shared" si="6"/>
        <v>یزد صفاییه.خیابان ارشاد اسلامی کافه لیبرو - صهبا قدوسی 09123622234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33"/>
      <c r="H27" s="131"/>
      <c r="I27" s="133"/>
      <c r="J27" s="133"/>
      <c r="K27" s="11" t="str">
        <f t="shared" ca="1" si="7"/>
        <v/>
      </c>
      <c r="L27" s="143"/>
      <c r="M27" s="143"/>
      <c r="N27" s="143"/>
      <c r="O27" s="9">
        <v>5511.22</v>
      </c>
      <c r="P27" s="9">
        <v>1</v>
      </c>
      <c r="Q27" s="69" t="str">
        <f>VLOOKUP(O27, '[1]لیست محصولات اردیبهشت ۱۴۰۳'!B:C,2,0)</f>
        <v>هامبلا(رست دمی) | Hambella( Filter Roast)</v>
      </c>
      <c r="R27" s="9"/>
      <c r="S27" s="12">
        <f>VLOOKUP(O27, '[1]لیست محصولات اردیبهشت ۱۴۰۳'!B:F,5,0)</f>
        <v>750</v>
      </c>
      <c r="T27" s="14">
        <f>VLOOKUP(O27, '[1]لیست محصولات اردیبهشت ۱۴۰۳'!B:G,6,0)</f>
        <v>13350000</v>
      </c>
      <c r="U27" s="15"/>
      <c r="V27" s="16">
        <f t="shared" si="8"/>
        <v>0</v>
      </c>
      <c r="W27" s="12">
        <f t="shared" si="9"/>
        <v>1</v>
      </c>
      <c r="X27" s="14">
        <f t="shared" si="10"/>
        <v>13350000</v>
      </c>
      <c r="Y27" s="17"/>
      <c r="Z27" s="14">
        <f t="shared" si="11"/>
        <v>13350000</v>
      </c>
      <c r="AA27" s="141"/>
      <c r="AB27" s="139"/>
      <c r="AC27" s="137"/>
      <c r="AD27" s="135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>
        <v>20</v>
      </c>
      <c r="H28" s="10">
        <v>277631569259</v>
      </c>
      <c r="I28" s="9" t="s">
        <v>826</v>
      </c>
      <c r="J28" s="9"/>
      <c r="K28" s="11" t="str">
        <f t="shared" ca="1" si="7"/>
        <v/>
      </c>
      <c r="L28" s="12" t="s">
        <v>577</v>
      </c>
      <c r="M28" s="12" t="s">
        <v>874</v>
      </c>
      <c r="N28" s="12"/>
      <c r="O28" s="9">
        <v>3326.1</v>
      </c>
      <c r="P28" s="9">
        <v>2</v>
      </c>
      <c r="Q28" s="13" t="str">
        <f>VLOOKUP(O28, '[1]لیست محصولات اردیبهشت ۱۴۰۳'!B:C,2,0)</f>
        <v>میاگروس | Milagros</v>
      </c>
      <c r="R28" s="9" t="s">
        <v>875</v>
      </c>
      <c r="S28" s="12">
        <f>VLOOKUP(O28, '[1]لیست محصولات اردیبهشت ۱۴۰۳'!B:F,5,0)</f>
        <v>150</v>
      </c>
      <c r="T28" s="14">
        <f>VLOOKUP(O28, '[1]لیست محصولات اردیبهشت ۱۴۰۳'!B:G,6,0)</f>
        <v>3750000</v>
      </c>
      <c r="U28" s="15"/>
      <c r="V28" s="16">
        <f t="shared" si="8"/>
        <v>0</v>
      </c>
      <c r="W28" s="12">
        <f t="shared" si="9"/>
        <v>2</v>
      </c>
      <c r="X28" s="14">
        <f t="shared" si="10"/>
        <v>7500000</v>
      </c>
      <c r="Y28" s="17"/>
      <c r="Z28" s="14">
        <f t="shared" si="11"/>
        <v>7500000</v>
      </c>
      <c r="AA28" s="18" t="s">
        <v>79</v>
      </c>
      <c r="AB28" s="13" t="s">
        <v>876</v>
      </c>
      <c r="AC28" s="19" t="s">
        <v>877</v>
      </c>
      <c r="AD28" s="20" t="s">
        <v>99</v>
      </c>
      <c r="AE28" s="19"/>
      <c r="AF28" s="21"/>
      <c r="AG28" s="22" t="str">
        <f t="shared" si="5"/>
        <v>TRUE</v>
      </c>
      <c r="AH28" s="23" t="str">
        <f t="shared" si="6"/>
        <v>تهران ونک - خ عطار - نرسیده به میدان عطار - ساختمان پروین اعتصامی (پلاک26 - همراه اول)  - امین یعقوبی ثانی 09936007969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>
        <v>21</v>
      </c>
      <c r="H29" s="10">
        <v>277631826259</v>
      </c>
      <c r="I29" s="9" t="s">
        <v>826</v>
      </c>
      <c r="J29" s="9"/>
      <c r="K29" s="11" t="str">
        <f t="shared" ca="1" si="7"/>
        <v/>
      </c>
      <c r="L29" s="12" t="s">
        <v>418</v>
      </c>
      <c r="M29" s="12" t="s">
        <v>878</v>
      </c>
      <c r="N29" s="12"/>
      <c r="O29" s="9">
        <v>5501.1</v>
      </c>
      <c r="P29" s="9">
        <v>5</v>
      </c>
      <c r="Q29" s="13" t="str">
        <f>VLOOKUP(O29, '[1]لیست محصولات اردیبهشت ۱۴۰۳'!B:C,2,0)</f>
        <v>ورتکس | Vortex</v>
      </c>
      <c r="R29" s="9"/>
      <c r="S29" s="12">
        <f>VLOOKUP(O29, '[1]لیست محصولات اردیبهشت ۱۴۰۳'!B:F,5,0)</f>
        <v>150</v>
      </c>
      <c r="T29" s="14">
        <f>VLOOKUP(O29, '[1]لیست محصولات اردیبهشت ۱۴۰۳'!B:G,6,0)</f>
        <v>2100000</v>
      </c>
      <c r="U29" s="15"/>
      <c r="V29" s="16">
        <f t="shared" si="8"/>
        <v>0</v>
      </c>
      <c r="W29" s="12">
        <f t="shared" si="9"/>
        <v>5</v>
      </c>
      <c r="X29" s="14">
        <f t="shared" si="10"/>
        <v>10500000</v>
      </c>
      <c r="Y29" s="17"/>
      <c r="Z29" s="14">
        <f t="shared" si="11"/>
        <v>10500000</v>
      </c>
      <c r="AA29" s="18" t="s">
        <v>79</v>
      </c>
      <c r="AB29" s="13" t="s">
        <v>879</v>
      </c>
      <c r="AC29" s="19" t="s">
        <v>880</v>
      </c>
      <c r="AD29" s="20" t="s">
        <v>99</v>
      </c>
      <c r="AE29" s="19"/>
      <c r="AF29" s="21"/>
      <c r="AG29" s="22" t="str">
        <f t="shared" si="5"/>
        <v>TRUE</v>
      </c>
      <c r="AH29" s="23" t="str">
        <f t="shared" si="6"/>
        <v>تهران سعادت آباد میدان فرهنگ بلوار فرهنگ خیابان ۱۶ شرقی پلاک ۱۸ واحد ۳۰۴  - رضا پورسیدی 09121228264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>
        <v>22</v>
      </c>
      <c r="H30" s="10">
        <v>277633865233</v>
      </c>
      <c r="I30" s="9" t="s">
        <v>826</v>
      </c>
      <c r="J30" s="9"/>
      <c r="K30" s="11" t="str">
        <f t="shared" ca="1" si="7"/>
        <v/>
      </c>
      <c r="L30" s="12" t="s">
        <v>881</v>
      </c>
      <c r="M30" s="12" t="s">
        <v>882</v>
      </c>
      <c r="N30" s="12"/>
      <c r="O30" s="9">
        <v>3326.1</v>
      </c>
      <c r="P30" s="9">
        <v>1</v>
      </c>
      <c r="Q30" s="13" t="str">
        <f>VLOOKUP(O30, '[1]لیست محصولات اردیبهشت ۱۴۰۳'!B:C,2,0)</f>
        <v>میاگروس | Milagros</v>
      </c>
      <c r="R30" s="9" t="s">
        <v>102</v>
      </c>
      <c r="S30" s="12">
        <f>VLOOKUP(O30, '[1]لیست محصولات اردیبهشت ۱۴۰۳'!B:F,5,0)</f>
        <v>150</v>
      </c>
      <c r="T30" s="14">
        <f>VLOOKUP(O30, '[1]لیست محصولات اردیبهشت ۱۴۰۳'!B:G,6,0)</f>
        <v>3750000</v>
      </c>
      <c r="U30" s="15"/>
      <c r="V30" s="16">
        <f t="shared" si="8"/>
        <v>0</v>
      </c>
      <c r="W30" s="12">
        <f t="shared" si="9"/>
        <v>1</v>
      </c>
      <c r="X30" s="14">
        <f t="shared" si="10"/>
        <v>3750000</v>
      </c>
      <c r="Y30" s="17"/>
      <c r="Z30" s="14">
        <f t="shared" si="11"/>
        <v>3750000</v>
      </c>
      <c r="AA30" s="18" t="s">
        <v>79</v>
      </c>
      <c r="AB30" s="13" t="s">
        <v>883</v>
      </c>
      <c r="AC30" s="19" t="s">
        <v>884</v>
      </c>
      <c r="AD30" s="20" t="s">
        <v>99</v>
      </c>
      <c r="AE30" s="19"/>
      <c r="AF30" s="21"/>
      <c r="AG30" s="22" t="str">
        <f t="shared" si="5"/>
        <v>TRUE</v>
      </c>
      <c r="AH30" s="23" t="str">
        <f t="shared" si="6"/>
        <v>تهران خیابان قیطریه شمالی، خیابان خراسانی، پلاک5 (شرکت ناموران)، داخلی 1454  - سید علی جزایری 09120766288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66">
        <v>23</v>
      </c>
      <c r="H31" s="67"/>
      <c r="I31" s="66" t="s">
        <v>826</v>
      </c>
      <c r="J31" s="9" t="s">
        <v>76</v>
      </c>
      <c r="K31" s="11" t="str">
        <f t="shared" ca="1" si="7"/>
        <v/>
      </c>
      <c r="L31" s="12" t="s">
        <v>433</v>
      </c>
      <c r="M31" s="12" t="s">
        <v>434</v>
      </c>
      <c r="N31" s="12" t="s">
        <v>885</v>
      </c>
      <c r="O31" s="9">
        <v>5511.3</v>
      </c>
      <c r="P31" s="9">
        <v>1</v>
      </c>
      <c r="Q31" s="13" t="str">
        <f>VLOOKUP(O31, '[1]لیست محصولات اردیبهشت ۱۴۰۳'!B:C,2,0)</f>
        <v>هامبلا | Hambella</v>
      </c>
      <c r="R31" s="9"/>
      <c r="S31" s="12">
        <f>VLOOKUP(O31, '[1]لیست محصولات اردیبهشت ۱۴۰۳'!B:F,5,0)</f>
        <v>4000</v>
      </c>
      <c r="T31" s="14">
        <f>VLOOKUP(O31, '[1]لیست محصولات اردیبهشت ۱۴۰۳'!B:G,6,0)</f>
        <v>69600000</v>
      </c>
      <c r="U31" s="15"/>
      <c r="V31" s="16">
        <f t="shared" si="8"/>
        <v>0</v>
      </c>
      <c r="W31" s="12">
        <f t="shared" si="9"/>
        <v>1</v>
      </c>
      <c r="X31" s="14">
        <f t="shared" si="10"/>
        <v>69600000</v>
      </c>
      <c r="Y31" s="17"/>
      <c r="Z31" s="14">
        <f t="shared" si="11"/>
        <v>69600000</v>
      </c>
      <c r="AA31" s="18" t="s">
        <v>79</v>
      </c>
      <c r="AB31" s="13" t="s">
        <v>70</v>
      </c>
      <c r="AC31" s="19" t="s">
        <v>437</v>
      </c>
      <c r="AD31" s="20"/>
      <c r="AE31" s="19"/>
      <c r="AF31" s="21"/>
      <c r="AG31" s="22" t="str">
        <f t="shared" si="5"/>
        <v>TRUE</v>
      </c>
      <c r="AH31" s="23" t="str">
        <f t="shared" si="6"/>
        <v>تهران - کافه ویوولانژ - مهدی مولایی 09197844409</v>
      </c>
    </row>
    <row r="32" spans="1:34" ht="22.35" customHeight="1">
      <c r="A32" s="7"/>
      <c r="B32" s="7"/>
      <c r="C32" s="7"/>
      <c r="D32" s="7"/>
      <c r="E32" s="7"/>
      <c r="F32" s="8"/>
      <c r="G32" s="9">
        <v>24</v>
      </c>
      <c r="H32" s="10">
        <v>277729108020</v>
      </c>
      <c r="I32" s="9" t="s">
        <v>910</v>
      </c>
      <c r="J32" s="9"/>
      <c r="K32" s="11" t="str">
        <f t="shared" ca="1" si="7"/>
        <v/>
      </c>
      <c r="L32" s="12" t="s">
        <v>955</v>
      </c>
      <c r="M32" s="12" t="s">
        <v>956</v>
      </c>
      <c r="N32" s="12"/>
      <c r="O32" s="9">
        <v>3326.1</v>
      </c>
      <c r="P32" s="9">
        <v>1</v>
      </c>
      <c r="Q32" s="13" t="str">
        <f>VLOOKUP(O32, '[1]لیست محصولات اردیبهشت ۱۴۰۳'!B:C,2,0)</f>
        <v>میاگروس | Milagros</v>
      </c>
      <c r="R32" s="9" t="s">
        <v>125</v>
      </c>
      <c r="S32" s="12">
        <f>VLOOKUP(O32, '[1]لیست محصولات اردیبهشت ۱۴۰۳'!B:F,5,0)</f>
        <v>150</v>
      </c>
      <c r="T32" s="14">
        <f>VLOOKUP(O32, '[1]لیست محصولات اردیبهشت ۱۴۰۳'!B:G,6,0)</f>
        <v>3750000</v>
      </c>
      <c r="U32" s="15"/>
      <c r="V32" s="16">
        <f t="shared" si="8"/>
        <v>0</v>
      </c>
      <c r="W32" s="12">
        <f t="shared" si="9"/>
        <v>1</v>
      </c>
      <c r="X32" s="14">
        <f t="shared" si="10"/>
        <v>3750000</v>
      </c>
      <c r="Y32" s="17"/>
      <c r="Z32" s="14">
        <f t="shared" si="11"/>
        <v>3750000</v>
      </c>
      <c r="AA32" s="18" t="s">
        <v>79</v>
      </c>
      <c r="AB32" s="13" t="s">
        <v>957</v>
      </c>
      <c r="AC32" s="19" t="s">
        <v>958</v>
      </c>
      <c r="AD32" s="20" t="s">
        <v>99</v>
      </c>
      <c r="AE32" s="19"/>
      <c r="AF32" s="21"/>
      <c r="AG32" s="22" t="str">
        <f t="shared" si="5"/>
        <v>TRUE</v>
      </c>
      <c r="AH32" s="23" t="str">
        <f t="shared" si="6"/>
        <v>تهران پاسداران سه راه ضرابخانه ،سروستان ۵، کوچه اول، پلاک ۱ ،واحد ۳  - فرشاد مقدسی 09147894009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7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8"/>
        <v>0</v>
      </c>
      <c r="W33" s="12">
        <f t="shared" si="9"/>
        <v>0</v>
      </c>
      <c r="X33" s="14" t="e">
        <f t="shared" si="10"/>
        <v>#N/A</v>
      </c>
      <c r="Y33" s="17"/>
      <c r="Z33" s="14" t="e">
        <f t="shared" si="11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7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8"/>
        <v>0</v>
      </c>
      <c r="W34" s="12">
        <f t="shared" si="9"/>
        <v>0</v>
      </c>
      <c r="X34" s="14" t="e">
        <f t="shared" si="10"/>
        <v>#N/A</v>
      </c>
      <c r="Y34" s="17"/>
      <c r="Z34" s="14" t="e">
        <f t="shared" si="11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7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8"/>
        <v>0</v>
      </c>
      <c r="W35" s="12">
        <f t="shared" si="9"/>
        <v>0</v>
      </c>
      <c r="X35" s="14" t="e">
        <f t="shared" si="10"/>
        <v>#N/A</v>
      </c>
      <c r="Y35" s="17"/>
      <c r="Z35" s="14" t="e">
        <f t="shared" si="11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7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8"/>
        <v>0</v>
      </c>
      <c r="W36" s="12">
        <f t="shared" si="9"/>
        <v>0</v>
      </c>
      <c r="X36" s="14" t="e">
        <f t="shared" si="10"/>
        <v>#N/A</v>
      </c>
      <c r="Y36" s="17"/>
      <c r="Z36" s="14" t="e">
        <f t="shared" si="11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7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8"/>
        <v>0</v>
      </c>
      <c r="W37" s="12">
        <f t="shared" si="9"/>
        <v>0</v>
      </c>
      <c r="X37" s="14" t="e">
        <f t="shared" si="10"/>
        <v>#N/A</v>
      </c>
      <c r="Y37" s="17"/>
      <c r="Z37" s="14" t="e">
        <f t="shared" si="11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7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8"/>
        <v>0</v>
      </c>
      <c r="W38" s="12">
        <f t="shared" si="9"/>
        <v>0</v>
      </c>
      <c r="X38" s="14" t="e">
        <f t="shared" si="10"/>
        <v>#N/A</v>
      </c>
      <c r="Y38" s="17"/>
      <c r="Z38" s="14" t="e">
        <f t="shared" si="11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7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8"/>
        <v>0</v>
      </c>
      <c r="W39" s="12">
        <f t="shared" si="9"/>
        <v>0</v>
      </c>
      <c r="X39" s="14" t="e">
        <f t="shared" si="10"/>
        <v>#N/A</v>
      </c>
      <c r="Y39" s="17"/>
      <c r="Z39" s="14" t="e">
        <f t="shared" si="11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7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8"/>
        <v>0</v>
      </c>
      <c r="W40" s="12">
        <f t="shared" si="9"/>
        <v>0</v>
      </c>
      <c r="X40" s="14" t="e">
        <f t="shared" si="10"/>
        <v>#N/A</v>
      </c>
      <c r="Y40" s="17"/>
      <c r="Z40" s="14" t="e">
        <f t="shared" si="11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7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8"/>
        <v>0</v>
      </c>
      <c r="W41" s="12">
        <f t="shared" si="9"/>
        <v>0</v>
      </c>
      <c r="X41" s="14" t="e">
        <f t="shared" si="10"/>
        <v>#N/A</v>
      </c>
      <c r="Y41" s="17"/>
      <c r="Z41" s="14" t="e">
        <f t="shared" si="11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7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8"/>
        <v>0</v>
      </c>
      <c r="W42" s="12">
        <f t="shared" si="9"/>
        <v>0</v>
      </c>
      <c r="X42" s="14" t="e">
        <f t="shared" si="10"/>
        <v>#N/A</v>
      </c>
      <c r="Y42" s="17"/>
      <c r="Z42" s="14" t="e">
        <f t="shared" si="11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7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8"/>
        <v>0</v>
      </c>
      <c r="W43" s="12">
        <f t="shared" si="9"/>
        <v>0</v>
      </c>
      <c r="X43" s="14" t="e">
        <f t="shared" si="10"/>
        <v>#N/A</v>
      </c>
      <c r="Y43" s="17"/>
      <c r="Z43" s="14" t="e">
        <f t="shared" si="11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7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8"/>
        <v>0</v>
      </c>
      <c r="W44" s="12">
        <f t="shared" si="9"/>
        <v>0</v>
      </c>
      <c r="X44" s="14" t="e">
        <f t="shared" si="10"/>
        <v>#N/A</v>
      </c>
      <c r="Y44" s="17"/>
      <c r="Z44" s="14" t="e">
        <f t="shared" si="11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7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8"/>
        <v>0</v>
      </c>
      <c r="W45" s="12">
        <f t="shared" si="9"/>
        <v>0</v>
      </c>
      <c r="X45" s="14" t="e">
        <f t="shared" si="10"/>
        <v>#N/A</v>
      </c>
      <c r="Y45" s="17"/>
      <c r="Z45" s="14" t="e">
        <f t="shared" si="11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7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8"/>
        <v>0</v>
      </c>
      <c r="W46" s="12">
        <f t="shared" si="9"/>
        <v>0</v>
      </c>
      <c r="X46" s="14" t="e">
        <f t="shared" si="10"/>
        <v>#N/A</v>
      </c>
      <c r="Y46" s="17"/>
      <c r="Z46" s="14" t="e">
        <f t="shared" si="11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7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8"/>
        <v>0</v>
      </c>
      <c r="W47" s="12">
        <f t="shared" si="9"/>
        <v>0</v>
      </c>
      <c r="X47" s="14" t="e">
        <f t="shared" si="10"/>
        <v>#N/A</v>
      </c>
      <c r="Y47" s="17"/>
      <c r="Z47" s="14" t="e">
        <f t="shared" si="11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7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8"/>
        <v>0</v>
      </c>
      <c r="W48" s="12">
        <f t="shared" si="9"/>
        <v>0</v>
      </c>
      <c r="X48" s="14" t="e">
        <f t="shared" si="10"/>
        <v>#N/A</v>
      </c>
      <c r="Y48" s="17"/>
      <c r="Z48" s="14" t="e">
        <f t="shared" si="11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7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8"/>
        <v>0</v>
      </c>
      <c r="W49" s="12">
        <f t="shared" si="9"/>
        <v>0</v>
      </c>
      <c r="X49" s="14" t="e">
        <f t="shared" si="10"/>
        <v>#N/A</v>
      </c>
      <c r="Y49" s="17"/>
      <c r="Z49" s="14" t="e">
        <f t="shared" si="11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7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8"/>
        <v>0</v>
      </c>
      <c r="W50" s="12">
        <f t="shared" si="9"/>
        <v>0</v>
      </c>
      <c r="X50" s="14" t="e">
        <f t="shared" si="10"/>
        <v>#N/A</v>
      </c>
      <c r="Y50" s="17"/>
      <c r="Z50" s="14" t="e">
        <f t="shared" si="11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7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8"/>
        <v>0</v>
      </c>
      <c r="W51" s="12">
        <f t="shared" si="9"/>
        <v>0</v>
      </c>
      <c r="X51" s="14" t="e">
        <f t="shared" si="10"/>
        <v>#N/A</v>
      </c>
      <c r="Y51" s="17"/>
      <c r="Z51" s="14" t="e">
        <f t="shared" si="11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7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8"/>
        <v>0</v>
      </c>
      <c r="W52" s="12">
        <f t="shared" si="9"/>
        <v>0</v>
      </c>
      <c r="X52" s="14" t="e">
        <f t="shared" si="10"/>
        <v>#N/A</v>
      </c>
      <c r="Y52" s="17"/>
      <c r="Z52" s="14" t="e">
        <f t="shared" si="11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7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8"/>
        <v>0</v>
      </c>
      <c r="W53" s="12">
        <f t="shared" si="9"/>
        <v>0</v>
      </c>
      <c r="X53" s="14" t="e">
        <f t="shared" si="10"/>
        <v>#N/A</v>
      </c>
      <c r="Y53" s="17"/>
      <c r="Z53" s="14" t="e">
        <f t="shared" si="11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7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8"/>
        <v>0</v>
      </c>
      <c r="W54" s="12">
        <f t="shared" si="9"/>
        <v>0</v>
      </c>
      <c r="X54" s="14" t="e">
        <f t="shared" si="10"/>
        <v>#N/A</v>
      </c>
      <c r="Y54" s="17"/>
      <c r="Z54" s="14" t="e">
        <f t="shared" si="11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7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8"/>
        <v>0</v>
      </c>
      <c r="W55" s="12">
        <f t="shared" si="9"/>
        <v>0</v>
      </c>
      <c r="X55" s="14" t="e">
        <f t="shared" si="10"/>
        <v>#N/A</v>
      </c>
      <c r="Y55" s="17"/>
      <c r="Z55" s="14" t="e">
        <f t="shared" si="11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7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8"/>
        <v>0</v>
      </c>
      <c r="W56" s="12">
        <f t="shared" si="9"/>
        <v>0</v>
      </c>
      <c r="X56" s="14" t="e">
        <f t="shared" si="10"/>
        <v>#N/A</v>
      </c>
      <c r="Y56" s="17"/>
      <c r="Z56" s="14" t="e">
        <f t="shared" si="11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7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8"/>
        <v>0</v>
      </c>
      <c r="W57" s="12">
        <f t="shared" si="9"/>
        <v>0</v>
      </c>
      <c r="X57" s="14" t="e">
        <f t="shared" si="10"/>
        <v>#N/A</v>
      </c>
      <c r="Y57" s="17"/>
      <c r="Z57" s="14" t="e">
        <f t="shared" si="11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7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8"/>
        <v>0</v>
      </c>
      <c r="W58" s="12">
        <f t="shared" si="9"/>
        <v>0</v>
      </c>
      <c r="X58" s="14" t="e">
        <f t="shared" si="10"/>
        <v>#N/A</v>
      </c>
      <c r="Y58" s="17"/>
      <c r="Z58" s="14" t="e">
        <f t="shared" si="11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7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8"/>
        <v>0</v>
      </c>
      <c r="W59" s="12">
        <f t="shared" si="9"/>
        <v>0</v>
      </c>
      <c r="X59" s="14" t="e">
        <f t="shared" si="10"/>
        <v>#N/A</v>
      </c>
      <c r="Y59" s="17"/>
      <c r="Z59" s="14" t="e">
        <f t="shared" si="11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7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8"/>
        <v>0</v>
      </c>
      <c r="W60" s="12">
        <f t="shared" si="9"/>
        <v>0</v>
      </c>
      <c r="X60" s="14" t="e">
        <f t="shared" si="10"/>
        <v>#N/A</v>
      </c>
      <c r="Y60" s="17"/>
      <c r="Z60" s="14" t="e">
        <f t="shared" si="11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7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8"/>
        <v>0</v>
      </c>
      <c r="W61" s="12">
        <f t="shared" si="9"/>
        <v>0</v>
      </c>
      <c r="X61" s="14" t="e">
        <f t="shared" si="10"/>
        <v>#N/A</v>
      </c>
      <c r="Y61" s="17"/>
      <c r="Z61" s="14" t="e">
        <f t="shared" si="11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7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8"/>
        <v>0</v>
      </c>
      <c r="W62" s="12">
        <f t="shared" si="9"/>
        <v>0</v>
      </c>
      <c r="X62" s="14" t="e">
        <f t="shared" si="10"/>
        <v>#N/A</v>
      </c>
      <c r="Y62" s="17"/>
      <c r="Z62" s="14" t="e">
        <f t="shared" si="11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7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8"/>
        <v>0</v>
      </c>
      <c r="W63" s="12">
        <f t="shared" si="9"/>
        <v>0</v>
      </c>
      <c r="X63" s="14" t="e">
        <f t="shared" si="10"/>
        <v>#N/A</v>
      </c>
      <c r="Y63" s="17"/>
      <c r="Z63" s="14" t="e">
        <f t="shared" si="11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7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8"/>
        <v>0</v>
      </c>
      <c r="W64" s="12">
        <f t="shared" si="9"/>
        <v>0</v>
      </c>
      <c r="X64" s="14" t="e">
        <f t="shared" si="10"/>
        <v>#N/A</v>
      </c>
      <c r="Y64" s="17"/>
      <c r="Z64" s="14" t="e">
        <f t="shared" si="11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7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8"/>
        <v>0</v>
      </c>
      <c r="W65" s="12">
        <f t="shared" si="9"/>
        <v>0</v>
      </c>
      <c r="X65" s="14" t="e">
        <f t="shared" si="10"/>
        <v>#N/A</v>
      </c>
      <c r="Y65" s="17"/>
      <c r="Z65" s="14" t="e">
        <f t="shared" si="11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7</v>
      </c>
      <c r="AI240" s="56">
        <f t="shared" si="24"/>
        <v>0</v>
      </c>
      <c r="AJ240" s="57">
        <f>AH240-AI240</f>
        <v>7</v>
      </c>
      <c r="AK240" s="58">
        <f t="shared" si="28"/>
        <v>1.05</v>
      </c>
      <c r="AL240" s="59">
        <f>AO240+AQ240-[2]Sheet1!$AH241</f>
        <v>0</v>
      </c>
      <c r="AM240" s="59">
        <f t="shared" si="30"/>
        <v>-7</v>
      </c>
      <c r="AN240" s="58">
        <f t="shared" si="26"/>
        <v>0</v>
      </c>
      <c r="AO240" s="59"/>
      <c r="AP240" s="58">
        <f t="shared" si="27"/>
        <v>-1.05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3</v>
      </c>
      <c r="AI241" s="56">
        <f t="shared" si="24"/>
        <v>0</v>
      </c>
      <c r="AJ241" s="57">
        <f t="shared" ref="AJ241:AJ264" si="32">AH241-AI241</f>
        <v>3</v>
      </c>
      <c r="AK241" s="58">
        <f>AH241*AG241/1000</f>
        <v>2.25</v>
      </c>
      <c r="AL241" s="59">
        <f>AO241+AQ241-[2]Sheet1!$AH242</f>
        <v>0</v>
      </c>
      <c r="AM241" s="59">
        <f t="shared" si="30"/>
        <v>-3</v>
      </c>
      <c r="AN241" s="58">
        <f t="shared" si="26"/>
        <v>0</v>
      </c>
      <c r="AO241" s="59"/>
      <c r="AP241" s="58">
        <f t="shared" si="27"/>
        <v>-2.25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18</v>
      </c>
      <c r="AI242" s="56">
        <f t="shared" si="24"/>
        <v>0</v>
      </c>
      <c r="AJ242" s="57">
        <f t="shared" si="32"/>
        <v>18</v>
      </c>
      <c r="AK242" s="58">
        <f t="shared" ref="AK242:AK267" si="33">AH242*AG242/1000</f>
        <v>72</v>
      </c>
      <c r="AL242" s="59">
        <f>AO242+AQ242-[2]Sheet1!$AH243</f>
        <v>0</v>
      </c>
      <c r="AM242" s="59">
        <f t="shared" si="30"/>
        <v>-18</v>
      </c>
      <c r="AN242" s="58">
        <f t="shared" si="26"/>
        <v>0</v>
      </c>
      <c r="AO242" s="59"/>
      <c r="AP242" s="58">
        <f t="shared" si="27"/>
        <v>-72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1</v>
      </c>
      <c r="AI251" s="56">
        <f t="shared" si="24"/>
        <v>0</v>
      </c>
      <c r="AJ251" s="57">
        <f t="shared" si="32"/>
        <v>1</v>
      </c>
      <c r="AK251" s="58">
        <f t="shared" si="33"/>
        <v>0.15</v>
      </c>
      <c r="AL251" s="59">
        <f>AO251+AQ251-[2]Sheet1!$AH252</f>
        <v>0</v>
      </c>
      <c r="AM251" s="59">
        <f t="shared" si="30"/>
        <v>-1</v>
      </c>
      <c r="AN251" s="58">
        <f t="shared" si="26"/>
        <v>0</v>
      </c>
      <c r="AO251" s="59"/>
      <c r="AP251" s="58">
        <f t="shared" si="27"/>
        <v>-0.15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19</v>
      </c>
      <c r="AI252" s="56">
        <f t="shared" si="24"/>
        <v>0</v>
      </c>
      <c r="AJ252" s="57">
        <f t="shared" si="32"/>
        <v>19</v>
      </c>
      <c r="AK252" s="58">
        <f t="shared" si="33"/>
        <v>14.25</v>
      </c>
      <c r="AL252" s="59">
        <f>AO252+AQ252-[2]Sheet1!$AH253</f>
        <v>0</v>
      </c>
      <c r="AM252" s="59">
        <f t="shared" si="30"/>
        <v>-19</v>
      </c>
      <c r="AN252" s="58">
        <f t="shared" si="26"/>
        <v>0</v>
      </c>
      <c r="AO252" s="59"/>
      <c r="AP252" s="58">
        <f t="shared" si="27"/>
        <v>-14.25</v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0</v>
      </c>
      <c r="AI253" s="56">
        <f t="shared" si="24"/>
        <v>0</v>
      </c>
      <c r="AJ253" s="57">
        <f t="shared" si="32"/>
        <v>0</v>
      </c>
      <c r="AK253" s="58">
        <f t="shared" si="33"/>
        <v>0</v>
      </c>
      <c r="AL253" s="59">
        <f>AO253+AQ253-[2]Sheet1!$AH254</f>
        <v>0</v>
      </c>
      <c r="AM253" s="59">
        <f t="shared" si="30"/>
        <v>0</v>
      </c>
      <c r="AN253" s="58">
        <f t="shared" si="26"/>
        <v>0</v>
      </c>
      <c r="AO253" s="59"/>
      <c r="AP253" s="58" t="str">
        <f t="shared" si="27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1</v>
      </c>
      <c r="AI254" s="56">
        <f t="shared" si="24"/>
        <v>0</v>
      </c>
      <c r="AJ254" s="57">
        <f t="shared" si="32"/>
        <v>1</v>
      </c>
      <c r="AK254" s="58">
        <f t="shared" si="33"/>
        <v>0.75</v>
      </c>
      <c r="AL254" s="59">
        <f>AO254+AQ254-[2]Sheet1!$AH255</f>
        <v>0</v>
      </c>
      <c r="AM254" s="59">
        <f t="shared" si="30"/>
        <v>-1</v>
      </c>
      <c r="AN254" s="58">
        <f t="shared" si="26"/>
        <v>0</v>
      </c>
      <c r="AO254" s="59"/>
      <c r="AP254" s="58">
        <f t="shared" si="27"/>
        <v>-0.75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AO259+AQ259-[2]Sheet1!$AH260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0</v>
      </c>
      <c r="AI260" s="56">
        <f t="shared" si="24"/>
        <v>0</v>
      </c>
      <c r="AJ260" s="57">
        <f t="shared" si="32"/>
        <v>0</v>
      </c>
      <c r="AK260" s="58">
        <f t="shared" si="33"/>
        <v>0</v>
      </c>
      <c r="AL260" s="59">
        <f>AO260+AQ260-[2]Sheet1!$AH261</f>
        <v>0</v>
      </c>
      <c r="AM260" s="59">
        <f t="shared" si="30"/>
        <v>0</v>
      </c>
      <c r="AN260" s="58">
        <f t="shared" si="26"/>
        <v>0</v>
      </c>
      <c r="AO260" s="59"/>
      <c r="AP260" s="58" t="str">
        <f t="shared" si="27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0</v>
      </c>
      <c r="AI261" s="56">
        <f t="shared" si="24"/>
        <v>0</v>
      </c>
      <c r="AJ261" s="57">
        <f t="shared" si="32"/>
        <v>0</v>
      </c>
      <c r="AK261" s="58">
        <f t="shared" si="33"/>
        <v>0</v>
      </c>
      <c r="AL261" s="59">
        <f>AO261+AQ261-[2]Sheet1!$AH262</f>
        <v>0</v>
      </c>
      <c r="AM261" s="59">
        <f t="shared" si="30"/>
        <v>0</v>
      </c>
      <c r="AN261" s="58">
        <f t="shared" si="26"/>
        <v>0</v>
      </c>
      <c r="AO261" s="59"/>
      <c r="AP261" s="58" t="str">
        <f t="shared" si="27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5:W31 W33:W200" name="باقیمانده_5"/>
    <protectedRange algorithmName="SHA-512" hashValue="f5WsBkExWTs/LKakVBbNBXjGjwaAPcOxHhJFt4MnEAAY0TgGUtLBwc6BQDnps5THm9Gccqda3SWXIrg2Z9o+GA==" saltValue="9EXh0tvvNrwpkDbSuYJ+Uw==" spinCount="100000" sqref="V5:V31 V33:V200" name="تعداد ارسال شده_4"/>
    <protectedRange algorithmName="SHA-512" hashValue="jjrV5Hy6JwvVqOO7tKoZVoRg7rpBcjqvT96GSIFiDncBaImziwFUF2JC6d0rT0SfgZv+eJ/5g2VdqSB7bdW0mg==" saltValue="0Igh3j97EZBwjtfDd8U1wg==" spinCount="100000" sqref="W2:W3" name="باقیمانده_5_1"/>
    <protectedRange algorithmName="SHA-512" hashValue="f5WsBkExWTs/LKakVBbNBXjGjwaAPcOxHhJFt4MnEAAY0TgGUtLBwc6BQDnps5THm9Gccqda3SWXIrg2Z9o+GA==" saltValue="9EXh0tvvNrwpkDbSuYJ+Uw==" spinCount="100000" sqref="V2:V3" name="تعداد ارسال شده_4_1"/>
    <protectedRange algorithmName="SHA-512" hashValue="jjrV5Hy6JwvVqOO7tKoZVoRg7rpBcjqvT96GSIFiDncBaImziwFUF2JC6d0rT0SfgZv+eJ/5g2VdqSB7bdW0mg==" saltValue="0Igh3j97EZBwjtfDd8U1wg==" spinCount="100000" sqref="W4" name="باقیمانده_5_2"/>
    <protectedRange algorithmName="SHA-512" hashValue="f5WsBkExWTs/LKakVBbNBXjGjwaAPcOxHhJFt4MnEAAY0TgGUtLBwc6BQDnps5THm9Gccqda3SWXIrg2Z9o+GA==" saltValue="9EXh0tvvNrwpkDbSuYJ+Uw==" spinCount="100000" sqref="V4" name="تعداد ارسال شده_4_2"/>
    <protectedRange algorithmName="SHA-512" hashValue="jjrV5Hy6JwvVqOO7tKoZVoRg7rpBcjqvT96GSIFiDncBaImziwFUF2JC6d0rT0SfgZv+eJ/5g2VdqSB7bdW0mg==" saltValue="0Igh3j97EZBwjtfDd8U1wg==" spinCount="100000" sqref="W32" name="باقیمانده_5_3"/>
    <protectedRange algorithmName="SHA-512" hashValue="f5WsBkExWTs/LKakVBbNBXjGjwaAPcOxHhJFt4MnEAAY0TgGUtLBwc6BQDnps5THm9Gccqda3SWXIrg2Z9o+GA==" saltValue="9EXh0tvvNrwpkDbSuYJ+Uw==" spinCount="100000" sqref="V32" name="تعداد ارسال شده_4_3"/>
  </protectedRanges>
  <mergeCells count="81"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J2:J3"/>
    <mergeCell ref="L2:L3"/>
    <mergeCell ref="M2:M3"/>
    <mergeCell ref="N2:N3"/>
    <mergeCell ref="H4:H5"/>
    <mergeCell ref="G4:G5"/>
    <mergeCell ref="AD4:AD5"/>
    <mergeCell ref="AC4:AC5"/>
    <mergeCell ref="AB4:AB5"/>
    <mergeCell ref="AA4:AA5"/>
    <mergeCell ref="N4:N5"/>
    <mergeCell ref="M4:M5"/>
    <mergeCell ref="L4:L5"/>
    <mergeCell ref="J4:J5"/>
    <mergeCell ref="H9:H10"/>
    <mergeCell ref="G9:G10"/>
    <mergeCell ref="AD9:AD10"/>
    <mergeCell ref="AC9:AC10"/>
    <mergeCell ref="AB9:AB10"/>
    <mergeCell ref="AA9:AA10"/>
    <mergeCell ref="N9:N10"/>
    <mergeCell ref="M9:M10"/>
    <mergeCell ref="L9:L10"/>
    <mergeCell ref="J9:J10"/>
    <mergeCell ref="I9:I10"/>
    <mergeCell ref="H11:H12"/>
    <mergeCell ref="G11:G12"/>
    <mergeCell ref="AD11:AD12"/>
    <mergeCell ref="AC11:AC12"/>
    <mergeCell ref="AB11:AB12"/>
    <mergeCell ref="AA11:AA12"/>
    <mergeCell ref="N11:N12"/>
    <mergeCell ref="M11:M12"/>
    <mergeCell ref="L11:L12"/>
    <mergeCell ref="J11:J12"/>
    <mergeCell ref="I11:I12"/>
    <mergeCell ref="H14:H15"/>
    <mergeCell ref="G14:G15"/>
    <mergeCell ref="AC14:AC15"/>
    <mergeCell ref="AE14:AE15"/>
    <mergeCell ref="AD14:AD15"/>
    <mergeCell ref="AB14:AB15"/>
    <mergeCell ref="AA14:AA15"/>
    <mergeCell ref="N14:N15"/>
    <mergeCell ref="M14:M15"/>
    <mergeCell ref="L14:L15"/>
    <mergeCell ref="J14:J15"/>
    <mergeCell ref="I14:I15"/>
    <mergeCell ref="H22:H23"/>
    <mergeCell ref="G22:G23"/>
    <mergeCell ref="AD22:AD23"/>
    <mergeCell ref="AC22:AC23"/>
    <mergeCell ref="AB22:AB23"/>
    <mergeCell ref="AA22:AA23"/>
    <mergeCell ref="N22:N23"/>
    <mergeCell ref="M22:M23"/>
    <mergeCell ref="L22:L23"/>
    <mergeCell ref="J22:J23"/>
    <mergeCell ref="I22:I23"/>
    <mergeCell ref="H26:H27"/>
    <mergeCell ref="G26:G27"/>
    <mergeCell ref="AD26:AD27"/>
    <mergeCell ref="AC26:AC27"/>
    <mergeCell ref="AB26:AB27"/>
    <mergeCell ref="AA26:AA27"/>
    <mergeCell ref="N26:N27"/>
    <mergeCell ref="M26:M27"/>
    <mergeCell ref="L26:L27"/>
    <mergeCell ref="J26:J27"/>
    <mergeCell ref="I26:I27"/>
  </mergeCells>
  <conditionalFormatting sqref="G13:I13 K13:AF13 G14:AF14 G16:AF22 G24:AF26 G28:AF31 Q5:Z5 J6:J9 Q6:AF9 Q10:Z10 G11:AF11 O12:Z12 O15:Z15 O23:Z23 O27:Z27 AE5:AF5 K5:K10 O5:P10 AE10:AF10 K12 AE12:AF12 K15 AF15 K23 AE23:AF23 K27 AE27:AF27 G33:AF200">
    <cfRule type="expression" dxfId="31" priority="76">
      <formula>$C5</formula>
    </cfRule>
  </conditionalFormatting>
  <conditionalFormatting sqref="G2:J2 AD2 Z2:Z3 G13:I13 L13 G14:J14 G16:J22 G24:J26 G28:J31 G33:J200">
    <cfRule type="expression" dxfId="30" priority="12">
      <formula>$E2</formula>
    </cfRule>
  </conditionalFormatting>
  <conditionalFormatting sqref="G2:J2 AD2">
    <cfRule type="expression" dxfId="29" priority="10">
      <formula>$A2</formula>
    </cfRule>
  </conditionalFormatting>
  <conditionalFormatting sqref="G2:AF2 O3:Z3 K3 AE3:AF3">
    <cfRule type="expression" dxfId="28" priority="11">
      <formula>$C2</formula>
    </cfRule>
  </conditionalFormatting>
  <conditionalFormatting sqref="J4 Z4 AD4">
    <cfRule type="expression" dxfId="27" priority="8">
      <formula>$E4</formula>
    </cfRule>
  </conditionalFormatting>
  <conditionalFormatting sqref="J4:K4 O4:AF4 H4 H6:H9">
    <cfRule type="expression" dxfId="26" priority="7">
      <formula>$C4</formula>
    </cfRule>
  </conditionalFormatting>
  <conditionalFormatting sqref="L13 G13:I14 J14 G16:J22 G24:J26 G28:J31 G33:J200">
    <cfRule type="expression" dxfId="25" priority="75">
      <formula>$A13</formula>
    </cfRule>
  </conditionalFormatting>
  <conditionalFormatting sqref="W2:W31 W33:W200">
    <cfRule type="expression" dxfId="24" priority="5">
      <formula>$AG2</formula>
    </cfRule>
  </conditionalFormatting>
  <conditionalFormatting sqref="Z2:Z31 J4 AD4 J6:J9 AD6:AD9 G11:J11 AD11 AD13:AD14 AD16:AD22 AD24:AD26 AD28:AD31 AD33:AD200 Z33:Z200">
    <cfRule type="expression" dxfId="23" priority="6">
      <formula>$A2</formula>
    </cfRule>
  </conditionalFormatting>
  <conditionalFormatting sqref="Z5:Z31 J6:J9 AD6:AD9 G11:J11 AD11 AD13:AD14 AD16:AD22 AD24:AD26 AD28:AD31 AD33:AD200 Z33:Z200">
    <cfRule type="expression" dxfId="22" priority="77">
      <formula>$E5</formula>
    </cfRule>
  </conditionalFormatting>
  <conditionalFormatting sqref="AL203:AM203">
    <cfRule type="dataBar" priority="39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{F22DDD5F-CD52-4649-A94A-3F6EB583D0EC}</x14:id>
        </ext>
      </extLst>
    </cfRule>
  </conditionalFormatting>
  <conditionalFormatting sqref="AL204:AM204">
    <cfRule type="dataBar" priority="38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{1AC5541E-ED84-451F-BCC3-908A553F8EC9}</x14:id>
        </ext>
      </extLst>
    </cfRule>
  </conditionalFormatting>
  <conditionalFormatting sqref="AL205:AM205">
    <cfRule type="dataBar" priority="37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{33E9C207-0CA7-480F-BDFF-7534F52807D0}</x14:id>
        </ext>
      </extLst>
    </cfRule>
  </conditionalFormatting>
  <conditionalFormatting sqref="AL206:AM206">
    <cfRule type="dataBar" priority="36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{1E4EEC29-9505-4F1F-B215-1E2DD67436C3}</x14:id>
        </ext>
      </extLst>
    </cfRule>
  </conditionalFormatting>
  <conditionalFormatting sqref="AL207:AM207">
    <cfRule type="dataBar" priority="35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{5355F527-91F3-4AC0-A3F4-5762182F042B}</x14:id>
        </ext>
      </extLst>
    </cfRule>
  </conditionalFormatting>
  <conditionalFormatting sqref="AL208:AM208">
    <cfRule type="dataBar" priority="34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{E9AE591C-4AE0-4231-82E9-DF2DEDF75E4A}</x14:id>
        </ext>
      </extLst>
    </cfRule>
  </conditionalFormatting>
  <conditionalFormatting sqref="AL209:AM209">
    <cfRule type="dataBar" priority="33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{A98ED23D-E4B8-4CD5-BC13-FBA5CB449623}</x14:id>
        </ext>
      </extLst>
    </cfRule>
  </conditionalFormatting>
  <conditionalFormatting sqref="AL210:AM210">
    <cfRule type="dataBar" priority="32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{8C65FED9-E0F8-408C-9518-2700E0D59C5F}</x14:id>
        </ext>
      </extLst>
    </cfRule>
  </conditionalFormatting>
  <conditionalFormatting sqref="AL211:AM211">
    <cfRule type="dataBar" priority="31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{952EAAC1-365A-4A6A-9232-9BAC20FE55F6}</x14:id>
        </ext>
      </extLst>
    </cfRule>
  </conditionalFormatting>
  <conditionalFormatting sqref="AL212:AM212">
    <cfRule type="dataBar" priority="30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{9D4C834E-2446-4688-91A8-3911FF7FEEBA}</x14:id>
        </ext>
      </extLst>
    </cfRule>
  </conditionalFormatting>
  <conditionalFormatting sqref="AL213:AM213">
    <cfRule type="dataBar" priority="29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{735266DE-751A-4167-9ACD-2C963D07F6A5}</x14:id>
        </ext>
      </extLst>
    </cfRule>
  </conditionalFormatting>
  <conditionalFormatting sqref="AL214:AM214">
    <cfRule type="dataBar" priority="28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{309881A1-EA20-4182-9E4D-BB89FE9127E6}</x14:id>
        </ext>
      </extLst>
    </cfRule>
  </conditionalFormatting>
  <conditionalFormatting sqref="AL215:AM215">
    <cfRule type="dataBar" priority="27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{7D0E5173-B3A3-47CF-87E2-61048196F77A}</x14:id>
        </ext>
      </extLst>
    </cfRule>
  </conditionalFormatting>
  <conditionalFormatting sqref="AL216:AM216">
    <cfRule type="dataBar" priority="26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{234A2F65-6B58-42BB-973C-5116AE08605E}</x14:id>
        </ext>
      </extLst>
    </cfRule>
  </conditionalFormatting>
  <conditionalFormatting sqref="AL217:AM217">
    <cfRule type="dataBar" priority="25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{90794B4D-08FF-491F-BCEB-E4C2052391DB}</x14:id>
        </ext>
      </extLst>
    </cfRule>
  </conditionalFormatting>
  <conditionalFormatting sqref="AL218:AM218">
    <cfRule type="dataBar" priority="24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{0EF44931-F12E-4B58-823B-C32B530D1617}</x14:id>
        </ext>
      </extLst>
    </cfRule>
  </conditionalFormatting>
  <conditionalFormatting sqref="AL219:AM219">
    <cfRule type="dataBar" priority="23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{56DF799B-418A-4AC3-8B1A-0ECC2A58FF4C}</x14:id>
        </ext>
      </extLst>
    </cfRule>
  </conditionalFormatting>
  <conditionalFormatting sqref="AL220:AM220">
    <cfRule type="dataBar" priority="22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{5E131DF4-BA84-430B-ABCD-73B245EDF90A}</x14:id>
        </ext>
      </extLst>
    </cfRule>
  </conditionalFormatting>
  <conditionalFormatting sqref="AL221:AM221">
    <cfRule type="dataBar" priority="40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{DAC667D1-EF16-4A8D-8DD5-A97F95CD097F}</x14:id>
        </ext>
      </extLst>
    </cfRule>
  </conditionalFormatting>
  <conditionalFormatting sqref="AL223:AM223">
    <cfRule type="dataBar" priority="41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{61064FB4-8DC8-4CE7-B7B9-102C7956688B}</x14:id>
        </ext>
      </extLst>
    </cfRule>
  </conditionalFormatting>
  <conditionalFormatting sqref="AL224:AM224">
    <cfRule type="dataBar" priority="42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{7EF7ED78-371D-4633-9DC6-384936524B29}</x14:id>
        </ext>
      </extLst>
    </cfRule>
  </conditionalFormatting>
  <conditionalFormatting sqref="AL225:AM225">
    <cfRule type="dataBar" priority="43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{6DAFF372-0672-4EEE-8425-F1A8D3483DF4}</x14:id>
        </ext>
      </extLst>
    </cfRule>
  </conditionalFormatting>
  <conditionalFormatting sqref="AL226:AM226">
    <cfRule type="dataBar" priority="44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{6AD2F0DD-5C00-42D5-B324-867EF714237B}</x14:id>
        </ext>
      </extLst>
    </cfRule>
  </conditionalFormatting>
  <conditionalFormatting sqref="AL227:AM227">
    <cfRule type="dataBar" priority="45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{FCA6A6D3-9B1C-4A5C-952A-F577C217DB49}</x14:id>
        </ext>
      </extLst>
    </cfRule>
  </conditionalFormatting>
  <conditionalFormatting sqref="AL228:AM228">
    <cfRule type="dataBar" priority="46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{9DA28D8C-981C-4FE9-A090-A1F2C41F29BB}</x14:id>
        </ext>
      </extLst>
    </cfRule>
  </conditionalFormatting>
  <conditionalFormatting sqref="AL229:AM229">
    <cfRule type="dataBar" priority="21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{173D598C-A0AF-4BA0-B01D-EE30CCB7830A}</x14:id>
        </ext>
      </extLst>
    </cfRule>
  </conditionalFormatting>
  <conditionalFormatting sqref="AL230:AM230">
    <cfRule type="dataBar" priority="20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{CC7667E2-41D6-441B-B96B-6129CB7EB4B3}</x14:id>
        </ext>
      </extLst>
    </cfRule>
  </conditionalFormatting>
  <conditionalFormatting sqref="AL231:AM231">
    <cfRule type="dataBar" priority="19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{AC322D9C-D5D7-4474-87E4-C4129E8D8F4D}</x14:id>
        </ext>
      </extLst>
    </cfRule>
  </conditionalFormatting>
  <conditionalFormatting sqref="AL232:AM232">
    <cfRule type="dataBar" priority="18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{14DD58D0-C1C7-4442-AE10-1584D8079300}</x14:id>
        </ext>
      </extLst>
    </cfRule>
  </conditionalFormatting>
  <conditionalFormatting sqref="AL233:AM233">
    <cfRule type="dataBar" priority="17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{AB421DEA-42DD-465D-A4BA-1266135E1439}</x14:id>
        </ext>
      </extLst>
    </cfRule>
  </conditionalFormatting>
  <conditionalFormatting sqref="AL234:AM234">
    <cfRule type="dataBar" priority="16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{D082CD66-58C6-4319-A298-1FAAD062614F}</x14:id>
        </ext>
      </extLst>
    </cfRule>
  </conditionalFormatting>
  <conditionalFormatting sqref="AL235:AM235">
    <cfRule type="dataBar" priority="47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{D54C068F-C0BF-4590-9A02-C2F61D8AD0B3}</x14:id>
        </ext>
      </extLst>
    </cfRule>
  </conditionalFormatting>
  <conditionalFormatting sqref="AL236:AM236">
    <cfRule type="dataBar" priority="48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{35FD547F-2DDD-472A-AEF7-278D25656F6C}</x14:id>
        </ext>
      </extLst>
    </cfRule>
  </conditionalFormatting>
  <conditionalFormatting sqref="AL237:AM237">
    <cfRule type="dataBar" priority="49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{EC9288FA-1AAB-4EE3-B6FB-6F9FD2DE5A54}</x14:id>
        </ext>
      </extLst>
    </cfRule>
  </conditionalFormatting>
  <conditionalFormatting sqref="AL238:AM238">
    <cfRule type="dataBar" priority="50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{3A68C720-3368-4FCE-9117-9542D45BD8C4}</x14:id>
        </ext>
      </extLst>
    </cfRule>
  </conditionalFormatting>
  <conditionalFormatting sqref="AL239:AM239">
    <cfRule type="dataBar" priority="51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{6719AAC0-3CA2-4357-872A-9838E66DF24A}</x14:id>
        </ext>
      </extLst>
    </cfRule>
  </conditionalFormatting>
  <conditionalFormatting sqref="AL240:AM240">
    <cfRule type="dataBar" priority="52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{4497E0A7-E548-43BE-9347-92FC19E2B2C0}</x14:id>
        </ext>
      </extLst>
    </cfRule>
  </conditionalFormatting>
  <conditionalFormatting sqref="AL241:AM241">
    <cfRule type="dataBar" priority="53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{42857D21-20B4-490E-98C7-1C9A852F45CA}</x14:id>
        </ext>
      </extLst>
    </cfRule>
  </conditionalFormatting>
  <conditionalFormatting sqref="AL242:AM242">
    <cfRule type="dataBar" priority="54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{FE398EA2-A228-47AF-8CFB-F1CD99A2B1A0}</x14:id>
        </ext>
      </extLst>
    </cfRule>
  </conditionalFormatting>
  <conditionalFormatting sqref="AL243:AM243">
    <cfRule type="dataBar" priority="55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{7B95B10A-65AB-40B6-9971-4BEA64F41322}</x14:id>
        </ext>
      </extLst>
    </cfRule>
  </conditionalFormatting>
  <conditionalFormatting sqref="AL244:AM244">
    <cfRule type="dataBar" priority="56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{EDD87DD6-6CD6-45CC-8A6F-8933CC072980}</x14:id>
        </ext>
      </extLst>
    </cfRule>
  </conditionalFormatting>
  <conditionalFormatting sqref="AL245:AM245">
    <cfRule type="dataBar" priority="57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{27DBC199-0AAE-47FB-BD9A-22BDFEDF5084}</x14:id>
        </ext>
      </extLst>
    </cfRule>
  </conditionalFormatting>
  <conditionalFormatting sqref="AL246:AM246">
    <cfRule type="dataBar" priority="58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{90D17B47-CA9A-46F8-B07B-0E69ABD06C00}</x14:id>
        </ext>
      </extLst>
    </cfRule>
  </conditionalFormatting>
  <conditionalFormatting sqref="AL247:AM247">
    <cfRule type="dataBar" priority="59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{A5D6AE95-B718-40C6-BDC1-5B69E36AA32F}</x14:id>
        </ext>
      </extLst>
    </cfRule>
  </conditionalFormatting>
  <conditionalFormatting sqref="AL248:AM248">
    <cfRule type="dataBar" priority="15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{D9677DA0-4BF4-4FEE-9727-60893FB8BC57}</x14:id>
        </ext>
      </extLst>
    </cfRule>
  </conditionalFormatting>
  <conditionalFormatting sqref="AL249:AM249">
    <cfRule type="dataBar" priority="60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{C63248A2-0195-496A-B36C-0D48DD797AAD}</x14:id>
        </ext>
      </extLst>
    </cfRule>
  </conditionalFormatting>
  <conditionalFormatting sqref="AL250:AM250">
    <cfRule type="dataBar" priority="61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{E2D97117-9A97-4C56-9C55-3228F121D6BF}</x14:id>
        </ext>
      </extLst>
    </cfRule>
  </conditionalFormatting>
  <conditionalFormatting sqref="AL251:AM251">
    <cfRule type="dataBar" priority="62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{E49651FC-EB82-477F-8C0C-DCD79B9E5510}</x14:id>
        </ext>
      </extLst>
    </cfRule>
  </conditionalFormatting>
  <conditionalFormatting sqref="AL252:AM252">
    <cfRule type="dataBar" priority="63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{B012827B-ABA4-47C6-8F16-D2A16D588F25}</x14:id>
        </ext>
      </extLst>
    </cfRule>
  </conditionalFormatting>
  <conditionalFormatting sqref="AL253:AM253">
    <cfRule type="dataBar" priority="64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{5D4A5FE4-5769-4536-BDC9-48E947407D09}</x14:id>
        </ext>
      </extLst>
    </cfRule>
  </conditionalFormatting>
  <conditionalFormatting sqref="AL254:AM254">
    <cfRule type="dataBar" priority="65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{C12C84EB-44FA-4DD7-A2DC-ED1A2B5BD8A3}</x14:id>
        </ext>
      </extLst>
    </cfRule>
  </conditionalFormatting>
  <conditionalFormatting sqref="AL255:AM255">
    <cfRule type="dataBar" priority="66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{8E195B6C-45D1-4E24-BCAF-A1A992AF4D08}</x14:id>
        </ext>
      </extLst>
    </cfRule>
  </conditionalFormatting>
  <conditionalFormatting sqref="AL256:AM256">
    <cfRule type="dataBar" priority="67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{EF8BFFEE-4E19-4488-B9D6-920CAC636811}</x14:id>
        </ext>
      </extLst>
    </cfRule>
  </conditionalFormatting>
  <conditionalFormatting sqref="AL257:AM257">
    <cfRule type="dataBar" priority="68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{A2830B83-FC87-4F42-B3ED-ED186365666A}</x14:id>
        </ext>
      </extLst>
    </cfRule>
  </conditionalFormatting>
  <conditionalFormatting sqref="AL258:AM258">
    <cfRule type="dataBar" priority="14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{88DFE924-6037-44A9-AD4F-A1B41B364D7D}</x14:id>
        </ext>
      </extLst>
    </cfRule>
  </conditionalFormatting>
  <conditionalFormatting sqref="AL259:AM259">
    <cfRule type="dataBar" priority="13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{D0AA7CD1-0C0F-4D16-AF87-C2BCE0710F77}</x14:id>
        </ext>
      </extLst>
    </cfRule>
  </conditionalFormatting>
  <conditionalFormatting sqref="AL260:AM260">
    <cfRule type="dataBar" priority="69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{AFAA5A5C-CDB0-4D57-99C4-85FAB874DC42}</x14:id>
        </ext>
      </extLst>
    </cfRule>
  </conditionalFormatting>
  <conditionalFormatting sqref="AL261:AM261">
    <cfRule type="dataBar" priority="70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{F75F0CBC-263F-43DE-9E10-E301CCA19726}</x14:id>
        </ext>
      </extLst>
    </cfRule>
  </conditionalFormatting>
  <conditionalFormatting sqref="AL262:AM262">
    <cfRule type="dataBar" priority="71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{9D080424-59D7-426C-94AB-3F553C560405}</x14:id>
        </ext>
      </extLst>
    </cfRule>
  </conditionalFormatting>
  <conditionalFormatting sqref="AL263:AM263">
    <cfRule type="dataBar" priority="72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{597F904B-BF54-4AA3-8E5B-FFB297C207F8}</x14:id>
        </ext>
      </extLst>
    </cfRule>
  </conditionalFormatting>
  <conditionalFormatting sqref="AL264:AM264">
    <cfRule type="dataBar" priority="73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{8014D6BE-2BC0-4E19-920E-022581C5A3E6}</x14:id>
        </ext>
      </extLst>
    </cfRule>
  </conditionalFormatting>
  <conditionalFormatting sqref="Z32 G32:J32 AD32">
    <cfRule type="expression" dxfId="4" priority="2">
      <formula>$A32</formula>
    </cfRule>
    <cfRule type="expression" dxfId="3" priority="4">
      <formula>$E32</formula>
    </cfRule>
  </conditionalFormatting>
  <conditionalFormatting sqref="G32:AF32">
    <cfRule type="expression" dxfId="2" priority="3">
      <formula>$C32</formula>
    </cfRule>
  </conditionalFormatting>
  <conditionalFormatting sqref="W32">
    <cfRule type="expression" dxfId="1" priority="1">
      <formula>$AG32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22DDD5F-CD52-4649-A94A-3F6EB583D0EC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1AC5541E-ED84-451F-BCC3-908A553F8EC9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33E9C207-0CA7-480F-BDFF-7534F52807D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1E4EEC29-9505-4F1F-B215-1E2DD67436C3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5355F527-91F3-4AC0-A3F4-5762182F042B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E9AE591C-4AE0-4231-82E9-DF2DEDF75E4A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A98ED23D-E4B8-4CD5-BC13-FBA5CB449623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8C65FED9-E0F8-408C-9518-2700E0D59C5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952EAAC1-365A-4A6A-9232-9BAC20FE55F6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D4C834E-2446-4688-91A8-3911FF7FEEBA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735266DE-751A-4167-9ACD-2C963D07F6A5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309881A1-EA20-4182-9E4D-BB89FE9127E6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7D0E5173-B3A3-47CF-87E2-61048196F77A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234A2F65-6B58-42BB-973C-5116AE08605E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90794B4D-08FF-491F-BCEB-E4C2052391DB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0EF44931-F12E-4B58-823B-C32B530D1617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56DF799B-418A-4AC3-8B1A-0ECC2A58FF4C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5E131DF4-BA84-430B-ABCD-73B245EDF90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DAC667D1-EF16-4A8D-8DD5-A97F95CD097F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61064FB4-8DC8-4CE7-B7B9-102C7956688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7EF7ED78-371D-4633-9DC6-384936524B29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DAFF372-0672-4EEE-8425-F1A8D3483DF4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6AD2F0DD-5C00-42D5-B324-867EF714237B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FCA6A6D3-9B1C-4A5C-952A-F577C217DB49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9DA28D8C-981C-4FE9-A090-A1F2C41F29BB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173D598C-A0AF-4BA0-B01D-EE30CCB7830A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CC7667E2-41D6-441B-B96B-6129CB7EB4B3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AC322D9C-D5D7-4474-87E4-C4129E8D8F4D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4DD58D0-C1C7-4442-AE10-1584D8079300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AB421DEA-42DD-465D-A4BA-1266135E143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D082CD66-58C6-4319-A298-1FAAD062614F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D54C068F-C0BF-4590-9A02-C2F61D8AD0B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35FD547F-2DDD-472A-AEF7-278D25656F6C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EC9288FA-1AAB-4EE3-B6FB-6F9FD2DE5A54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3A68C720-3368-4FCE-9117-9542D45BD8C4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6719AAC0-3CA2-4357-872A-9838E66DF24A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4497E0A7-E548-43BE-9347-92FC19E2B2C0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42857D21-20B4-490E-98C7-1C9A852F45CA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FE398EA2-A228-47AF-8CFB-F1CD99A2B1A0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7B95B10A-65AB-40B6-9971-4BEA64F41322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EDD87DD6-6CD6-45CC-8A6F-8933CC072980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27DBC199-0AAE-47FB-BD9A-22BDFEDF5084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90D17B47-CA9A-46F8-B07B-0E69ABD06C00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A5D6AE95-B718-40C6-BDC1-5B69E36AA32F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D9677DA0-4BF4-4FEE-9727-60893FB8BC5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63248A2-0195-496A-B36C-0D48DD797AAD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2D97117-9A97-4C56-9C55-3228F121D6BF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E49651FC-EB82-477F-8C0C-DCD79B9E551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B012827B-ABA4-47C6-8F16-D2A16D588F25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5D4A5FE4-5769-4536-BDC9-48E947407D09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C12C84EB-44FA-4DD7-A2DC-ED1A2B5BD8A3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8E195B6C-45D1-4E24-BCAF-A1A992AF4D08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EF8BFFEE-4E19-4488-B9D6-920CAC63681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A2830B83-FC87-4F42-B3ED-ED186365666A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88DFE924-6037-44A9-AD4F-A1B41B364D7D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D0AA7CD1-0C0F-4D16-AF87-C2BCE0710F77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FAA5A5C-CDB0-4D57-99C4-85FAB874DC42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75F0CBC-263F-43DE-9E10-E301CCA19726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9D080424-59D7-426C-94AB-3F553C560405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597F904B-BF54-4AA3-8E5B-FFB297C207F8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8014D6BE-2BC0-4E19-920E-022581C5A3E6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78E0EB-8286-4D8F-85BA-6F8C02C8EE07}">
  <dimension ref="A1:AR267"/>
  <sheetViews>
    <sheetView rightToLeft="1" tabSelected="1" topLeftCell="AA19" zoomScale="70" zoomScaleNormal="70" workbookViewId="0">
      <selection activeCell="AB33" sqref="AB33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7.5546875" style="28" bestFit="1" customWidth="1"/>
    <col min="9" max="9" width="19.77734375" style="24" customWidth="1"/>
    <col min="10" max="10" width="16.33203125" style="24" customWidth="1"/>
    <col min="11" max="11" width="14.109375" style="24" hidden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20.109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99.44140625" style="24" bestFit="1" customWidth="1"/>
    <col min="29" max="29" width="15.7773437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134.2187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1" t="s">
        <v>0</v>
      </c>
      <c r="B1" s="152"/>
      <c r="C1" s="151" t="s">
        <v>1</v>
      </c>
      <c r="D1" s="152"/>
      <c r="E1" s="151" t="s">
        <v>2</v>
      </c>
      <c r="F1" s="152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3" t="s">
        <v>17</v>
      </c>
      <c r="V1" s="154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55">
        <v>1</v>
      </c>
      <c r="H2" s="157" t="s">
        <v>135</v>
      </c>
      <c r="I2" s="155" t="s">
        <v>826</v>
      </c>
      <c r="J2" s="132" t="s">
        <v>76</v>
      </c>
      <c r="K2" s="11" t="str">
        <f t="shared" ref="K2:K65" ca="1" si="0">IF(C2, TODAY(), "" )</f>
        <v/>
      </c>
      <c r="L2" s="142" t="s">
        <v>340</v>
      </c>
      <c r="M2" s="142" t="s">
        <v>341</v>
      </c>
      <c r="N2" s="142"/>
      <c r="O2" s="9">
        <v>3325.2</v>
      </c>
      <c r="P2" s="9">
        <v>1</v>
      </c>
      <c r="Q2" s="13" t="str">
        <f>VLOOKUP(O2, '[1]لیست محصولات اردیبهشت ۱۴۰۳'!B:C,2,0)</f>
        <v>راتناگری | Ratnagiri</v>
      </c>
      <c r="R2" s="9"/>
      <c r="S2" s="12">
        <f>VLOOKUP(O2, '[1]لیست محصولات اردیبهشت ۱۴۰۳'!B:F,5,0)</f>
        <v>750</v>
      </c>
      <c r="T2" s="14">
        <f>VLOOKUP(O2, '[1]لیست محصولات اردیبهشت ۱۴۰۳'!B:G,6,0)</f>
        <v>20700000</v>
      </c>
      <c r="U2" s="15"/>
      <c r="V2" s="16">
        <f t="shared" ref="V2:V65" si="1">IF(C2, P2, U2 )</f>
        <v>0</v>
      </c>
      <c r="W2" s="12">
        <f t="shared" ref="W2:W65" si="2">P2-V2</f>
        <v>1</v>
      </c>
      <c r="X2" s="14">
        <f t="shared" ref="X2:X65" si="3">P2*T2</f>
        <v>20700000</v>
      </c>
      <c r="Y2" s="17"/>
      <c r="Z2" s="14">
        <f t="shared" ref="Z2:Z65" si="4">X2-Y2</f>
        <v>20700000</v>
      </c>
      <c r="AA2" s="140" t="s">
        <v>886</v>
      </c>
      <c r="AB2" s="138" t="s">
        <v>887</v>
      </c>
      <c r="AC2" s="136" t="s">
        <v>344</v>
      </c>
      <c r="AD2" s="134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شهریار اندیشه - فاز ۳ - بلوار آزادی - مجتمع تجاری اداری نگارستان - بلوک B - طبقه همکف - پلاک ۴۷ - فروشگاه نو - خاتمی 09123642655  - نیما نظری 09393741144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64"/>
      <c r="H3" s="165"/>
      <c r="I3" s="164"/>
      <c r="J3" s="144"/>
      <c r="K3" s="11" t="str">
        <f t="shared" ca="1" si="0"/>
        <v/>
      </c>
      <c r="L3" s="145"/>
      <c r="M3" s="145"/>
      <c r="N3" s="145"/>
      <c r="O3" s="9">
        <v>3326.1</v>
      </c>
      <c r="P3" s="9">
        <v>1</v>
      </c>
      <c r="Q3" s="13" t="str">
        <f>VLOOKUP(O3, '[1]لیست محصولات اردیبهشت ۱۴۰۳'!B:C,2,0)</f>
        <v>میاگروس | Milagros</v>
      </c>
      <c r="R3" s="9"/>
      <c r="S3" s="12">
        <f>VLOOKUP(O3, '[1]لیست محصولات اردیبهشت ۱۴۰۳'!B:F,5,0)</f>
        <v>150</v>
      </c>
      <c r="T3" s="14">
        <f>VLOOKUP(O3, '[1]لیست محصولات اردیبهشت ۱۴۰۳'!B:G,6,0)</f>
        <v>3750000</v>
      </c>
      <c r="U3" s="15"/>
      <c r="V3" s="16">
        <f t="shared" si="1"/>
        <v>0</v>
      </c>
      <c r="W3" s="12">
        <f t="shared" si="2"/>
        <v>1</v>
      </c>
      <c r="X3" s="14">
        <f t="shared" si="3"/>
        <v>3750000</v>
      </c>
      <c r="Y3" s="17"/>
      <c r="Z3" s="14">
        <f t="shared" si="4"/>
        <v>3750000</v>
      </c>
      <c r="AA3" s="149"/>
      <c r="AB3" s="148"/>
      <c r="AC3" s="147"/>
      <c r="AD3" s="146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56"/>
      <c r="H4" s="158"/>
      <c r="I4" s="156"/>
      <c r="J4" s="133"/>
      <c r="K4" s="11" t="str">
        <f t="shared" ca="1" si="0"/>
        <v/>
      </c>
      <c r="L4" s="143"/>
      <c r="M4" s="143"/>
      <c r="N4" s="143"/>
      <c r="O4" s="9">
        <v>5511.1</v>
      </c>
      <c r="P4" s="9">
        <v>1</v>
      </c>
      <c r="Q4" s="13" t="str">
        <f>VLOOKUP(O4, '[1]لیست محصولات اردیبهشت ۱۴۰۳'!B:C,2,0)</f>
        <v>هامبلا | Hambella</v>
      </c>
      <c r="R4" s="9"/>
      <c r="S4" s="12">
        <f>VLOOKUP(O4, '[1]لیست محصولات اردیبهشت ۱۴۰۳'!B:F,5,0)</f>
        <v>150</v>
      </c>
      <c r="T4" s="14">
        <f>VLOOKUP(O4, '[1]لیست محصولات اردیبهشت ۱۴۰۳'!B:G,6,0)</f>
        <v>2800000</v>
      </c>
      <c r="U4" s="15"/>
      <c r="V4" s="16">
        <f t="shared" si="1"/>
        <v>0</v>
      </c>
      <c r="W4" s="12">
        <f t="shared" si="2"/>
        <v>1</v>
      </c>
      <c r="X4" s="14">
        <f t="shared" si="3"/>
        <v>2800000</v>
      </c>
      <c r="Y4" s="17"/>
      <c r="Z4" s="14">
        <f t="shared" si="4"/>
        <v>2800000</v>
      </c>
      <c r="AA4" s="141"/>
      <c r="AB4" s="139"/>
      <c r="AC4" s="137"/>
      <c r="AD4" s="135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>
        <v>2</v>
      </c>
      <c r="H5" s="10">
        <v>277644802821</v>
      </c>
      <c r="I5" s="25" t="s">
        <v>826</v>
      </c>
      <c r="J5" s="9"/>
      <c r="K5" s="11" t="str">
        <f t="shared" ca="1" si="0"/>
        <v/>
      </c>
      <c r="L5" s="12" t="s">
        <v>418</v>
      </c>
      <c r="M5" s="12" t="s">
        <v>888</v>
      </c>
      <c r="N5" s="12"/>
      <c r="O5" s="9">
        <v>5501.2</v>
      </c>
      <c r="P5" s="9">
        <v>1</v>
      </c>
      <c r="Q5" s="13" t="str">
        <f>VLOOKUP(O5, '[1]لیست محصولات اردیبهشت ۱۴۰۳'!B:C,2,0)</f>
        <v>ورتکس | Vortex</v>
      </c>
      <c r="R5" s="9"/>
      <c r="S5" s="12">
        <f>VLOOKUP(O5, '[1]لیست محصولات اردیبهشت ۱۴۰۳'!B:F,5,0)</f>
        <v>750</v>
      </c>
      <c r="T5" s="14">
        <f>VLOOKUP(O5, '[1]لیست محصولات اردیبهشت ۱۴۰۳'!B:G,6,0)</f>
        <v>9900000</v>
      </c>
      <c r="U5" s="15"/>
      <c r="V5" s="16">
        <f t="shared" si="1"/>
        <v>0</v>
      </c>
      <c r="W5" s="12">
        <f t="shared" si="2"/>
        <v>1</v>
      </c>
      <c r="X5" s="14">
        <f t="shared" si="3"/>
        <v>9900000</v>
      </c>
      <c r="Y5" s="17"/>
      <c r="Z5" s="14">
        <f t="shared" si="4"/>
        <v>9900000</v>
      </c>
      <c r="AA5" s="18" t="s">
        <v>212</v>
      </c>
      <c r="AB5" s="233" t="s">
        <v>889</v>
      </c>
      <c r="AC5" s="19" t="s">
        <v>890</v>
      </c>
      <c r="AD5" s="20"/>
      <c r="AE5" s="19"/>
      <c r="AF5" s="21"/>
      <c r="AG5" s="22" t="str">
        <f t="shared" si="5"/>
        <v>TRUE</v>
      </c>
      <c r="AH5" s="23" t="str">
        <f t="shared" si="6"/>
        <v>قم 20 متری زاد . کوچه 16 . چهار راه اول سمت راست . کوچه شاهمرادی . پلاک 37  - رضا مخلص آبادی فراهانی 09361210271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>
        <v>3</v>
      </c>
      <c r="H6" s="10">
        <v>277650031601</v>
      </c>
      <c r="I6" s="25" t="s">
        <v>826</v>
      </c>
      <c r="J6" s="9"/>
      <c r="K6" s="11" t="str">
        <f t="shared" ca="1" si="0"/>
        <v/>
      </c>
      <c r="L6" s="12" t="s">
        <v>891</v>
      </c>
      <c r="M6" s="12" t="s">
        <v>892</v>
      </c>
      <c r="N6" s="12" t="s">
        <v>893</v>
      </c>
      <c r="O6" s="9">
        <v>5501.3</v>
      </c>
      <c r="P6" s="9">
        <v>1</v>
      </c>
      <c r="Q6" s="13" t="str">
        <f>VLOOKUP(O6, '[1]لیست محصولات اردیبهشت ۱۴۰۳'!B:C,2,0)</f>
        <v>ورتکس | Vortex</v>
      </c>
      <c r="R6" s="9"/>
      <c r="S6" s="12">
        <f>VLOOKUP(O6, '[1]لیست محصولات اردیبهشت ۱۴۰۳'!B:F,5,0)</f>
        <v>4000</v>
      </c>
      <c r="T6" s="14">
        <f>VLOOKUP(O6, '[1]لیست محصولات اردیبهشت ۱۴۰۳'!B:G,6,0)</f>
        <v>51200000</v>
      </c>
      <c r="U6" s="15"/>
      <c r="V6" s="16">
        <f t="shared" si="1"/>
        <v>0</v>
      </c>
      <c r="W6" s="12">
        <f t="shared" si="2"/>
        <v>1</v>
      </c>
      <c r="X6" s="14">
        <f t="shared" si="3"/>
        <v>51200000</v>
      </c>
      <c r="Y6" s="17"/>
      <c r="Z6" s="14">
        <f t="shared" si="4"/>
        <v>51200000</v>
      </c>
      <c r="AA6" s="18" t="s">
        <v>797</v>
      </c>
      <c r="AB6" s="13" t="s">
        <v>894</v>
      </c>
      <c r="AC6" s="19" t="s">
        <v>895</v>
      </c>
      <c r="AD6" s="20"/>
      <c r="AE6" s="19"/>
      <c r="AF6" s="21"/>
      <c r="AG6" s="22" t="str">
        <f t="shared" si="5"/>
        <v>TRUE</v>
      </c>
      <c r="AH6" s="23" t="str">
        <f t="shared" si="6"/>
        <v>گرگان نبش عدالت 99 کافه آیت - آیت کرامتی 09126198286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132">
        <v>4</v>
      </c>
      <c r="H7" s="130">
        <v>55245623601</v>
      </c>
      <c r="I7" s="132" t="s">
        <v>826</v>
      </c>
      <c r="J7" s="132"/>
      <c r="K7" s="11" t="str">
        <f t="shared" ca="1" si="0"/>
        <v/>
      </c>
      <c r="L7" s="142" t="s">
        <v>896</v>
      </c>
      <c r="M7" s="142" t="s">
        <v>897</v>
      </c>
      <c r="N7" s="142"/>
      <c r="O7" s="9">
        <v>3326.1</v>
      </c>
      <c r="P7" s="9">
        <v>1</v>
      </c>
      <c r="Q7" s="13" t="str">
        <f>VLOOKUP(O7, '[1]لیست محصولات اردیبهشت ۱۴۰۳'!B:C,2,0)</f>
        <v>میاگروس | Milagros</v>
      </c>
      <c r="R7" s="9" t="s">
        <v>326</v>
      </c>
      <c r="S7" s="12">
        <f>VLOOKUP(O7, '[1]لیست محصولات اردیبهشت ۱۴۰۳'!B:F,5,0)</f>
        <v>150</v>
      </c>
      <c r="T7" s="14">
        <f>VLOOKUP(O7, '[1]لیست محصولات اردیبهشت ۱۴۰۳'!B:G,6,0)</f>
        <v>3750000</v>
      </c>
      <c r="U7" s="26"/>
      <c r="V7" s="16">
        <f t="shared" si="1"/>
        <v>0</v>
      </c>
      <c r="W7" s="12">
        <f t="shared" si="2"/>
        <v>1</v>
      </c>
      <c r="X7" s="14">
        <f t="shared" si="3"/>
        <v>3750000</v>
      </c>
      <c r="Y7" s="17"/>
      <c r="Z7" s="14">
        <f t="shared" si="4"/>
        <v>3750000</v>
      </c>
      <c r="AA7" s="140" t="s">
        <v>79</v>
      </c>
      <c r="AB7" s="138" t="s">
        <v>898</v>
      </c>
      <c r="AC7" s="136" t="s">
        <v>899</v>
      </c>
      <c r="AD7" s="134" t="s">
        <v>99</v>
      </c>
      <c r="AE7" s="19"/>
      <c r="AF7" s="21"/>
      <c r="AG7" s="22" t="str">
        <f t="shared" si="5"/>
        <v>TRUE</v>
      </c>
      <c r="AH7" s="23" t="str">
        <f t="shared" si="6"/>
        <v>تهران فرمانیه- دیباجی شمالی- خیابان یاسمن-خیابان کاشانک_خیابان نسرین_پلاک۳۶-واحد۳  - معصومه ماشین چیان 09123868938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133"/>
      <c r="H8" s="131"/>
      <c r="I8" s="133"/>
      <c r="J8" s="133"/>
      <c r="K8" s="11" t="str">
        <f t="shared" ca="1" si="0"/>
        <v/>
      </c>
      <c r="L8" s="143"/>
      <c r="M8" s="143"/>
      <c r="N8" s="143"/>
      <c r="O8" s="9">
        <v>5511.1</v>
      </c>
      <c r="P8" s="9">
        <v>1</v>
      </c>
      <c r="Q8" s="13" t="str">
        <f>VLOOKUP(O8, '[1]لیست محصولات اردیبهشت ۱۴۰۳'!B:C,2,0)</f>
        <v>هامبلا | Hambella</v>
      </c>
      <c r="R8" s="9" t="s">
        <v>326</v>
      </c>
      <c r="S8" s="12">
        <f>VLOOKUP(O8, '[1]لیست محصولات اردیبهشت ۱۴۰۳'!B:F,5,0)</f>
        <v>150</v>
      </c>
      <c r="T8" s="14">
        <f>VLOOKUP(O8, '[1]لیست محصولات اردیبهشت ۱۴۰۳'!B:G,6,0)</f>
        <v>2800000</v>
      </c>
      <c r="U8" s="15"/>
      <c r="V8" s="16">
        <f t="shared" si="1"/>
        <v>0</v>
      </c>
      <c r="W8" s="12">
        <f t="shared" si="2"/>
        <v>1</v>
      </c>
      <c r="X8" s="14">
        <f t="shared" si="3"/>
        <v>2800000</v>
      </c>
      <c r="Y8" s="17"/>
      <c r="Z8" s="14">
        <f t="shared" si="4"/>
        <v>2800000</v>
      </c>
      <c r="AA8" s="141"/>
      <c r="AB8" s="139"/>
      <c r="AC8" s="137"/>
      <c r="AD8" s="135"/>
      <c r="AE8" s="19"/>
      <c r="AF8" s="21"/>
      <c r="AG8" s="22" t="str">
        <f t="shared" si="5"/>
        <v>TRUE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132">
        <v>5</v>
      </c>
      <c r="H9" s="130">
        <v>277664060078</v>
      </c>
      <c r="I9" s="132" t="s">
        <v>826</v>
      </c>
      <c r="J9" s="132"/>
      <c r="K9" s="11" t="str">
        <f t="shared" ca="1" si="0"/>
        <v/>
      </c>
      <c r="L9" s="142" t="s">
        <v>900</v>
      </c>
      <c r="M9" s="142" t="s">
        <v>901</v>
      </c>
      <c r="N9" s="142" t="s">
        <v>902</v>
      </c>
      <c r="O9" s="9">
        <v>3326.2</v>
      </c>
      <c r="P9" s="9">
        <v>1</v>
      </c>
      <c r="Q9" s="13" t="str">
        <f>VLOOKUP(O9, '[1]لیست محصولات اردیبهشت ۱۴۰۳'!B:C,2,0)</f>
        <v>میاگروس | Milagros</v>
      </c>
      <c r="R9" s="9"/>
      <c r="S9" s="12">
        <f>VLOOKUP(O9, '[1]لیست محصولات اردیبهشت ۱۴۰۳'!B:F,5,0)</f>
        <v>750</v>
      </c>
      <c r="T9" s="14">
        <f>VLOOKUP(O9, '[1]لیست محصولات اردیبهشت ۱۴۰۳'!B:G,6,0)</f>
        <v>18150000</v>
      </c>
      <c r="U9" s="15"/>
      <c r="V9" s="16">
        <f t="shared" si="1"/>
        <v>0</v>
      </c>
      <c r="W9" s="12">
        <f t="shared" si="2"/>
        <v>1</v>
      </c>
      <c r="X9" s="14">
        <f t="shared" si="3"/>
        <v>18150000</v>
      </c>
      <c r="Y9" s="17"/>
      <c r="Z9" s="14">
        <f t="shared" si="4"/>
        <v>18150000</v>
      </c>
      <c r="AA9" s="140" t="s">
        <v>206</v>
      </c>
      <c r="AB9" s="138" t="s">
        <v>903</v>
      </c>
      <c r="AC9" s="136" t="s">
        <v>904</v>
      </c>
      <c r="AD9" s="134"/>
      <c r="AE9" s="19"/>
      <c r="AF9" s="21"/>
      <c r="AG9" s="22" t="str">
        <f t="shared" si="5"/>
        <v>TRUE</v>
      </c>
      <c r="AH9" s="23" t="str">
        <f t="shared" si="6"/>
        <v>ساری خیابان انقلاب - انقلاب هفتم کافه دم - پدرام داودی 09378872147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133"/>
      <c r="H10" s="131"/>
      <c r="I10" s="133"/>
      <c r="J10" s="133"/>
      <c r="K10" s="11" t="str">
        <f t="shared" ca="1" si="0"/>
        <v/>
      </c>
      <c r="L10" s="143"/>
      <c r="M10" s="143"/>
      <c r="N10" s="143"/>
      <c r="O10" s="9">
        <v>5522.2</v>
      </c>
      <c r="P10" s="9">
        <v>1</v>
      </c>
      <c r="Q10" s="13" t="str">
        <f>VLOOKUP(O10, '[1]لیست محصولات اردیبهشت ۱۴۰۳'!B:C,2,0)</f>
        <v>تامارا | Tamara</v>
      </c>
      <c r="R10" s="9"/>
      <c r="S10" s="12">
        <f>VLOOKUP(O10, '[1]لیست محصولات اردیبهشت ۱۴۰۳'!B:F,5,0)</f>
        <v>750</v>
      </c>
      <c r="T10" s="14">
        <f>VLOOKUP(O10, '[1]لیست محصولات اردیبهشت ۱۴۰۳'!B:G,6,0)</f>
        <v>12450000</v>
      </c>
      <c r="U10" s="15"/>
      <c r="V10" s="16">
        <f t="shared" si="1"/>
        <v>0</v>
      </c>
      <c r="W10" s="12">
        <f t="shared" si="2"/>
        <v>1</v>
      </c>
      <c r="X10" s="14">
        <f t="shared" si="3"/>
        <v>12450000</v>
      </c>
      <c r="Y10" s="17"/>
      <c r="Z10" s="14">
        <f t="shared" si="4"/>
        <v>12450000</v>
      </c>
      <c r="AA10" s="141"/>
      <c r="AB10" s="139"/>
      <c r="AC10" s="137"/>
      <c r="AD10" s="135"/>
      <c r="AE10" s="19"/>
      <c r="AF10" s="21"/>
      <c r="AG10" s="22" t="str">
        <f t="shared" si="5"/>
        <v>TRUE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>
        <v>6</v>
      </c>
      <c r="H11" s="10">
        <v>277668123486</v>
      </c>
      <c r="I11" s="9" t="s">
        <v>826</v>
      </c>
      <c r="J11" s="9"/>
      <c r="K11" s="11" t="str">
        <f t="shared" ca="1" si="0"/>
        <v/>
      </c>
      <c r="L11" s="12" t="s">
        <v>106</v>
      </c>
      <c r="M11" s="12" t="s">
        <v>107</v>
      </c>
      <c r="N11" s="12" t="s">
        <v>108</v>
      </c>
      <c r="O11" s="9">
        <v>5501.3</v>
      </c>
      <c r="P11" s="9">
        <v>1</v>
      </c>
      <c r="Q11" s="13" t="str">
        <f>VLOOKUP(O11, '[1]لیست محصولات اردیبهشت ۱۴۰۳'!B:C,2,0)</f>
        <v>ورتکس | Vortex</v>
      </c>
      <c r="R11" s="9"/>
      <c r="S11" s="12">
        <f>VLOOKUP(O11, '[1]لیست محصولات اردیبهشت ۱۴۰۳'!B:F,5,0)</f>
        <v>4000</v>
      </c>
      <c r="T11" s="14">
        <f>VLOOKUP(O11, '[1]لیست محصولات اردیبهشت ۱۴۰۳'!B:G,6,0)</f>
        <v>51200000</v>
      </c>
      <c r="U11" s="15"/>
      <c r="V11" s="16">
        <f t="shared" si="1"/>
        <v>0</v>
      </c>
      <c r="W11" s="12">
        <f t="shared" si="2"/>
        <v>1</v>
      </c>
      <c r="X11" s="14">
        <f t="shared" si="3"/>
        <v>51200000</v>
      </c>
      <c r="Y11" s="17"/>
      <c r="Z11" s="14">
        <f t="shared" si="4"/>
        <v>51200000</v>
      </c>
      <c r="AA11" s="18" t="s">
        <v>109</v>
      </c>
      <c r="AB11" s="13" t="s">
        <v>110</v>
      </c>
      <c r="AC11" s="19" t="s">
        <v>111</v>
      </c>
      <c r="AD11" s="20"/>
      <c r="AE11" s="19"/>
      <c r="AF11" s="21"/>
      <c r="AG11" s="22" t="str">
        <f t="shared" si="5"/>
        <v>TRUE</v>
      </c>
      <c r="AH11" s="23" t="str">
        <f t="shared" si="6"/>
        <v>اصفهان خیابان شمس آبادی، کوچه کازرونی، نبش سه راهی، پاساژ امید،طبقه اول کافه دولت - نگار نقیه 09334075144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>
        <v>7</v>
      </c>
      <c r="H12" s="10">
        <v>55251056101</v>
      </c>
      <c r="I12" s="9" t="s">
        <v>826</v>
      </c>
      <c r="J12" s="9"/>
      <c r="K12" s="11" t="str">
        <f t="shared" ca="1" si="0"/>
        <v/>
      </c>
      <c r="L12" s="12" t="s">
        <v>433</v>
      </c>
      <c r="M12" s="12" t="s">
        <v>905</v>
      </c>
      <c r="N12" s="12" t="s">
        <v>906</v>
      </c>
      <c r="O12" s="9">
        <v>3326.1</v>
      </c>
      <c r="P12" s="9">
        <v>2</v>
      </c>
      <c r="Q12" s="13" t="str">
        <f>VLOOKUP(O12, '[1]لیست محصولات اردیبهشت ۱۴۰۳'!B:C,2,0)</f>
        <v>میاگروس | Milagros</v>
      </c>
      <c r="R12" s="9"/>
      <c r="S12" s="12">
        <f>VLOOKUP(O12, '[1]لیست محصولات اردیبهشت ۱۴۰۳'!B:F,5,0)</f>
        <v>150</v>
      </c>
      <c r="T12" s="14">
        <f>VLOOKUP(O12, '[1]لیست محصولات اردیبهشت ۱۴۰۳'!B:G,6,0)</f>
        <v>3750000</v>
      </c>
      <c r="U12" s="15"/>
      <c r="V12" s="16">
        <f t="shared" si="1"/>
        <v>0</v>
      </c>
      <c r="W12" s="12">
        <f t="shared" si="2"/>
        <v>2</v>
      </c>
      <c r="X12" s="14">
        <f t="shared" si="3"/>
        <v>7500000</v>
      </c>
      <c r="Y12" s="17"/>
      <c r="Z12" s="14">
        <f t="shared" si="4"/>
        <v>7500000</v>
      </c>
      <c r="AA12" s="18" t="s">
        <v>907</v>
      </c>
      <c r="AB12" s="13" t="s">
        <v>908</v>
      </c>
      <c r="AC12" s="19" t="s">
        <v>909</v>
      </c>
      <c r="AD12" s="20"/>
      <c r="AE12" s="19"/>
      <c r="AF12" s="21"/>
      <c r="AG12" s="22" t="str">
        <f t="shared" si="5"/>
        <v>TRUE</v>
      </c>
      <c r="AH12" s="23" t="str">
        <f t="shared" si="6"/>
        <v>بابل خیابان شهید بهشتی رو به روی استخر ضرابپوری کافه مات - مهدی پذیرش 09359352464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>
        <v>8</v>
      </c>
      <c r="H13" s="10">
        <v>277685899709</v>
      </c>
      <c r="I13" s="9" t="s">
        <v>910</v>
      </c>
      <c r="J13" s="9"/>
      <c r="K13" s="11" t="str">
        <f t="shared" ca="1" si="0"/>
        <v/>
      </c>
      <c r="L13" s="12" t="s">
        <v>106</v>
      </c>
      <c r="M13" s="12" t="s">
        <v>356</v>
      </c>
      <c r="N13" s="12" t="s">
        <v>911</v>
      </c>
      <c r="O13" s="9">
        <v>5501.3</v>
      </c>
      <c r="P13" s="9">
        <v>1</v>
      </c>
      <c r="Q13" s="13" t="str">
        <f>VLOOKUP(O13, '[1]لیست محصولات اردیبهشت ۱۴۰۳'!B:C,2,0)</f>
        <v>ورتکس | Vortex</v>
      </c>
      <c r="R13" s="9"/>
      <c r="S13" s="12">
        <f>VLOOKUP(O13, '[1]لیست محصولات اردیبهشت ۱۴۰۳'!B:F,5,0)</f>
        <v>4000</v>
      </c>
      <c r="T13" s="14">
        <f>VLOOKUP(O13, '[1]لیست محصولات اردیبهشت ۱۴۰۳'!B:G,6,0)</f>
        <v>51200000</v>
      </c>
      <c r="U13" s="26"/>
      <c r="V13" s="16">
        <f t="shared" si="1"/>
        <v>0</v>
      </c>
      <c r="W13" s="12">
        <f t="shared" si="2"/>
        <v>1</v>
      </c>
      <c r="X13" s="14">
        <f t="shared" si="3"/>
        <v>51200000</v>
      </c>
      <c r="Y13" s="17"/>
      <c r="Z13" s="14">
        <f t="shared" si="4"/>
        <v>51200000</v>
      </c>
      <c r="AA13" s="18" t="s">
        <v>115</v>
      </c>
      <c r="AB13" s="13" t="s">
        <v>912</v>
      </c>
      <c r="AC13" s="19" t="s">
        <v>913</v>
      </c>
      <c r="AD13" s="20"/>
      <c r="AE13" s="19"/>
      <c r="AF13" s="21"/>
      <c r="AG13" s="22" t="str">
        <f t="shared" si="5"/>
        <v>TRUE</v>
      </c>
      <c r="AH13" s="23" t="str">
        <f t="shared" si="6"/>
        <v>زنجان کوچمشکی 14متری قایم روبروی باشگاه کشتی پلاک 89 کافه بُن سین - نگار سلیمی 09918832876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132">
        <v>9</v>
      </c>
      <c r="H14" s="130">
        <v>277686724986</v>
      </c>
      <c r="I14" s="132" t="s">
        <v>910</v>
      </c>
      <c r="J14" s="132"/>
      <c r="K14" s="11" t="str">
        <f t="shared" ca="1" si="0"/>
        <v/>
      </c>
      <c r="L14" s="142" t="s">
        <v>796</v>
      </c>
      <c r="M14" s="142" t="s">
        <v>914</v>
      </c>
      <c r="N14" s="142"/>
      <c r="O14" s="9">
        <v>1130.0999999999999</v>
      </c>
      <c r="P14" s="9">
        <v>1</v>
      </c>
      <c r="Q14" s="13" t="str">
        <f>VLOOKUP(O14, '[1]لیست محصولات اردیبهشت ۱۴۰۳'!B:C,2,0)</f>
        <v>الیدا پلانو | Elida Plano</v>
      </c>
      <c r="R14" s="9"/>
      <c r="S14" s="12">
        <f>VLOOKUP(O14, '[1]لیست محصولات اردیبهشت ۱۴۰۳'!B:F,5,0)</f>
        <v>80</v>
      </c>
      <c r="T14" s="14">
        <f>VLOOKUP(O14, '[1]لیست محصولات اردیبهشت ۱۴۰۳'!B:G,6,0)</f>
        <v>13100000</v>
      </c>
      <c r="U14" s="15"/>
      <c r="V14" s="16">
        <f t="shared" si="1"/>
        <v>0</v>
      </c>
      <c r="W14" s="12">
        <f t="shared" si="2"/>
        <v>1</v>
      </c>
      <c r="X14" s="14">
        <f t="shared" si="3"/>
        <v>13100000</v>
      </c>
      <c r="Y14" s="17"/>
      <c r="Z14" s="14">
        <f t="shared" si="4"/>
        <v>13100000</v>
      </c>
      <c r="AA14" s="140" t="s">
        <v>915</v>
      </c>
      <c r="AB14" s="138" t="s">
        <v>916</v>
      </c>
      <c r="AC14" s="136" t="s">
        <v>917</v>
      </c>
      <c r="AD14" s="134"/>
      <c r="AE14" s="19"/>
      <c r="AF14" s="21"/>
      <c r="AG14" s="22" t="str">
        <f t="shared" si="5"/>
        <v>TRUE</v>
      </c>
      <c r="AH14" s="23" t="str">
        <f t="shared" si="6"/>
        <v>بجنورد خیابان فردوسی، خیابان جمهوری هفده. پلاک ده. زنگ دوم(وسط)  - داود آتش بیک 09357271386</v>
      </c>
    </row>
    <row r="15" spans="1:34" ht="22.35" customHeight="1">
      <c r="A15" s="7"/>
      <c r="B15" s="7"/>
      <c r="C15" s="7"/>
      <c r="D15" s="7"/>
      <c r="E15" s="7"/>
      <c r="F15" s="8"/>
      <c r="G15" s="144"/>
      <c r="H15" s="150"/>
      <c r="I15" s="144"/>
      <c r="J15" s="144"/>
      <c r="K15" s="11" t="str">
        <f t="shared" ca="1" si="0"/>
        <v/>
      </c>
      <c r="L15" s="145"/>
      <c r="M15" s="145"/>
      <c r="N15" s="145"/>
      <c r="O15" s="9">
        <v>3326.2</v>
      </c>
      <c r="P15" s="9">
        <v>1</v>
      </c>
      <c r="Q15" s="13" t="str">
        <f>VLOOKUP(O15, '[1]لیست محصولات اردیبهشت ۱۴۰۳'!B:C,2,0)</f>
        <v>میاگروس | Milagros</v>
      </c>
      <c r="R15" s="9"/>
      <c r="S15" s="12">
        <f>VLOOKUP(O15, '[1]لیست محصولات اردیبهشت ۱۴۰۳'!B:F,5,0)</f>
        <v>750</v>
      </c>
      <c r="T15" s="14">
        <f>VLOOKUP(O15, '[1]لیست محصولات اردیبهشت ۱۴۰۳'!B:G,6,0)</f>
        <v>18150000</v>
      </c>
      <c r="U15" s="15"/>
      <c r="V15" s="16">
        <f t="shared" si="1"/>
        <v>0</v>
      </c>
      <c r="W15" s="12">
        <f t="shared" si="2"/>
        <v>1</v>
      </c>
      <c r="X15" s="14">
        <f t="shared" si="3"/>
        <v>18150000</v>
      </c>
      <c r="Y15" s="17"/>
      <c r="Z15" s="14">
        <f t="shared" si="4"/>
        <v>18150000</v>
      </c>
      <c r="AA15" s="149"/>
      <c r="AB15" s="148"/>
      <c r="AC15" s="147"/>
      <c r="AD15" s="146"/>
      <c r="AE15" s="19"/>
      <c r="AF15" s="21"/>
      <c r="AG15" s="22" t="str">
        <f t="shared" si="5"/>
        <v>TRUE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133"/>
      <c r="H16" s="131"/>
      <c r="I16" s="133"/>
      <c r="J16" s="133"/>
      <c r="K16" s="11" t="str">
        <f t="shared" ca="1" si="0"/>
        <v/>
      </c>
      <c r="L16" s="143"/>
      <c r="M16" s="143"/>
      <c r="N16" s="143"/>
      <c r="O16" s="9">
        <v>5501.2</v>
      </c>
      <c r="P16" s="9">
        <v>1</v>
      </c>
      <c r="Q16" s="13" t="str">
        <f>VLOOKUP(O16, '[1]لیست محصولات اردیبهشت ۱۴۰۳'!B:C,2,0)</f>
        <v>ورتکس | Vortex</v>
      </c>
      <c r="R16" s="9"/>
      <c r="S16" s="12">
        <f>VLOOKUP(O16, '[1]لیست محصولات اردیبهشت ۱۴۰۳'!B:F,5,0)</f>
        <v>750</v>
      </c>
      <c r="T16" s="14">
        <f>VLOOKUP(O16, '[1]لیست محصولات اردیبهشت ۱۴۰۳'!B:G,6,0)</f>
        <v>9900000</v>
      </c>
      <c r="U16" s="15"/>
      <c r="V16" s="16">
        <f t="shared" si="1"/>
        <v>0</v>
      </c>
      <c r="W16" s="12">
        <f t="shared" si="2"/>
        <v>1</v>
      </c>
      <c r="X16" s="14">
        <f t="shared" si="3"/>
        <v>9900000</v>
      </c>
      <c r="Y16" s="17"/>
      <c r="Z16" s="14">
        <f t="shared" si="4"/>
        <v>9900000</v>
      </c>
      <c r="AA16" s="141"/>
      <c r="AB16" s="139"/>
      <c r="AC16" s="137"/>
      <c r="AD16" s="135"/>
      <c r="AE16" s="19"/>
      <c r="AF16" s="21"/>
      <c r="AG16" s="22" t="str">
        <f t="shared" si="5"/>
        <v>TRUE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132">
        <v>10</v>
      </c>
      <c r="H17" s="130">
        <v>277707897427</v>
      </c>
      <c r="I17" s="132" t="s">
        <v>910</v>
      </c>
      <c r="J17" s="132"/>
      <c r="K17" s="11" t="str">
        <f t="shared" ca="1" si="0"/>
        <v/>
      </c>
      <c r="L17" s="142" t="s">
        <v>918</v>
      </c>
      <c r="M17" s="142" t="s">
        <v>919</v>
      </c>
      <c r="N17" s="142" t="s">
        <v>321</v>
      </c>
      <c r="O17" s="9">
        <v>5501.3</v>
      </c>
      <c r="P17" s="9">
        <v>1</v>
      </c>
      <c r="Q17" s="13" t="str">
        <f>VLOOKUP(O17, '[1]لیست محصولات اردیبهشت ۱۴۰۳'!B:C,2,0)</f>
        <v>ورتکس | Vortex</v>
      </c>
      <c r="R17" s="9"/>
      <c r="S17" s="12">
        <f>VLOOKUP(O17, '[1]لیست محصولات اردیبهشت ۱۴۰۳'!B:F,5,0)</f>
        <v>4000</v>
      </c>
      <c r="T17" s="14">
        <f>VLOOKUP(O17, '[1]لیست محصولات اردیبهشت ۱۴۰۳'!B:G,6,0)</f>
        <v>51200000</v>
      </c>
      <c r="U17" s="15"/>
      <c r="V17" s="16">
        <f t="shared" si="1"/>
        <v>0</v>
      </c>
      <c r="W17" s="12">
        <f t="shared" si="2"/>
        <v>1</v>
      </c>
      <c r="X17" s="14">
        <f t="shared" si="3"/>
        <v>51200000</v>
      </c>
      <c r="Y17" s="17"/>
      <c r="Z17" s="14">
        <f t="shared" si="4"/>
        <v>51200000</v>
      </c>
      <c r="AA17" s="140" t="s">
        <v>277</v>
      </c>
      <c r="AB17" s="138" t="s">
        <v>920</v>
      </c>
      <c r="AC17" s="136" t="s">
        <v>921</v>
      </c>
      <c r="AD17" s="134"/>
      <c r="AE17" s="19"/>
      <c r="AF17" s="21"/>
      <c r="AG17" s="22" t="str">
        <f t="shared" si="5"/>
        <v>TRUE</v>
      </c>
      <c r="AH17" s="23" t="str">
        <f t="shared" si="6"/>
        <v>ارومیه خیابان درستکار روبروی رستوران اکبر جوجه غذای اماده قابلمه کافه بابون - امیررضا راثی 09055892501</v>
      </c>
    </row>
    <row r="18" spans="1:34" ht="22.35" customHeight="1">
      <c r="A18" s="7"/>
      <c r="B18" s="7"/>
      <c r="C18" s="7"/>
      <c r="D18" s="7"/>
      <c r="E18" s="7"/>
      <c r="F18" s="8"/>
      <c r="G18" s="133"/>
      <c r="H18" s="131"/>
      <c r="I18" s="133"/>
      <c r="J18" s="133"/>
      <c r="K18" s="11" t="str">
        <f t="shared" ca="1" si="0"/>
        <v/>
      </c>
      <c r="L18" s="143"/>
      <c r="M18" s="143"/>
      <c r="N18" s="143"/>
      <c r="O18" s="9">
        <v>5511.11</v>
      </c>
      <c r="P18" s="9">
        <v>2</v>
      </c>
      <c r="Q18" s="69" t="str">
        <f>VLOOKUP(O18, '[1]لیست محصولات اردیبهشت ۱۴۰۳'!B:C,2,0)</f>
        <v>هامبلا(رست دمی) | Hambella( Filter Roast)</v>
      </c>
      <c r="R18" s="9"/>
      <c r="S18" s="12">
        <f>VLOOKUP(O18, '[1]لیست محصولات اردیبهشت ۱۴۰۳'!B:F,5,0)</f>
        <v>150</v>
      </c>
      <c r="T18" s="14">
        <f>VLOOKUP(O18, '[1]لیست محصولات اردیبهشت ۱۴۰۳'!B:G,6,0)</f>
        <v>2800000</v>
      </c>
      <c r="U18" s="15"/>
      <c r="V18" s="16">
        <f t="shared" si="1"/>
        <v>0</v>
      </c>
      <c r="W18" s="12">
        <f t="shared" si="2"/>
        <v>2</v>
      </c>
      <c r="X18" s="14">
        <f t="shared" si="3"/>
        <v>5600000</v>
      </c>
      <c r="Y18" s="17"/>
      <c r="Z18" s="14">
        <f t="shared" si="4"/>
        <v>5600000</v>
      </c>
      <c r="AA18" s="141"/>
      <c r="AB18" s="139"/>
      <c r="AC18" s="137"/>
      <c r="AD18" s="135"/>
      <c r="AE18" s="19"/>
      <c r="AF18" s="21"/>
      <c r="AG18" s="22" t="str">
        <f t="shared" si="5"/>
        <v>TRUE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>
        <v>11</v>
      </c>
      <c r="H19" s="10">
        <v>277711311349</v>
      </c>
      <c r="I19" s="9" t="s">
        <v>910</v>
      </c>
      <c r="J19" s="9"/>
      <c r="K19" s="11" t="str">
        <f t="shared" ca="1" si="0"/>
        <v/>
      </c>
      <c r="L19" s="12" t="s">
        <v>918</v>
      </c>
      <c r="M19" s="12" t="s">
        <v>922</v>
      </c>
      <c r="N19" s="12" t="s">
        <v>923</v>
      </c>
      <c r="O19" s="9">
        <v>3326.1</v>
      </c>
      <c r="P19" s="9">
        <v>1</v>
      </c>
      <c r="Q19" s="13" t="str">
        <f>VLOOKUP(O19, '[1]لیست محصولات اردیبهشت ۱۴۰۳'!B:C,2,0)</f>
        <v>میاگروس | Milagros</v>
      </c>
      <c r="R19" s="9"/>
      <c r="S19" s="12">
        <f>VLOOKUP(O19, '[1]لیست محصولات اردیبهشت ۱۴۰۳'!B:F,5,0)</f>
        <v>150</v>
      </c>
      <c r="T19" s="14">
        <f>VLOOKUP(O19, '[1]لیست محصولات اردیبهشت ۱۴۰۳'!B:G,6,0)</f>
        <v>3750000</v>
      </c>
      <c r="U19" s="15"/>
      <c r="V19" s="16">
        <f t="shared" si="1"/>
        <v>0</v>
      </c>
      <c r="W19" s="12">
        <f t="shared" si="2"/>
        <v>1</v>
      </c>
      <c r="X19" s="14">
        <f t="shared" si="3"/>
        <v>3750000</v>
      </c>
      <c r="Y19" s="17"/>
      <c r="Z19" s="14">
        <f t="shared" si="4"/>
        <v>3750000</v>
      </c>
      <c r="AA19" s="18" t="s">
        <v>924</v>
      </c>
      <c r="AB19" s="13" t="s">
        <v>925</v>
      </c>
      <c r="AC19" s="19" t="s">
        <v>926</v>
      </c>
      <c r="AD19" s="20"/>
      <c r="AE19" s="19"/>
      <c r="AF19" s="21"/>
      <c r="AG19" s="22" t="str">
        <f t="shared" si="5"/>
        <v>TRUE</v>
      </c>
      <c r="AH19" s="23" t="str">
        <f t="shared" si="6"/>
        <v>هشتگرد خیابان خویینی ها کافه وال - امیررضا بغدادی 09918942439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>
        <v>12</v>
      </c>
      <c r="H20" s="10">
        <v>277713013555</v>
      </c>
      <c r="I20" s="9" t="s">
        <v>910</v>
      </c>
      <c r="J20" s="9"/>
      <c r="K20" s="11" t="str">
        <f t="shared" ca="1" si="0"/>
        <v/>
      </c>
      <c r="L20" s="12" t="s">
        <v>927</v>
      </c>
      <c r="M20" s="12" t="s">
        <v>928</v>
      </c>
      <c r="N20" s="12"/>
      <c r="O20" s="9">
        <v>5522.1</v>
      </c>
      <c r="P20" s="9">
        <v>3</v>
      </c>
      <c r="Q20" s="13" t="str">
        <f>VLOOKUP(O20, '[1]لیست محصولات اردیبهشت ۱۴۰۳'!B:C,2,0)</f>
        <v>تامارا | Tamara</v>
      </c>
      <c r="R20" s="9" t="s">
        <v>255</v>
      </c>
      <c r="S20" s="12">
        <f>VLOOKUP(O20, '[1]لیست محصولات اردیبهشت ۱۴۰۳'!B:F,5,0)</f>
        <v>150</v>
      </c>
      <c r="T20" s="14">
        <f>VLOOKUP(O20, '[1]لیست محصولات اردیبهشت ۱۴۰۳'!B:G,6,0)</f>
        <v>2600000</v>
      </c>
      <c r="U20" s="15"/>
      <c r="V20" s="16">
        <f t="shared" si="1"/>
        <v>0</v>
      </c>
      <c r="W20" s="12">
        <f t="shared" si="2"/>
        <v>3</v>
      </c>
      <c r="X20" s="14">
        <f t="shared" si="3"/>
        <v>7800000</v>
      </c>
      <c r="Y20" s="17"/>
      <c r="Z20" s="14">
        <f t="shared" si="4"/>
        <v>7800000</v>
      </c>
      <c r="AA20" s="18" t="s">
        <v>79</v>
      </c>
      <c r="AB20" s="13" t="s">
        <v>929</v>
      </c>
      <c r="AC20" s="19" t="s">
        <v>930</v>
      </c>
      <c r="AD20" s="20" t="s">
        <v>99</v>
      </c>
      <c r="AE20" s="19"/>
      <c r="AF20" s="21"/>
      <c r="AG20" s="22" t="str">
        <f t="shared" si="5"/>
        <v>TRUE</v>
      </c>
      <c r="AH20" s="23" t="str">
        <f t="shared" si="6"/>
        <v>تهران خیابان فاطمی، خیابان شیخلر، کوچه بنفشه، پلاک هشت، نشر قطره  - گلناز فیاضی 09128435589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132">
        <v>13</v>
      </c>
      <c r="H21" s="130">
        <v>55268974501</v>
      </c>
      <c r="I21" s="132" t="s">
        <v>910</v>
      </c>
      <c r="J21" s="132"/>
      <c r="K21" s="11" t="str">
        <f t="shared" ca="1" si="0"/>
        <v/>
      </c>
      <c r="L21" s="142" t="s">
        <v>931</v>
      </c>
      <c r="M21" s="142" t="s">
        <v>932</v>
      </c>
      <c r="N21" s="142"/>
      <c r="O21" s="9">
        <v>5511.22</v>
      </c>
      <c r="P21" s="9">
        <v>1</v>
      </c>
      <c r="Q21" s="69" t="str">
        <f>VLOOKUP(O21, '[1]لیست محصولات اردیبهشت ۱۴۰۳'!B:C,2,0)</f>
        <v>هامبلا(رست دمی) | Hambella( Filter Roast)</v>
      </c>
      <c r="R21" s="9"/>
      <c r="S21" s="12">
        <f>VLOOKUP(O21, '[1]لیست محصولات اردیبهشت ۱۴۰۳'!B:F,5,0)</f>
        <v>750</v>
      </c>
      <c r="T21" s="14">
        <f>VLOOKUP(O21, '[1]لیست محصولات اردیبهشت ۱۴۰۳'!B:G,6,0)</f>
        <v>13350000</v>
      </c>
      <c r="U21" s="15"/>
      <c r="V21" s="16">
        <f t="shared" si="1"/>
        <v>0</v>
      </c>
      <c r="W21" s="12">
        <f t="shared" si="2"/>
        <v>1</v>
      </c>
      <c r="X21" s="14">
        <f t="shared" si="3"/>
        <v>13350000</v>
      </c>
      <c r="Y21" s="17"/>
      <c r="Z21" s="14">
        <f t="shared" si="4"/>
        <v>13350000</v>
      </c>
      <c r="AA21" s="140" t="s">
        <v>79</v>
      </c>
      <c r="AB21" s="138" t="s">
        <v>933</v>
      </c>
      <c r="AC21" s="136" t="s">
        <v>934</v>
      </c>
      <c r="AD21" s="134" t="s">
        <v>99</v>
      </c>
      <c r="AE21" s="19"/>
      <c r="AF21" s="21"/>
      <c r="AG21" s="22" t="str">
        <f t="shared" si="5"/>
        <v>TRUE</v>
      </c>
      <c r="AH21" s="23" t="str">
        <f t="shared" si="6"/>
        <v>تهران پاسداران / انتهای بوستان دوم / خ افشاری / بن بست گلگون / پلاک ۸ / واحد ۱۱۱  - امیربهادر توکلی 09128121909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133"/>
      <c r="H22" s="131"/>
      <c r="I22" s="133"/>
      <c r="J22" s="133"/>
      <c r="K22" s="11" t="str">
        <f t="shared" ca="1" si="0"/>
        <v/>
      </c>
      <c r="L22" s="143"/>
      <c r="M22" s="143"/>
      <c r="N22" s="143"/>
      <c r="O22" s="9">
        <v>3326.1</v>
      </c>
      <c r="P22" s="9">
        <v>1</v>
      </c>
      <c r="Q22" s="13" t="str">
        <f>VLOOKUP(O22, '[1]لیست محصولات اردیبهشت ۱۴۰۳'!B:C,2,0)</f>
        <v>میاگروس | Milagros</v>
      </c>
      <c r="R22" s="9"/>
      <c r="S22" s="12">
        <f>VLOOKUP(O22, '[1]لیست محصولات اردیبهشت ۱۴۰۳'!B:F,5,0)</f>
        <v>150</v>
      </c>
      <c r="T22" s="14">
        <f>VLOOKUP(O22, '[1]لیست محصولات اردیبهشت ۱۴۰۳'!B:G,6,0)</f>
        <v>3750000</v>
      </c>
      <c r="U22" s="15"/>
      <c r="V22" s="16">
        <f t="shared" si="1"/>
        <v>0</v>
      </c>
      <c r="W22" s="12">
        <f t="shared" si="2"/>
        <v>1</v>
      </c>
      <c r="X22" s="14">
        <f t="shared" si="3"/>
        <v>3750000</v>
      </c>
      <c r="Y22" s="17"/>
      <c r="Z22" s="14">
        <f t="shared" si="4"/>
        <v>3750000</v>
      </c>
      <c r="AA22" s="141"/>
      <c r="AB22" s="139"/>
      <c r="AC22" s="137"/>
      <c r="AD22" s="135"/>
      <c r="AE22" s="19"/>
      <c r="AF22" s="21"/>
      <c r="AG22" s="22" t="str">
        <f t="shared" si="5"/>
        <v>TRUE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132">
        <v>14</v>
      </c>
      <c r="H23" s="130">
        <v>277715649717</v>
      </c>
      <c r="I23" s="132" t="s">
        <v>910</v>
      </c>
      <c r="J23" s="132"/>
      <c r="K23" s="11" t="str">
        <f t="shared" ca="1" si="0"/>
        <v/>
      </c>
      <c r="L23" s="142" t="s">
        <v>935</v>
      </c>
      <c r="M23" s="142" t="s">
        <v>936</v>
      </c>
      <c r="N23" s="142"/>
      <c r="O23" s="9">
        <v>3326.1</v>
      </c>
      <c r="P23" s="9">
        <v>1</v>
      </c>
      <c r="Q23" s="13" t="str">
        <f>VLOOKUP(O23, '[1]لیست محصولات اردیبهشت ۱۴۰۳'!B:C,2,0)</f>
        <v>میاگروس | Milagros</v>
      </c>
      <c r="R23" s="9"/>
      <c r="S23" s="12">
        <f>VLOOKUP(O23, '[1]لیست محصولات اردیبهشت ۱۴۰۳'!B:F,5,0)</f>
        <v>150</v>
      </c>
      <c r="T23" s="14">
        <f>VLOOKUP(O23, '[1]لیست محصولات اردیبهشت ۱۴۰۳'!B:G,6,0)</f>
        <v>3750000</v>
      </c>
      <c r="U23" s="15"/>
      <c r="V23" s="16">
        <f t="shared" si="1"/>
        <v>0</v>
      </c>
      <c r="W23" s="12">
        <f t="shared" si="2"/>
        <v>1</v>
      </c>
      <c r="X23" s="14">
        <f t="shared" si="3"/>
        <v>3750000</v>
      </c>
      <c r="Y23" s="17"/>
      <c r="Z23" s="14">
        <f t="shared" si="4"/>
        <v>3750000</v>
      </c>
      <c r="AA23" s="140" t="s">
        <v>79</v>
      </c>
      <c r="AB23" s="138" t="s">
        <v>938</v>
      </c>
      <c r="AC23" s="136" t="s">
        <v>937</v>
      </c>
      <c r="AD23" s="134" t="s">
        <v>99</v>
      </c>
      <c r="AE23" s="19"/>
      <c r="AF23" s="21"/>
      <c r="AG23" s="22" t="str">
        <f t="shared" si="5"/>
        <v>TRUE</v>
      </c>
      <c r="AH23" s="23" t="str">
        <f t="shared" si="6"/>
        <v>تهران بلوار فردوس غرب، خیابان بهار شمالی، خیابان هلال احمر، پلاک 5، برج آریانا پارک، واحد 328  - بهاره اخوان 09197481299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133"/>
      <c r="H24" s="131"/>
      <c r="I24" s="133"/>
      <c r="J24" s="133"/>
      <c r="K24" s="11" t="str">
        <f t="shared" ca="1" si="0"/>
        <v/>
      </c>
      <c r="L24" s="143"/>
      <c r="M24" s="143"/>
      <c r="N24" s="143"/>
      <c r="O24" s="9">
        <v>3325.1</v>
      </c>
      <c r="P24" s="9">
        <v>1</v>
      </c>
      <c r="Q24" s="13" t="str">
        <f>VLOOKUP(O24, '[1]لیست محصولات اردیبهشت ۱۴۰۳'!B:C,2,0)</f>
        <v>راتناگری | Ratnagiri</v>
      </c>
      <c r="R24" s="9"/>
      <c r="S24" s="12">
        <f>VLOOKUP(O24, '[1]لیست محصولات اردیبهشت ۱۴۰۳'!B:F,5,0)</f>
        <v>150</v>
      </c>
      <c r="T24" s="14">
        <f>VLOOKUP(O24, '[1]لیست محصولات اردیبهشت ۱۴۰۳'!B:G,6,0)</f>
        <v>4250000</v>
      </c>
      <c r="U24" s="15"/>
      <c r="V24" s="16">
        <f t="shared" si="1"/>
        <v>0</v>
      </c>
      <c r="W24" s="12">
        <f t="shared" si="2"/>
        <v>1</v>
      </c>
      <c r="X24" s="14">
        <f t="shared" si="3"/>
        <v>4250000</v>
      </c>
      <c r="Y24" s="17"/>
      <c r="Z24" s="14">
        <f t="shared" si="4"/>
        <v>4250000</v>
      </c>
      <c r="AA24" s="141"/>
      <c r="AB24" s="139"/>
      <c r="AC24" s="137"/>
      <c r="AD24" s="135"/>
      <c r="AE24" s="19"/>
      <c r="AF24" s="21"/>
      <c r="AG24" s="22" t="str">
        <f t="shared" si="5"/>
        <v>TRUE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66">
        <v>15</v>
      </c>
      <c r="H25" s="67"/>
      <c r="I25" s="66" t="s">
        <v>910</v>
      </c>
      <c r="J25" s="9" t="s">
        <v>76</v>
      </c>
      <c r="K25" s="11" t="str">
        <f t="shared" ca="1" si="0"/>
        <v/>
      </c>
      <c r="L25" s="12" t="s">
        <v>247</v>
      </c>
      <c r="M25" s="12" t="s">
        <v>248</v>
      </c>
      <c r="N25" s="12" t="s">
        <v>249</v>
      </c>
      <c r="O25" s="9">
        <v>5522.2</v>
      </c>
      <c r="P25" s="9">
        <v>15</v>
      </c>
      <c r="Q25" s="13" t="str">
        <f>VLOOKUP(O25, '[1]لیست محصولات اردیبهشت ۱۴۰۳'!B:C,2,0)</f>
        <v>تامارا | Tamara</v>
      </c>
      <c r="R25" s="9"/>
      <c r="S25" s="12">
        <f>VLOOKUP(O25, '[1]لیست محصولات اردیبهشت ۱۴۰۳'!B:F,5,0)</f>
        <v>750</v>
      </c>
      <c r="T25" s="14">
        <f>VLOOKUP(O25, '[1]لیست محصولات اردیبهشت ۱۴۰۳'!B:G,6,0)</f>
        <v>12450000</v>
      </c>
      <c r="U25" s="15"/>
      <c r="V25" s="16">
        <f t="shared" si="1"/>
        <v>0</v>
      </c>
      <c r="W25" s="12">
        <f t="shared" si="2"/>
        <v>15</v>
      </c>
      <c r="X25" s="14">
        <f t="shared" si="3"/>
        <v>186750000</v>
      </c>
      <c r="Y25" s="17"/>
      <c r="Z25" s="14">
        <f t="shared" si="4"/>
        <v>186750000</v>
      </c>
      <c r="AA25" s="18" t="s">
        <v>250</v>
      </c>
      <c r="AB25" s="13" t="s">
        <v>251</v>
      </c>
      <c r="AC25" s="19" t="s">
        <v>252</v>
      </c>
      <c r="AD25" s="20"/>
      <c r="AE25" s="19"/>
      <c r="AF25" s="21"/>
      <c r="AG25" s="22" t="str">
        <f t="shared" si="5"/>
        <v>TRUE</v>
      </c>
      <c r="AH25" s="23" t="str">
        <f t="shared" si="6"/>
        <v>کرج جهانشهر - ميدان هلال احمر - خ هلال احمر - نبش كوچه سنبل  کافه دارچین - کیان کاوه 09124620107</v>
      </c>
    </row>
    <row r="26" spans="1:34" ht="22.35" customHeight="1">
      <c r="A26" s="7"/>
      <c r="B26" s="7"/>
      <c r="C26" s="7"/>
      <c r="D26" s="7"/>
      <c r="E26" s="7"/>
      <c r="F26" s="8"/>
      <c r="G26" s="132">
        <v>16</v>
      </c>
      <c r="H26" s="130">
        <v>277724639367</v>
      </c>
      <c r="I26" s="132" t="s">
        <v>910</v>
      </c>
      <c r="J26" s="132"/>
      <c r="K26" s="11" t="str">
        <f t="shared" ca="1" si="0"/>
        <v/>
      </c>
      <c r="L26" s="142" t="s">
        <v>918</v>
      </c>
      <c r="M26" s="142" t="s">
        <v>939</v>
      </c>
      <c r="N26" s="142"/>
      <c r="O26" s="9">
        <v>5511.11</v>
      </c>
      <c r="P26" s="9">
        <v>1</v>
      </c>
      <c r="Q26" s="69" t="str">
        <f>VLOOKUP(O26, '[1]لیست محصولات اردیبهشت ۱۴۰۳'!B:C,2,0)</f>
        <v>هامبلا(رست دمی) | Hambella( Filter Roast)</v>
      </c>
      <c r="R26" s="9"/>
      <c r="S26" s="12">
        <f>VLOOKUP(O26, '[1]لیست محصولات اردیبهشت ۱۴۰۳'!B:F,5,0)</f>
        <v>150</v>
      </c>
      <c r="T26" s="14">
        <f>VLOOKUP(O26, '[1]لیست محصولات اردیبهشت ۱۴۰۳'!B:G,6,0)</f>
        <v>2800000</v>
      </c>
      <c r="U26" s="15"/>
      <c r="V26" s="16">
        <f t="shared" si="1"/>
        <v>0</v>
      </c>
      <c r="W26" s="12">
        <f t="shared" si="2"/>
        <v>1</v>
      </c>
      <c r="X26" s="14">
        <f t="shared" si="3"/>
        <v>2800000</v>
      </c>
      <c r="Y26" s="17"/>
      <c r="Z26" s="14">
        <f t="shared" si="4"/>
        <v>2800000</v>
      </c>
      <c r="AA26" s="140" t="s">
        <v>79</v>
      </c>
      <c r="AB26" s="138" t="s">
        <v>940</v>
      </c>
      <c r="AC26" s="136" t="s">
        <v>941</v>
      </c>
      <c r="AD26" s="134" t="s">
        <v>99</v>
      </c>
      <c r="AE26" s="19"/>
      <c r="AF26" s="21"/>
      <c r="AG26" s="22" t="str">
        <f t="shared" si="5"/>
        <v>TRUE</v>
      </c>
      <c r="AH26" s="23" t="str">
        <f t="shared" si="6"/>
        <v>تهران امانیه، خیابان ولی‌عصر، کوچه مهناز، پلاک ۸  - امیررضا کیمیایی 09203176712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144"/>
      <c r="H27" s="150"/>
      <c r="I27" s="144"/>
      <c r="J27" s="144"/>
      <c r="K27" s="11" t="str">
        <f t="shared" ca="1" si="0"/>
        <v/>
      </c>
      <c r="L27" s="145"/>
      <c r="M27" s="145"/>
      <c r="N27" s="145"/>
      <c r="O27" s="9">
        <v>3326.1</v>
      </c>
      <c r="P27" s="9">
        <v>2</v>
      </c>
      <c r="Q27" s="13" t="str">
        <f>VLOOKUP(O27, '[1]لیست محصولات اردیبهشت ۱۴۰۳'!B:C,2,0)</f>
        <v>میاگروس | Milagros</v>
      </c>
      <c r="R27" s="9"/>
      <c r="S27" s="12">
        <f>VLOOKUP(O27, '[1]لیست محصولات اردیبهشت ۱۴۰۳'!B:F,5,0)</f>
        <v>150</v>
      </c>
      <c r="T27" s="14">
        <f>VLOOKUP(O27, '[1]لیست محصولات اردیبهشت ۱۴۰۳'!B:G,6,0)</f>
        <v>3750000</v>
      </c>
      <c r="U27" s="15"/>
      <c r="V27" s="16">
        <f t="shared" si="1"/>
        <v>0</v>
      </c>
      <c r="W27" s="12">
        <f t="shared" si="2"/>
        <v>2</v>
      </c>
      <c r="X27" s="14">
        <f t="shared" si="3"/>
        <v>7500000</v>
      </c>
      <c r="Y27" s="17"/>
      <c r="Z27" s="14">
        <f t="shared" si="4"/>
        <v>7500000</v>
      </c>
      <c r="AA27" s="149"/>
      <c r="AB27" s="148"/>
      <c r="AC27" s="147"/>
      <c r="AD27" s="146"/>
      <c r="AE27" s="19"/>
      <c r="AF27" s="21"/>
      <c r="AG27" s="22" t="str">
        <f t="shared" si="5"/>
        <v>TRUE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144"/>
      <c r="H28" s="150"/>
      <c r="I28" s="144"/>
      <c r="J28" s="144"/>
      <c r="K28" s="11" t="str">
        <f t="shared" ca="1" si="0"/>
        <v/>
      </c>
      <c r="L28" s="145"/>
      <c r="M28" s="145"/>
      <c r="N28" s="145"/>
      <c r="O28" s="9">
        <v>3325.1</v>
      </c>
      <c r="P28" s="9">
        <v>1</v>
      </c>
      <c r="Q28" s="13" t="str">
        <f>VLOOKUP(O28, '[1]لیست محصولات اردیبهشت ۱۴۰۳'!B:C,2,0)</f>
        <v>راتناگری | Ratnagiri</v>
      </c>
      <c r="R28" s="9"/>
      <c r="S28" s="12">
        <f>VLOOKUP(O28, '[1]لیست محصولات اردیبهشت ۱۴۰۳'!B:F,5,0)</f>
        <v>150</v>
      </c>
      <c r="T28" s="14">
        <f>VLOOKUP(O28, '[1]لیست محصولات اردیبهشت ۱۴۰۳'!B:G,6,0)</f>
        <v>4250000</v>
      </c>
      <c r="U28" s="15"/>
      <c r="V28" s="16">
        <f t="shared" si="1"/>
        <v>0</v>
      </c>
      <c r="W28" s="12">
        <f t="shared" si="2"/>
        <v>1</v>
      </c>
      <c r="X28" s="14">
        <f t="shared" si="3"/>
        <v>4250000</v>
      </c>
      <c r="Y28" s="17"/>
      <c r="Z28" s="14">
        <f t="shared" si="4"/>
        <v>4250000</v>
      </c>
      <c r="AA28" s="149"/>
      <c r="AB28" s="148"/>
      <c r="AC28" s="147"/>
      <c r="AD28" s="146"/>
      <c r="AE28" s="19"/>
      <c r="AF28" s="21"/>
      <c r="AG28" s="22" t="str">
        <f t="shared" si="5"/>
        <v>TRUE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133"/>
      <c r="H29" s="131"/>
      <c r="I29" s="133"/>
      <c r="J29" s="133"/>
      <c r="K29" s="11" t="str">
        <f t="shared" ca="1" si="0"/>
        <v/>
      </c>
      <c r="L29" s="143"/>
      <c r="M29" s="143"/>
      <c r="N29" s="143"/>
      <c r="O29" s="9">
        <v>5501.2</v>
      </c>
      <c r="P29" s="9">
        <v>1</v>
      </c>
      <c r="Q29" s="13" t="str">
        <f>VLOOKUP(O29, '[1]لیست محصولات اردیبهشت ۱۴۰۳'!B:C,2,0)</f>
        <v>ورتکس | Vortex</v>
      </c>
      <c r="R29" s="9"/>
      <c r="S29" s="12">
        <f>VLOOKUP(O29, '[1]لیست محصولات اردیبهشت ۱۴۰۳'!B:F,5,0)</f>
        <v>750</v>
      </c>
      <c r="T29" s="14">
        <f>VLOOKUP(O29, '[1]لیست محصولات اردیبهشت ۱۴۰۳'!B:G,6,0)</f>
        <v>9900000</v>
      </c>
      <c r="U29" s="15"/>
      <c r="V29" s="16">
        <f t="shared" si="1"/>
        <v>0</v>
      </c>
      <c r="W29" s="12">
        <f t="shared" si="2"/>
        <v>1</v>
      </c>
      <c r="X29" s="14">
        <f t="shared" si="3"/>
        <v>9900000</v>
      </c>
      <c r="Y29" s="17"/>
      <c r="Z29" s="14">
        <f t="shared" si="4"/>
        <v>9900000</v>
      </c>
      <c r="AA29" s="141"/>
      <c r="AB29" s="139"/>
      <c r="AC29" s="137"/>
      <c r="AD29" s="135"/>
      <c r="AE29" s="19"/>
      <c r="AF29" s="21"/>
      <c r="AG29" s="22" t="str">
        <f t="shared" si="5"/>
        <v>TRUE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132">
        <v>17</v>
      </c>
      <c r="H30" s="130">
        <v>277724862996</v>
      </c>
      <c r="I30" s="132" t="s">
        <v>910</v>
      </c>
      <c r="J30" s="132"/>
      <c r="K30" s="11" t="str">
        <f t="shared" ca="1" si="0"/>
        <v/>
      </c>
      <c r="L30" s="142" t="s">
        <v>538</v>
      </c>
      <c r="M30" s="142" t="s">
        <v>942</v>
      </c>
      <c r="N30" s="142" t="s">
        <v>943</v>
      </c>
      <c r="O30" s="9">
        <v>5501.3</v>
      </c>
      <c r="P30" s="9">
        <v>1</v>
      </c>
      <c r="Q30" s="13" t="str">
        <f>VLOOKUP(O30, '[1]لیست محصولات اردیبهشت ۱۴۰۳'!B:C,2,0)</f>
        <v>ورتکس | Vortex</v>
      </c>
      <c r="R30" s="9"/>
      <c r="S30" s="12">
        <f>VLOOKUP(O30, '[1]لیست محصولات اردیبهشت ۱۴۰۳'!B:F,5,0)</f>
        <v>4000</v>
      </c>
      <c r="T30" s="14">
        <f>VLOOKUP(O30, '[1]لیست محصولات اردیبهشت ۱۴۰۳'!B:G,6,0)</f>
        <v>51200000</v>
      </c>
      <c r="U30" s="15"/>
      <c r="V30" s="16">
        <f t="shared" si="1"/>
        <v>0</v>
      </c>
      <c r="W30" s="12">
        <f t="shared" si="2"/>
        <v>1</v>
      </c>
      <c r="X30" s="14">
        <f t="shared" si="3"/>
        <v>51200000</v>
      </c>
      <c r="Y30" s="17"/>
      <c r="Z30" s="14">
        <f t="shared" si="4"/>
        <v>51200000</v>
      </c>
      <c r="AA30" s="140" t="s">
        <v>637</v>
      </c>
      <c r="AB30" s="138" t="s">
        <v>944</v>
      </c>
      <c r="AC30" s="136" t="s">
        <v>945</v>
      </c>
      <c r="AD30" s="134"/>
      <c r="AE30" s="19"/>
      <c r="AF30" s="21"/>
      <c r="AG30" s="22" t="str">
        <f t="shared" si="5"/>
        <v>TRUE</v>
      </c>
      <c r="AH30" s="23" t="str">
        <f t="shared" si="6"/>
        <v>سنندج خیابان بوستان نرسیده به استخر شین کافه آفریقا - میلاد اسحقی 09010145254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144"/>
      <c r="H31" s="150"/>
      <c r="I31" s="144"/>
      <c r="J31" s="144"/>
      <c r="K31" s="11" t="str">
        <f t="shared" ca="1" si="0"/>
        <v/>
      </c>
      <c r="L31" s="145"/>
      <c r="M31" s="145"/>
      <c r="N31" s="145"/>
      <c r="O31" s="9">
        <v>3325.1</v>
      </c>
      <c r="P31" s="9">
        <v>2</v>
      </c>
      <c r="Q31" s="13" t="str">
        <f>VLOOKUP(O31, '[1]لیست محصولات اردیبهشت ۱۴۰۳'!B:C,2,0)</f>
        <v>راتناگری | Ratnagiri</v>
      </c>
      <c r="R31" s="9"/>
      <c r="S31" s="12">
        <f>VLOOKUP(O31, '[1]لیست محصولات اردیبهشت ۱۴۰۳'!B:F,5,0)</f>
        <v>150</v>
      </c>
      <c r="T31" s="14">
        <f>VLOOKUP(O31, '[1]لیست محصولات اردیبهشت ۱۴۰۳'!B:G,6,0)</f>
        <v>4250000</v>
      </c>
      <c r="U31" s="15"/>
      <c r="V31" s="16">
        <f t="shared" si="1"/>
        <v>0</v>
      </c>
      <c r="W31" s="12">
        <f t="shared" si="2"/>
        <v>2</v>
      </c>
      <c r="X31" s="14">
        <f t="shared" si="3"/>
        <v>8500000</v>
      </c>
      <c r="Y31" s="17"/>
      <c r="Z31" s="14">
        <f t="shared" si="4"/>
        <v>8500000</v>
      </c>
      <c r="AA31" s="149"/>
      <c r="AB31" s="148"/>
      <c r="AC31" s="147"/>
      <c r="AD31" s="146"/>
      <c r="AE31" s="19"/>
      <c r="AF31" s="21"/>
      <c r="AG31" s="22" t="str">
        <f t="shared" si="5"/>
        <v>TRUE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133"/>
      <c r="H32" s="131"/>
      <c r="I32" s="133"/>
      <c r="J32" s="133"/>
      <c r="K32" s="11" t="str">
        <f t="shared" ca="1" si="0"/>
        <v/>
      </c>
      <c r="L32" s="143"/>
      <c r="M32" s="143"/>
      <c r="N32" s="143"/>
      <c r="O32" s="9">
        <v>3326.1</v>
      </c>
      <c r="P32" s="9">
        <v>2</v>
      </c>
      <c r="Q32" s="13" t="str">
        <f>VLOOKUP(O32, '[1]لیست محصولات اردیبهشت ۱۴۰۳'!B:C,2,0)</f>
        <v>میاگروس | Milagros</v>
      </c>
      <c r="R32" s="9"/>
      <c r="S32" s="12">
        <f>VLOOKUP(O32, '[1]لیست محصولات اردیبهشت ۱۴۰۳'!B:F,5,0)</f>
        <v>150</v>
      </c>
      <c r="T32" s="14">
        <f>VLOOKUP(O32, '[1]لیست محصولات اردیبهشت ۱۴۰۳'!B:G,6,0)</f>
        <v>3750000</v>
      </c>
      <c r="U32" s="15"/>
      <c r="V32" s="16">
        <f t="shared" si="1"/>
        <v>0</v>
      </c>
      <c r="W32" s="12">
        <f t="shared" si="2"/>
        <v>2</v>
      </c>
      <c r="X32" s="14">
        <f t="shared" si="3"/>
        <v>7500000</v>
      </c>
      <c r="Y32" s="17"/>
      <c r="Z32" s="14">
        <f t="shared" si="4"/>
        <v>7500000</v>
      </c>
      <c r="AA32" s="141"/>
      <c r="AB32" s="139"/>
      <c r="AC32" s="137"/>
      <c r="AD32" s="135"/>
      <c r="AE32" s="19"/>
      <c r="AF32" s="21"/>
      <c r="AG32" s="22" t="str">
        <f t="shared" si="5"/>
        <v>TRUE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>
        <v>18</v>
      </c>
      <c r="H33" s="10">
        <v>277726322270</v>
      </c>
      <c r="I33" s="9" t="s">
        <v>910</v>
      </c>
      <c r="J33" s="9"/>
      <c r="K33" s="11" t="str">
        <f t="shared" ca="1" si="0"/>
        <v/>
      </c>
      <c r="L33" s="12" t="s">
        <v>946</v>
      </c>
      <c r="M33" s="12" t="s">
        <v>947</v>
      </c>
      <c r="N33" s="12" t="s">
        <v>948</v>
      </c>
      <c r="O33" s="9">
        <v>5501.3</v>
      </c>
      <c r="P33" s="9">
        <v>2</v>
      </c>
      <c r="Q33" s="13" t="str">
        <f>VLOOKUP(O33, '[1]لیست محصولات اردیبهشت ۱۴۰۳'!B:C,2,0)</f>
        <v>ورتکس | Vortex</v>
      </c>
      <c r="R33" s="9"/>
      <c r="S33" s="12">
        <f>VLOOKUP(O33, '[1]لیست محصولات اردیبهشت ۱۴۰۳'!B:F,5,0)</f>
        <v>4000</v>
      </c>
      <c r="T33" s="14">
        <f>VLOOKUP(O33, '[1]لیست محصولات اردیبهشت ۱۴۰۳'!B:G,6,0)</f>
        <v>51200000</v>
      </c>
      <c r="U33" s="15"/>
      <c r="V33" s="16">
        <f t="shared" si="1"/>
        <v>0</v>
      </c>
      <c r="W33" s="12">
        <f t="shared" si="2"/>
        <v>2</v>
      </c>
      <c r="X33" s="14">
        <f t="shared" si="3"/>
        <v>102400000</v>
      </c>
      <c r="Y33" s="17"/>
      <c r="Z33" s="14">
        <f t="shared" si="4"/>
        <v>102400000</v>
      </c>
      <c r="AA33" s="18" t="s">
        <v>250</v>
      </c>
      <c r="AB33" s="13" t="s">
        <v>949</v>
      </c>
      <c r="AC33" s="19" t="s">
        <v>950</v>
      </c>
      <c r="AD33" s="20"/>
      <c r="AE33" s="19"/>
      <c r="AF33" s="21"/>
      <c r="AG33" s="22" t="str">
        <f t="shared" si="5"/>
        <v>TRUE</v>
      </c>
      <c r="AH33" s="23" t="str">
        <f t="shared" si="6"/>
        <v>کرج گوهردشت- خیابان هشتم شرقی-فاز یک -پلاک 40 کافه کوپیدو - صابر کیماز 09125615277</v>
      </c>
    </row>
    <row r="34" spans="1:34" s="32" customFormat="1" ht="22.35" customHeight="1">
      <c r="A34" s="116"/>
      <c r="B34" s="116"/>
      <c r="C34" s="116"/>
      <c r="D34" s="116"/>
      <c r="E34" s="116"/>
      <c r="F34" s="116"/>
      <c r="G34" s="134">
        <v>19</v>
      </c>
      <c r="H34" s="212" t="s">
        <v>676</v>
      </c>
      <c r="I34" s="134" t="s">
        <v>910</v>
      </c>
      <c r="J34" s="134"/>
      <c r="K34" s="118" t="str">
        <f t="shared" ca="1" si="0"/>
        <v/>
      </c>
      <c r="L34" s="224" t="s">
        <v>359</v>
      </c>
      <c r="M34" s="224" t="s">
        <v>951</v>
      </c>
      <c r="N34" s="224" t="s">
        <v>952</v>
      </c>
      <c r="O34" s="20">
        <v>5511.11</v>
      </c>
      <c r="P34" s="20">
        <v>1</v>
      </c>
      <c r="Q34" s="127" t="str">
        <f>VLOOKUP(O34, '[1]لیست محصولات اردیبهشت ۱۴۰۳'!B:C,2,0)</f>
        <v>هامبلا(رست دمی) | Hambella( Filter Roast)</v>
      </c>
      <c r="R34" s="20"/>
      <c r="S34" s="119">
        <f>VLOOKUP(O34, '[1]لیست محصولات اردیبهشت ۱۴۰۳'!B:F,5,0)</f>
        <v>150</v>
      </c>
      <c r="T34" s="121">
        <f>VLOOKUP(O34, '[1]لیست محصولات اردیبهشت ۱۴۰۳'!B:G,6,0)</f>
        <v>2800000</v>
      </c>
      <c r="U34" s="122"/>
      <c r="V34" s="123">
        <f t="shared" si="1"/>
        <v>0</v>
      </c>
      <c r="W34" s="119">
        <f t="shared" si="2"/>
        <v>1</v>
      </c>
      <c r="X34" s="121">
        <f t="shared" si="3"/>
        <v>2800000</v>
      </c>
      <c r="Y34" s="124"/>
      <c r="Z34" s="121">
        <f t="shared" si="4"/>
        <v>2800000</v>
      </c>
      <c r="AA34" s="222" t="s">
        <v>79</v>
      </c>
      <c r="AB34" s="220" t="s">
        <v>953</v>
      </c>
      <c r="AC34" s="218" t="s">
        <v>954</v>
      </c>
      <c r="AD34" s="134" t="s">
        <v>99</v>
      </c>
      <c r="AE34" s="129"/>
      <c r="AF34" s="125"/>
      <c r="AH34" s="126" t="str">
        <f t="shared" si="6"/>
        <v>تهران خیابان کریمخان - نبش خیابان ماهشهر کافه بلسینکی - علیرضا فراهانی 09120274651</v>
      </c>
    </row>
    <row r="35" spans="1:34" s="32" customFormat="1" ht="22.35" customHeight="1">
      <c r="A35" s="116"/>
      <c r="B35" s="116"/>
      <c r="C35" s="116"/>
      <c r="D35" s="116"/>
      <c r="E35" s="116"/>
      <c r="F35" s="116"/>
      <c r="G35" s="135"/>
      <c r="H35" s="214"/>
      <c r="I35" s="135"/>
      <c r="J35" s="135"/>
      <c r="K35" s="118" t="str">
        <f t="shared" ca="1" si="0"/>
        <v/>
      </c>
      <c r="L35" s="225"/>
      <c r="M35" s="225"/>
      <c r="N35" s="225"/>
      <c r="O35" s="20">
        <v>5501.1</v>
      </c>
      <c r="P35" s="20">
        <v>1</v>
      </c>
      <c r="Q35" s="120" t="str">
        <f>VLOOKUP(O35, '[1]لیست محصولات اردیبهشت ۱۴۰۳'!B:C,2,0)</f>
        <v>ورتکس | Vortex</v>
      </c>
      <c r="R35" s="20"/>
      <c r="S35" s="119">
        <f>VLOOKUP(O35, '[1]لیست محصولات اردیبهشت ۱۴۰۳'!B:F,5,0)</f>
        <v>150</v>
      </c>
      <c r="T35" s="121">
        <f>VLOOKUP(O35, '[1]لیست محصولات اردیبهشت ۱۴۰۳'!B:G,6,0)</f>
        <v>2100000</v>
      </c>
      <c r="U35" s="122"/>
      <c r="V35" s="123">
        <f t="shared" si="1"/>
        <v>0</v>
      </c>
      <c r="W35" s="119">
        <f t="shared" si="2"/>
        <v>1</v>
      </c>
      <c r="X35" s="121">
        <f t="shared" si="3"/>
        <v>2100000</v>
      </c>
      <c r="Y35" s="124"/>
      <c r="Z35" s="121">
        <f t="shared" si="4"/>
        <v>2100000</v>
      </c>
      <c r="AA35" s="223"/>
      <c r="AB35" s="221"/>
      <c r="AC35" s="219"/>
      <c r="AD35" s="135"/>
      <c r="AE35" s="129"/>
      <c r="AF35" s="125"/>
      <c r="AH35" s="126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>
        <v>20</v>
      </c>
      <c r="H36" s="10">
        <v>277730947220</v>
      </c>
      <c r="I36" s="9" t="s">
        <v>910</v>
      </c>
      <c r="J36" s="9"/>
      <c r="K36" s="11"/>
      <c r="L36" s="12" t="s">
        <v>959</v>
      </c>
      <c r="M36" s="12" t="s">
        <v>186</v>
      </c>
      <c r="N36" s="12"/>
      <c r="O36" s="9">
        <v>5511.1</v>
      </c>
      <c r="P36" s="9">
        <v>1</v>
      </c>
      <c r="Q36" s="13" t="str">
        <f>VLOOKUP(O36, '[1]لیست محصولات اردیبهشت ۱۴۰۳'!B:C,2,0)</f>
        <v>هامبلا | Hambella</v>
      </c>
      <c r="R36" s="9" t="s">
        <v>255</v>
      </c>
      <c r="S36" s="12">
        <f>VLOOKUP(O36, '[1]لیست محصولات اردیبهشت ۱۴۰۳'!B:F,5,0)</f>
        <v>150</v>
      </c>
      <c r="T36" s="14">
        <f>VLOOKUP(O36, '[1]لیست محصولات اردیبهشت ۱۴۰۳'!B:G,6,0)</f>
        <v>2800000</v>
      </c>
      <c r="U36" s="15"/>
      <c r="V36" s="16">
        <f t="shared" si="1"/>
        <v>0</v>
      </c>
      <c r="W36" s="12">
        <f t="shared" si="2"/>
        <v>1</v>
      </c>
      <c r="X36" s="14">
        <f t="shared" si="3"/>
        <v>2800000</v>
      </c>
      <c r="Y36" s="17"/>
      <c r="Z36" s="14">
        <f t="shared" si="4"/>
        <v>2800000</v>
      </c>
      <c r="AA36" s="18" t="s">
        <v>79</v>
      </c>
      <c r="AB36" s="13" t="s">
        <v>960</v>
      </c>
      <c r="AC36" s="19" t="s">
        <v>961</v>
      </c>
      <c r="AD36" s="20" t="s">
        <v>99</v>
      </c>
      <c r="AE36" s="19"/>
      <c r="AF36" s="21"/>
      <c r="AG36" s="22" t="str">
        <f t="shared" si="5"/>
        <v>TRUE</v>
      </c>
      <c r="AH36" s="23" t="str">
        <f t="shared" si="6"/>
        <v>تهران انتهای اشرفی اصفهانی - کوچه سعدی - پلاک 2 - طبقه 4  - الهام محمودی 09357133593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1</v>
      </c>
      <c r="AI240" s="56">
        <f t="shared" si="19"/>
        <v>0</v>
      </c>
      <c r="AJ240" s="57">
        <f>AH240-AI240</f>
        <v>1</v>
      </c>
      <c r="AK240" s="58">
        <f t="shared" si="23"/>
        <v>0.15</v>
      </c>
      <c r="AL240" s="59">
        <f>AO240+AQ240-[2]Sheet1!$AH241</f>
        <v>0</v>
      </c>
      <c r="AM240" s="59">
        <f t="shared" si="25"/>
        <v>-1</v>
      </c>
      <c r="AN240" s="58">
        <f t="shared" si="21"/>
        <v>0</v>
      </c>
      <c r="AO240" s="59"/>
      <c r="AP240" s="58">
        <f t="shared" si="22"/>
        <v>-0.15</v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3</v>
      </c>
      <c r="AI241" s="56">
        <f t="shared" si="19"/>
        <v>0</v>
      </c>
      <c r="AJ241" s="57">
        <f t="shared" ref="AJ241:AJ264" si="27">AH241-AI241</f>
        <v>3</v>
      </c>
      <c r="AK241" s="58">
        <f>AH241*AG241/1000</f>
        <v>2.25</v>
      </c>
      <c r="AL241" s="59">
        <f>AO241+AQ241-[2]Sheet1!$AH242</f>
        <v>0</v>
      </c>
      <c r="AM241" s="59">
        <f t="shared" si="25"/>
        <v>-3</v>
      </c>
      <c r="AN241" s="58">
        <f t="shared" si="21"/>
        <v>0</v>
      </c>
      <c r="AO241" s="59"/>
      <c r="AP241" s="58">
        <f t="shared" si="22"/>
        <v>-2.25</v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7</v>
      </c>
      <c r="AI242" s="56">
        <f t="shared" si="19"/>
        <v>0</v>
      </c>
      <c r="AJ242" s="57">
        <f t="shared" si="27"/>
        <v>7</v>
      </c>
      <c r="AK242" s="58">
        <f t="shared" ref="AK242:AK267" si="28">AH242*AG242/1000</f>
        <v>28</v>
      </c>
      <c r="AL242" s="59">
        <f>AO242+AQ242-[2]Sheet1!$AH243</f>
        <v>0</v>
      </c>
      <c r="AM242" s="59">
        <f t="shared" si="25"/>
        <v>-7</v>
      </c>
      <c r="AN242" s="58">
        <f t="shared" si="21"/>
        <v>0</v>
      </c>
      <c r="AO242" s="59"/>
      <c r="AP242" s="58">
        <f t="shared" si="22"/>
        <v>-28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3</v>
      </c>
      <c r="AI251" s="56">
        <f t="shared" si="19"/>
        <v>0</v>
      </c>
      <c r="AJ251" s="57">
        <f t="shared" si="27"/>
        <v>3</v>
      </c>
      <c r="AK251" s="58">
        <f t="shared" si="28"/>
        <v>0.45</v>
      </c>
      <c r="AL251" s="59">
        <f>AO251+AQ251-[2]Sheet1!$AH252</f>
        <v>0</v>
      </c>
      <c r="AM251" s="59">
        <f t="shared" si="25"/>
        <v>-3</v>
      </c>
      <c r="AN251" s="58">
        <f t="shared" si="21"/>
        <v>0</v>
      </c>
      <c r="AO251" s="59"/>
      <c r="AP251" s="58">
        <f t="shared" si="22"/>
        <v>-0.45</v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4</v>
      </c>
      <c r="AI253" s="56">
        <f t="shared" si="19"/>
        <v>0</v>
      </c>
      <c r="AJ253" s="57">
        <f t="shared" si="27"/>
        <v>4</v>
      </c>
      <c r="AK253" s="58">
        <f t="shared" si="28"/>
        <v>0.6</v>
      </c>
      <c r="AL253" s="59">
        <f>AO253+AQ253-[2]Sheet1!$AH254</f>
        <v>0</v>
      </c>
      <c r="AM253" s="59">
        <f t="shared" si="25"/>
        <v>-4</v>
      </c>
      <c r="AN253" s="58">
        <f t="shared" si="21"/>
        <v>0</v>
      </c>
      <c r="AO253" s="59"/>
      <c r="AP253" s="58">
        <f t="shared" si="22"/>
        <v>-0.6</v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1</v>
      </c>
      <c r="AI254" s="56">
        <f t="shared" si="19"/>
        <v>0</v>
      </c>
      <c r="AJ254" s="57">
        <f t="shared" si="27"/>
        <v>1</v>
      </c>
      <c r="AK254" s="58">
        <f t="shared" si="28"/>
        <v>0.75</v>
      </c>
      <c r="AL254" s="59">
        <f>AO254+AQ254-[2]Sheet1!$AH255</f>
        <v>0</v>
      </c>
      <c r="AM254" s="59">
        <f t="shared" si="25"/>
        <v>-1</v>
      </c>
      <c r="AN254" s="58">
        <f t="shared" si="21"/>
        <v>0</v>
      </c>
      <c r="AO254" s="59"/>
      <c r="AP254" s="58">
        <f t="shared" si="22"/>
        <v>-0.75</v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114">
    <mergeCell ref="H34:H35"/>
    <mergeCell ref="G34:G35"/>
    <mergeCell ref="AD34:AD35"/>
    <mergeCell ref="AC34:AC35"/>
    <mergeCell ref="AB34:AB35"/>
    <mergeCell ref="AA34:AA35"/>
    <mergeCell ref="N34:N35"/>
    <mergeCell ref="M34:M35"/>
    <mergeCell ref="L34:L35"/>
    <mergeCell ref="J34:J35"/>
    <mergeCell ref="I34:I35"/>
    <mergeCell ref="M30:M32"/>
    <mergeCell ref="N30:N32"/>
    <mergeCell ref="AD30:AD32"/>
    <mergeCell ref="AC30:AC32"/>
    <mergeCell ref="AB30:AB32"/>
    <mergeCell ref="AA30:AA32"/>
    <mergeCell ref="G30:G32"/>
    <mergeCell ref="H30:H32"/>
    <mergeCell ref="I30:I32"/>
    <mergeCell ref="J30:J32"/>
    <mergeCell ref="L30:L32"/>
    <mergeCell ref="M26:M29"/>
    <mergeCell ref="N26:N29"/>
    <mergeCell ref="AC26:AC29"/>
    <mergeCell ref="AD26:AD29"/>
    <mergeCell ref="AB26:AB29"/>
    <mergeCell ref="AA26:AA29"/>
    <mergeCell ref="G26:G29"/>
    <mergeCell ref="H26:H29"/>
    <mergeCell ref="I26:I29"/>
    <mergeCell ref="J26:J29"/>
    <mergeCell ref="L26:L29"/>
    <mergeCell ref="AD21:AD22"/>
    <mergeCell ref="G23:G24"/>
    <mergeCell ref="H23:H24"/>
    <mergeCell ref="I23:I24"/>
    <mergeCell ref="J23:J24"/>
    <mergeCell ref="L23:L24"/>
    <mergeCell ref="M23:M24"/>
    <mergeCell ref="N23:N24"/>
    <mergeCell ref="AD23:AD24"/>
    <mergeCell ref="AC23:AC24"/>
    <mergeCell ref="AB23:AB24"/>
    <mergeCell ref="AA23:AA24"/>
    <mergeCell ref="H21:H22"/>
    <mergeCell ref="G21:G22"/>
    <mergeCell ref="AA21:AA22"/>
    <mergeCell ref="AB21:AB22"/>
    <mergeCell ref="AC21:AC22"/>
    <mergeCell ref="N21:N22"/>
    <mergeCell ref="M21:M22"/>
    <mergeCell ref="L21:L22"/>
    <mergeCell ref="J21:J22"/>
    <mergeCell ref="I21:I22"/>
    <mergeCell ref="H17:H18"/>
    <mergeCell ref="G17:G18"/>
    <mergeCell ref="AD17:AD18"/>
    <mergeCell ref="AC17:AC18"/>
    <mergeCell ref="AB17:AB18"/>
    <mergeCell ref="AA17:AA18"/>
    <mergeCell ref="N17:N18"/>
    <mergeCell ref="M17:M18"/>
    <mergeCell ref="L17:L18"/>
    <mergeCell ref="J17:J18"/>
    <mergeCell ref="I17:I18"/>
    <mergeCell ref="AA14:AA16"/>
    <mergeCell ref="AD14:AD16"/>
    <mergeCell ref="AC14:AC16"/>
    <mergeCell ref="AB14:AB16"/>
    <mergeCell ref="G14:G16"/>
    <mergeCell ref="H14:H16"/>
    <mergeCell ref="I14:I16"/>
    <mergeCell ref="J14:J16"/>
    <mergeCell ref="L14:L16"/>
    <mergeCell ref="M14:M16"/>
    <mergeCell ref="N14:N16"/>
    <mergeCell ref="H9:H10"/>
    <mergeCell ref="G9:G10"/>
    <mergeCell ref="AD9:AD10"/>
    <mergeCell ref="AC9:AC10"/>
    <mergeCell ref="AB9:AB10"/>
    <mergeCell ref="AA9:AA10"/>
    <mergeCell ref="N9:N10"/>
    <mergeCell ref="M9:M10"/>
    <mergeCell ref="L9:L10"/>
    <mergeCell ref="J9:J10"/>
    <mergeCell ref="I9:I10"/>
    <mergeCell ref="G7:G8"/>
    <mergeCell ref="AA7:AA8"/>
    <mergeCell ref="AB7:AB8"/>
    <mergeCell ref="AC7:AC8"/>
    <mergeCell ref="AD7:AD8"/>
    <mergeCell ref="M7:M8"/>
    <mergeCell ref="L7:L8"/>
    <mergeCell ref="J7:J8"/>
    <mergeCell ref="I7:I8"/>
    <mergeCell ref="H7:H8"/>
    <mergeCell ref="AD2:AD4"/>
    <mergeCell ref="AC2:AC4"/>
    <mergeCell ref="AB2:AB4"/>
    <mergeCell ref="AA2:AA4"/>
    <mergeCell ref="N7:N8"/>
    <mergeCell ref="A1:B1"/>
    <mergeCell ref="C1:D1"/>
    <mergeCell ref="E1:F1"/>
    <mergeCell ref="U1:V1"/>
    <mergeCell ref="N2:N4"/>
    <mergeCell ref="M2:M4"/>
    <mergeCell ref="L2:L4"/>
    <mergeCell ref="J2:J4"/>
    <mergeCell ref="I2:I4"/>
    <mergeCell ref="H2:H4"/>
    <mergeCell ref="G2:G4"/>
  </mergeCells>
  <conditionalFormatting sqref="G2:J2 AD2 J5:J7 AD5:AD7 J9 AD9 G11:J14 AD11:AD14 AD17 G17:J17 G19:J21 AD19:AD21 G23:J23 AD23 G25:J26 AD25:AD26 G30:J30 AD30 G33:J34 AD33:AD34 G36:J200 AD36:AD200 Z2:Z200">
    <cfRule type="expression" dxfId="21" priority="63">
      <formula>$A2</formula>
    </cfRule>
    <cfRule type="expression" dxfId="20" priority="65">
      <formula>$E2</formula>
    </cfRule>
  </conditionalFormatting>
  <conditionalFormatting sqref="G2:AF2 J5:J7 H5:H7 K3:K10 O3:P10 AA5:AF7 AE3:AF4 J9 H9 AA9:AF9 AE8:AF8 G11:P14 AA11:AF14 AE10:AF10 AA17:AF17 AE15:AF16 G17:P17 K15:K16 O15:P16 G19:P21 O18:P18 K18 AA19:AF21 AE18:AF18 G23:P23 O22:P22 K22 AA23:AF23 AE22:AF22 G25:P26 K24 O24:P24 AA25:AF26 AE24:AF24 G30:P30 K27:K29 O27:P29 AA30:AF30 AE27:AF29 G33:P34 K31:K32 O31:P32 AA33:AF34 AE31:AF32 G36:P200 O35:P35 K35 AA36:AF200 AE35:AF35 Q3:Z200">
    <cfRule type="expression" dxfId="0" priority="64">
      <formula>$C2</formula>
    </cfRule>
  </conditionalFormatting>
  <conditionalFormatting sqref="W2:W200">
    <cfRule type="expression" dxfId="19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{E4FA348B-969C-4DC0-9202-6247C2895BD6}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{050DDB7E-1C58-4C1B-9C68-3C45A48E7EE7}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{D418C128-3EEF-48B7-886F-39DB72D39675}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{6D8FC341-544B-4FA4-B957-F190677D4630}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{FFBC0C7D-E310-403F-B888-B05A38863C16}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{D08C5729-B7C9-4384-B010-26255CF4375D}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{02B5FB4B-EE7C-4562-BF17-B011EBDE127F}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{6AB5F93F-98B3-4AD1-9928-66AADD46731A}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{1D74312B-84F4-474D-9158-4DC89FEC6E0C}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{091DD99A-1BD4-4A0B-A4C0-115E787C1B84}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{97081811-B958-482D-9ACE-99DAA49E23A4}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{4EE7B8FE-CC85-4A87-8155-1262A2BCCD4C}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{65D70AB4-732C-4423-9A1F-A80CF2BE6DAC}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{B2281D84-8AEA-48C9-9F3C-0A3B94F46EE1}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{0BCB0E43-A98C-480F-A15E-1FAB0EC8B78D}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{F8193D0E-5D20-4DA3-A686-D093D6544F9E}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{F74626C6-3952-4E65-9D32-7B7747D479EA}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{811CF813-6FEA-4BC1-85F0-221CA6BA182A}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{6F80F423-057A-4244-9C41-400D0A086D74}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{C03114DD-579F-44F2-8DE9-19A30981E5B4}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{52AC9A8B-51D4-4A17-A7E9-C8111867E658}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{3C880E90-7757-4196-86FE-AA9A339D28C1}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{A01E591B-2137-4CDE-9ED4-06441F184F73}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{2631E8A1-466D-4039-B2BD-1DEDCFA38DB2}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{C2BDAEE2-2731-4DBC-A110-03FEA689CCC1}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{E5AF826C-906C-4795-BB75-E21A4F6EFBDB}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{E9873674-1D06-43D4-B207-A48FAB48E4B8}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{0924D060-6EEF-4C5F-9681-2F5248A814E3}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{B5715952-8620-419F-9016-1ED0F43044E1}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{E8E0E4BD-E09A-4795-B820-87B3D71066B2}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{E4B25073-9F4C-4A4F-AA9B-4B66D05AC608}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{FA2C3470-4E39-4241-B5EF-1F0F4291230E}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{0259AFB2-D96F-47EE-A310-D718576D35BB}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{B416A04E-3736-4B3D-A731-3F78BDCC1FED}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{8D551E31-D386-4526-82C6-8ACFB841E5B5}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{47989C65-8E96-4DC7-8A8D-AAE1CA77A09B}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{08092E3C-69BC-4BA4-9F85-33A86E0649E5}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{7B86719D-67F8-4894-9761-D0FA746F12C6}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{4E1D348C-B5A0-41ED-8193-28C07337ED35}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{4657EB90-9E2F-4B40-9AAD-389A724C4589}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{48879D92-3A99-447B-ACA3-86BF9B4C760E}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{3AFD5FC0-84A3-4C01-B161-8BDAF7B06862}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{A668E1EB-B499-444A-859E-26AED5A83CDC}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{02D23F8E-22B1-4ABB-83CF-2C856BDE3B8C}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{06392355-664E-4A46-B444-E41CAFF9F118}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{8CFD0A06-AEBA-4AE2-A238-F5CBC9AAA400}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{E0E4FFF3-767F-4883-819B-2ABC5215D339}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{4BBE81E9-3FC1-47FE-88C5-3D7F44807CF6}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{C8BE9920-A770-4786-8333-8BB94CB701BD}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{05C4FA85-D4FF-4DA4-B7E4-B5E4E0122F34}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{333E1ABB-0612-4754-8AB9-8BFD159145E5}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{EFA058DB-2D3B-4B5F-9D96-1E05DCF13149}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{CF4E49AC-BCEB-4F2E-968B-38DDE432E2CE}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{7BEA6415-D743-40FF-A886-7926CB69963B}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{EABB75C8-AED6-4804-9852-850C563FE4C2}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{E64C8AA7-546F-4EBC-8310-53B56E8F6DC6}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{AD008F81-8400-400C-A01E-3D0186461F2A}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{81230A35-4389-4DB4-873A-515661E8A020}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{8F7C3FA8-7272-4116-AA61-E370249EE26F}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{BD9BAF7E-3631-49BE-A2AD-881C801E7830}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{DB602E9D-B694-4103-846F-32CB10A65F00}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FA348B-969C-4DC0-9202-6247C2895BD6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050DDB7E-1C58-4C1B-9C68-3C45A48E7EE7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D418C128-3EEF-48B7-886F-39DB72D39675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6D8FC341-544B-4FA4-B957-F190677D4630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FFBC0C7D-E310-403F-B888-B05A38863C16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D08C5729-B7C9-4384-B010-26255CF4375D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02B5FB4B-EE7C-4562-BF17-B011EBDE127F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6AB5F93F-98B3-4AD1-9928-66AADD46731A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D74312B-84F4-474D-9158-4DC89FEC6E0C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091DD99A-1BD4-4A0B-A4C0-115E787C1B84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97081811-B958-482D-9ACE-99DAA49E23A4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4EE7B8FE-CC85-4A87-8155-1262A2BCCD4C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65D70AB4-732C-4423-9A1F-A80CF2BE6DAC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B2281D84-8AEA-48C9-9F3C-0A3B94F46EE1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0BCB0E43-A98C-480F-A15E-1FAB0EC8B78D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F8193D0E-5D20-4DA3-A686-D093D6544F9E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F74626C6-3952-4E65-9D32-7B7747D479EA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811CF813-6FEA-4BC1-85F0-221CA6BA182A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6F80F423-057A-4244-9C41-400D0A086D74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C03114DD-579F-44F2-8DE9-19A30981E5B4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52AC9A8B-51D4-4A17-A7E9-C8111867E658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3C880E90-7757-4196-86FE-AA9A339D28C1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A01E591B-2137-4CDE-9ED4-06441F184F73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2631E8A1-466D-4039-B2BD-1DEDCFA38DB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C2BDAEE2-2731-4DBC-A110-03FEA689CCC1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E5AF826C-906C-4795-BB75-E21A4F6EFBDB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E9873674-1D06-43D4-B207-A48FAB48E4B8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924D060-6EEF-4C5F-9681-2F5248A814E3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B5715952-8620-419F-9016-1ED0F43044E1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E8E0E4BD-E09A-4795-B820-87B3D71066B2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E4B25073-9F4C-4A4F-AA9B-4B66D05AC608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FA2C3470-4E39-4241-B5EF-1F0F4291230E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0259AFB2-D96F-47EE-A310-D718576D35BB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B416A04E-3736-4B3D-A731-3F78BDCC1FE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8D551E31-D386-4526-82C6-8ACFB841E5B5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47989C65-8E96-4DC7-8A8D-AAE1CA77A09B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08092E3C-69BC-4BA4-9F85-33A86E0649E5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7B86719D-67F8-4894-9761-D0FA746F12C6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4E1D348C-B5A0-41ED-8193-28C07337ED35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4657EB90-9E2F-4B40-9AAD-389A724C4589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48879D92-3A99-447B-ACA3-86BF9B4C760E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3AFD5FC0-84A3-4C01-B161-8BDAF7B06862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A668E1EB-B499-444A-859E-26AED5A83CDC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02D23F8E-22B1-4ABB-83CF-2C856BDE3B8C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06392355-664E-4A46-B444-E41CAFF9F118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8CFD0A06-AEBA-4AE2-A238-F5CBC9AAA400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E0E4FFF3-767F-4883-819B-2ABC5215D33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4BBE81E9-3FC1-47FE-88C5-3D7F44807CF6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C8BE9920-A770-4786-8333-8BB94CB701BD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05C4FA85-D4FF-4DA4-B7E4-B5E4E0122F34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33E1ABB-0612-4754-8AB9-8BFD159145E5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EFA058DB-2D3B-4B5F-9D96-1E05DCF13149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CF4E49AC-BCEB-4F2E-968B-38DDE432E2CE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BEA6415-D743-40FF-A886-7926CB69963B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EABB75C8-AED6-4804-9852-850C563FE4C2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E64C8AA7-546F-4EBC-8310-53B56E8F6DC6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AD008F81-8400-400C-A01E-3D0186461F2A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81230A35-4389-4DB4-873A-515661E8A020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8F7C3FA8-7272-4116-AA61-E370249EE26F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D9BAF7E-3631-49BE-A2AD-881C801E7830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DB602E9D-B694-4103-846F-32CB10A65F00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97E0D-855D-4001-AC43-ABA0F4562ABB}">
  <dimension ref="A1:AR267"/>
  <sheetViews>
    <sheetView rightToLeft="1" topLeftCell="G1" workbookViewId="0">
      <selection activeCell="J4" sqref="J4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2.88671875" style="28" bestFit="1" customWidth="1"/>
    <col min="9" max="10" width="16.33203125" style="24" customWidth="1"/>
    <col min="11" max="11" width="14.109375" style="24" bestFit="1" customWidth="1"/>
    <col min="12" max="14" width="20.77734375" style="24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3.3320312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1" t="s">
        <v>0</v>
      </c>
      <c r="B1" s="152"/>
      <c r="C1" s="151" t="s">
        <v>1</v>
      </c>
      <c r="D1" s="152"/>
      <c r="E1" s="151" t="s">
        <v>2</v>
      </c>
      <c r="F1" s="152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3" t="s">
        <v>17</v>
      </c>
      <c r="V1" s="154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9"/>
      <c r="H2" s="10"/>
      <c r="I2" s="9"/>
      <c r="J2" s="9"/>
      <c r="K2" s="11" t="str">
        <f t="shared" ref="K2:K65" ca="1" si="0">IF(C2, TODAY(), "" )</f>
        <v/>
      </c>
      <c r="L2" s="12"/>
      <c r="M2" s="12"/>
      <c r="N2" s="12"/>
      <c r="O2" s="9"/>
      <c r="P2" s="9"/>
      <c r="Q2" s="13" t="e">
        <f>VLOOKUP(O2, '[1]لیست محصولات اردیبهشت ۱۴۰۳'!B:C,2,0)</f>
        <v>#N/A</v>
      </c>
      <c r="R2" s="9"/>
      <c r="S2" s="12" t="e">
        <f>VLOOKUP(O2, '[1]لیست محصولات اردیبهشت ۱۴۰۳'!B:F,5,0)</f>
        <v>#N/A</v>
      </c>
      <c r="T2" s="14" t="e">
        <f>VLOOKUP(O2, '[1]لیست محصولات اردیبهشت ۱۴۰۳'!B:G,6,0)</f>
        <v>#N/A</v>
      </c>
      <c r="U2" s="15"/>
      <c r="V2" s="16">
        <f t="shared" ref="V2:V65" si="1">IF(C2, P2, U2 )</f>
        <v>0</v>
      </c>
      <c r="W2" s="12">
        <f t="shared" ref="W2:W65" si="2">P2-V2</f>
        <v>0</v>
      </c>
      <c r="X2" s="14" t="e">
        <f t="shared" ref="X2:X65" si="3">P2*T2</f>
        <v>#N/A</v>
      </c>
      <c r="Y2" s="17"/>
      <c r="Z2" s="14" t="e">
        <f t="shared" ref="Z2:Z65" si="4">X2-Y2</f>
        <v>#N/A</v>
      </c>
      <c r="AA2" s="18"/>
      <c r="AB2" s="13"/>
      <c r="AC2" s="19"/>
      <c r="AD2" s="20"/>
      <c r="AE2" s="19"/>
      <c r="AF2" s="21"/>
      <c r="AG2" s="22" t="str">
        <f t="shared" ref="AG2:AG65" si="5">IF(V2=P2, "FALSE", "TRUE" )</f>
        <v>FALSE</v>
      </c>
      <c r="AH2" s="23" t="str">
        <f>AA2&amp;" "&amp;AB2&amp;" "&amp;N2&amp;" - "&amp;L2&amp;" "&amp;M2&amp;" "&amp;AC2</f>
        <v xml:space="preserve">   -   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9"/>
      <c r="H3" s="10"/>
      <c r="I3" s="9"/>
      <c r="J3" s="9"/>
      <c r="K3" s="11" t="str">
        <f t="shared" ca="1" si="0"/>
        <v/>
      </c>
      <c r="L3" s="12"/>
      <c r="M3" s="12"/>
      <c r="N3" s="12"/>
      <c r="O3" s="9"/>
      <c r="P3" s="9"/>
      <c r="Q3" s="13" t="e">
        <f>VLOOKUP(O3, '[1]لیست محصولات اردیبهشت ۱۴۰۳'!B:C,2,0)</f>
        <v>#N/A</v>
      </c>
      <c r="R3" s="9"/>
      <c r="S3" s="12" t="e">
        <f>VLOOKUP(O3, '[1]لیست محصولات اردیبهشت ۱۴۰۳'!B:F,5,0)</f>
        <v>#N/A</v>
      </c>
      <c r="T3" s="14" t="e">
        <f>VLOOKUP(O3, '[1]لیست محصولات اردیبهشت ۱۴۰۳'!B:G,6,0)</f>
        <v>#N/A</v>
      </c>
      <c r="U3" s="15"/>
      <c r="V3" s="16">
        <f t="shared" si="1"/>
        <v>0</v>
      </c>
      <c r="W3" s="12">
        <f t="shared" si="2"/>
        <v>0</v>
      </c>
      <c r="X3" s="14" t="e">
        <f t="shared" si="3"/>
        <v>#N/A</v>
      </c>
      <c r="Y3" s="17"/>
      <c r="Z3" s="14" t="e">
        <f t="shared" si="4"/>
        <v>#N/A</v>
      </c>
      <c r="AA3" s="18"/>
      <c r="AB3" s="13"/>
      <c r="AC3" s="19"/>
      <c r="AD3" s="20"/>
      <c r="AE3" s="19"/>
      <c r="AF3" s="21"/>
      <c r="AG3" s="22" t="str">
        <f t="shared" si="5"/>
        <v>FALSE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9"/>
      <c r="H4" s="10"/>
      <c r="I4" s="25"/>
      <c r="J4" s="9"/>
      <c r="K4" s="11" t="str">
        <f t="shared" ca="1" si="0"/>
        <v/>
      </c>
      <c r="L4" s="12"/>
      <c r="M4" s="12"/>
      <c r="N4" s="12"/>
      <c r="O4" s="9"/>
      <c r="P4" s="9"/>
      <c r="Q4" s="13" t="e">
        <f>VLOOKUP(O4, '[1]لیست محصولات اردیبهشت ۱۴۰۳'!B:C,2,0)</f>
        <v>#N/A</v>
      </c>
      <c r="R4" s="9"/>
      <c r="S4" s="12" t="e">
        <f>VLOOKUP(O4, '[1]لیست محصولات اردیبهشت ۱۴۰۳'!B:F,5,0)</f>
        <v>#N/A</v>
      </c>
      <c r="T4" s="14" t="e">
        <f>VLOOKUP(O4, '[1]لیست محصولات اردیبهشت ۱۴۰۳'!B:G,6,0)</f>
        <v>#N/A</v>
      </c>
      <c r="U4" s="15"/>
      <c r="V4" s="16">
        <f t="shared" si="1"/>
        <v>0</v>
      </c>
      <c r="W4" s="12">
        <f t="shared" si="2"/>
        <v>0</v>
      </c>
      <c r="X4" s="14" t="e">
        <f t="shared" si="3"/>
        <v>#N/A</v>
      </c>
      <c r="Y4" s="17"/>
      <c r="Z4" s="14" t="e">
        <f t="shared" si="4"/>
        <v>#N/A</v>
      </c>
      <c r="AA4" s="18"/>
      <c r="AB4" s="13"/>
      <c r="AC4" s="19"/>
      <c r="AD4" s="20"/>
      <c r="AE4" s="19"/>
      <c r="AF4" s="21"/>
      <c r="AG4" s="22" t="str">
        <f t="shared" si="5"/>
        <v>FALSE</v>
      </c>
      <c r="AH4" s="23" t="str">
        <f t="shared" ref="AH4:AH67" si="6">AA4&amp;" "&amp;AB4&amp;" "&amp;N4&amp;" - "&amp;L4&amp;" "&amp;M4&amp;" "&amp;AC4</f>
        <v xml:space="preserve">   -   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9"/>
      <c r="H5" s="10"/>
      <c r="I5" s="25"/>
      <c r="J5" s="9"/>
      <c r="K5" s="11" t="str">
        <f t="shared" ca="1" si="0"/>
        <v/>
      </c>
      <c r="L5" s="12"/>
      <c r="M5" s="12"/>
      <c r="N5" s="12"/>
      <c r="O5" s="9"/>
      <c r="P5" s="9"/>
      <c r="Q5" s="13" t="e">
        <f>VLOOKUP(O5, '[1]لیست محصولات اردیبهشت ۱۴۰۳'!B:C,2,0)</f>
        <v>#N/A</v>
      </c>
      <c r="R5" s="9"/>
      <c r="S5" s="12" t="e">
        <f>VLOOKUP(O5, '[1]لیست محصولات اردیبهشت ۱۴۰۳'!B:F,5,0)</f>
        <v>#N/A</v>
      </c>
      <c r="T5" s="14" t="e">
        <f>VLOOKUP(O5, '[1]لیست محصولات اردیبهشت ۱۴۰۳'!B:G,6,0)</f>
        <v>#N/A</v>
      </c>
      <c r="U5" s="15"/>
      <c r="V5" s="16">
        <f t="shared" si="1"/>
        <v>0</v>
      </c>
      <c r="W5" s="12">
        <f t="shared" si="2"/>
        <v>0</v>
      </c>
      <c r="X5" s="14" t="e">
        <f t="shared" si="3"/>
        <v>#N/A</v>
      </c>
      <c r="Y5" s="17"/>
      <c r="Z5" s="14" t="e">
        <f t="shared" si="4"/>
        <v>#N/A</v>
      </c>
      <c r="AA5" s="18"/>
      <c r="AB5" s="13"/>
      <c r="AC5" s="19"/>
      <c r="AD5" s="20"/>
      <c r="AE5" s="19"/>
      <c r="AF5" s="21"/>
      <c r="AG5" s="22" t="str">
        <f t="shared" si="5"/>
        <v>FALSE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0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1"/>
        <v>0</v>
      </c>
      <c r="W6" s="12">
        <f t="shared" si="2"/>
        <v>0</v>
      </c>
      <c r="X6" s="14" t="e">
        <f t="shared" si="3"/>
        <v>#N/A</v>
      </c>
      <c r="Y6" s="17"/>
      <c r="Z6" s="14" t="e">
        <f t="shared" si="4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0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1"/>
        <v>0</v>
      </c>
      <c r="W7" s="12">
        <f t="shared" si="2"/>
        <v>0</v>
      </c>
      <c r="X7" s="14" t="e">
        <f t="shared" si="3"/>
        <v>#N/A</v>
      </c>
      <c r="Y7" s="17"/>
      <c r="Z7" s="14" t="e">
        <f t="shared" si="4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0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1"/>
        <v>0</v>
      </c>
      <c r="W8" s="12">
        <f t="shared" si="2"/>
        <v>0</v>
      </c>
      <c r="X8" s="14" t="e">
        <f t="shared" si="3"/>
        <v>#N/A</v>
      </c>
      <c r="Y8" s="17"/>
      <c r="Z8" s="14" t="e">
        <f t="shared" si="4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0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1"/>
        <v>0</v>
      </c>
      <c r="W9" s="12">
        <f t="shared" si="2"/>
        <v>0</v>
      </c>
      <c r="X9" s="14" t="e">
        <f t="shared" si="3"/>
        <v>#N/A</v>
      </c>
      <c r="Y9" s="17"/>
      <c r="Z9" s="14" t="e">
        <f t="shared" si="4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0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1"/>
        <v>0</v>
      </c>
      <c r="W10" s="12">
        <f t="shared" si="2"/>
        <v>0</v>
      </c>
      <c r="X10" s="14" t="e">
        <f t="shared" si="3"/>
        <v>#N/A</v>
      </c>
      <c r="Y10" s="17"/>
      <c r="Z10" s="14" t="e">
        <f t="shared" si="4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0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1"/>
        <v>0</v>
      </c>
      <c r="W11" s="12">
        <f t="shared" si="2"/>
        <v>0</v>
      </c>
      <c r="X11" s="14" t="e">
        <f t="shared" si="3"/>
        <v>#N/A</v>
      </c>
      <c r="Y11" s="17"/>
      <c r="Z11" s="14" t="e">
        <f t="shared" si="4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0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1"/>
        <v>0</v>
      </c>
      <c r="W12" s="12">
        <f t="shared" si="2"/>
        <v>0</v>
      </c>
      <c r="X12" s="14" t="e">
        <f t="shared" si="3"/>
        <v>#N/A</v>
      </c>
      <c r="Y12" s="17"/>
      <c r="Z12" s="14" t="e">
        <f t="shared" si="4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0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1"/>
        <v>0</v>
      </c>
      <c r="W13" s="12">
        <f t="shared" si="2"/>
        <v>0</v>
      </c>
      <c r="X13" s="14" t="e">
        <f t="shared" si="3"/>
        <v>#N/A</v>
      </c>
      <c r="Y13" s="17"/>
      <c r="Z13" s="14" t="e">
        <f t="shared" si="4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0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1"/>
        <v>0</v>
      </c>
      <c r="W14" s="12">
        <f t="shared" si="2"/>
        <v>0</v>
      </c>
      <c r="X14" s="14" t="e">
        <f t="shared" si="3"/>
        <v>#N/A</v>
      </c>
      <c r="Y14" s="17"/>
      <c r="Z14" s="14" t="e">
        <f t="shared" si="4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0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1"/>
        <v>0</v>
      </c>
      <c r="W15" s="12">
        <f t="shared" si="2"/>
        <v>0</v>
      </c>
      <c r="X15" s="14" t="e">
        <f t="shared" si="3"/>
        <v>#N/A</v>
      </c>
      <c r="Y15" s="17"/>
      <c r="Z15" s="14" t="e">
        <f t="shared" si="4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0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1"/>
        <v>0</v>
      </c>
      <c r="W16" s="12">
        <f t="shared" si="2"/>
        <v>0</v>
      </c>
      <c r="X16" s="14" t="e">
        <f t="shared" si="3"/>
        <v>#N/A</v>
      </c>
      <c r="Y16" s="17"/>
      <c r="Z16" s="14" t="e">
        <f t="shared" si="4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0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1"/>
        <v>0</v>
      </c>
      <c r="W17" s="12">
        <f t="shared" si="2"/>
        <v>0</v>
      </c>
      <c r="X17" s="14" t="e">
        <f t="shared" si="3"/>
        <v>#N/A</v>
      </c>
      <c r="Y17" s="17"/>
      <c r="Z17" s="14" t="e">
        <f t="shared" si="4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0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1"/>
        <v>0</v>
      </c>
      <c r="W18" s="12">
        <f t="shared" si="2"/>
        <v>0</v>
      </c>
      <c r="X18" s="14" t="e">
        <f t="shared" si="3"/>
        <v>#N/A</v>
      </c>
      <c r="Y18" s="17"/>
      <c r="Z18" s="14" t="e">
        <f t="shared" si="4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0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1"/>
        <v>0</v>
      </c>
      <c r="W19" s="12">
        <f t="shared" si="2"/>
        <v>0</v>
      </c>
      <c r="X19" s="14" t="e">
        <f t="shared" si="3"/>
        <v>#N/A</v>
      </c>
      <c r="Y19" s="17"/>
      <c r="Z19" s="14" t="e">
        <f t="shared" si="4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0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1"/>
        <v>0</v>
      </c>
      <c r="W20" s="12">
        <f t="shared" si="2"/>
        <v>0</v>
      </c>
      <c r="X20" s="14" t="e">
        <f t="shared" si="3"/>
        <v>#N/A</v>
      </c>
      <c r="Y20" s="17"/>
      <c r="Z20" s="14" t="e">
        <f t="shared" si="4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0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1"/>
        <v>0</v>
      </c>
      <c r="W21" s="12">
        <f t="shared" si="2"/>
        <v>0</v>
      </c>
      <c r="X21" s="14" t="e">
        <f t="shared" si="3"/>
        <v>#N/A</v>
      </c>
      <c r="Y21" s="17"/>
      <c r="Z21" s="14" t="e">
        <f t="shared" si="4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0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1"/>
        <v>0</v>
      </c>
      <c r="W22" s="12">
        <f t="shared" si="2"/>
        <v>0</v>
      </c>
      <c r="X22" s="14" t="e">
        <f t="shared" si="3"/>
        <v>#N/A</v>
      </c>
      <c r="Y22" s="17"/>
      <c r="Z22" s="14" t="e">
        <f t="shared" si="4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0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1"/>
        <v>0</v>
      </c>
      <c r="W23" s="12">
        <f t="shared" si="2"/>
        <v>0</v>
      </c>
      <c r="X23" s="14" t="e">
        <f t="shared" si="3"/>
        <v>#N/A</v>
      </c>
      <c r="Y23" s="17"/>
      <c r="Z23" s="14" t="e">
        <f t="shared" si="4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0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1"/>
        <v>0</v>
      </c>
      <c r="W24" s="12">
        <f t="shared" si="2"/>
        <v>0</v>
      </c>
      <c r="X24" s="14" t="e">
        <f t="shared" si="3"/>
        <v>#N/A</v>
      </c>
      <c r="Y24" s="17"/>
      <c r="Z24" s="14" t="e">
        <f t="shared" si="4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0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1"/>
        <v>0</v>
      </c>
      <c r="W25" s="12">
        <f t="shared" si="2"/>
        <v>0</v>
      </c>
      <c r="X25" s="14" t="e">
        <f t="shared" si="3"/>
        <v>#N/A</v>
      </c>
      <c r="Y25" s="17"/>
      <c r="Z25" s="14" t="e">
        <f t="shared" si="4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0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1"/>
        <v>0</v>
      </c>
      <c r="W26" s="12">
        <f t="shared" si="2"/>
        <v>0</v>
      </c>
      <c r="X26" s="14" t="e">
        <f t="shared" si="3"/>
        <v>#N/A</v>
      </c>
      <c r="Y26" s="17"/>
      <c r="Z26" s="14" t="e">
        <f t="shared" si="4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0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1"/>
        <v>0</v>
      </c>
      <c r="W27" s="12">
        <f t="shared" si="2"/>
        <v>0</v>
      </c>
      <c r="X27" s="14" t="e">
        <f t="shared" si="3"/>
        <v>#N/A</v>
      </c>
      <c r="Y27" s="17"/>
      <c r="Z27" s="14" t="e">
        <f t="shared" si="4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0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1"/>
        <v>0</v>
      </c>
      <c r="W28" s="12">
        <f t="shared" si="2"/>
        <v>0</v>
      </c>
      <c r="X28" s="14" t="e">
        <f t="shared" si="3"/>
        <v>#N/A</v>
      </c>
      <c r="Y28" s="17"/>
      <c r="Z28" s="14" t="e">
        <f t="shared" si="4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0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1"/>
        <v>0</v>
      </c>
      <c r="W29" s="12">
        <f t="shared" si="2"/>
        <v>0</v>
      </c>
      <c r="X29" s="14" t="e">
        <f t="shared" si="3"/>
        <v>#N/A</v>
      </c>
      <c r="Y29" s="17"/>
      <c r="Z29" s="14" t="e">
        <f t="shared" si="4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0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1"/>
        <v>0</v>
      </c>
      <c r="W30" s="12">
        <f t="shared" si="2"/>
        <v>0</v>
      </c>
      <c r="X30" s="14" t="e">
        <f t="shared" si="3"/>
        <v>#N/A</v>
      </c>
      <c r="Y30" s="17"/>
      <c r="Z30" s="14" t="e">
        <f t="shared" si="4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0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1"/>
        <v>0</v>
      </c>
      <c r="W31" s="12">
        <f t="shared" si="2"/>
        <v>0</v>
      </c>
      <c r="X31" s="14" t="e">
        <f t="shared" si="3"/>
        <v>#N/A</v>
      </c>
      <c r="Y31" s="17"/>
      <c r="Z31" s="14" t="e">
        <f t="shared" si="4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0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1"/>
        <v>0</v>
      </c>
      <c r="W32" s="12">
        <f t="shared" si="2"/>
        <v>0</v>
      </c>
      <c r="X32" s="14" t="e">
        <f t="shared" si="3"/>
        <v>#N/A</v>
      </c>
      <c r="Y32" s="17"/>
      <c r="Z32" s="14" t="e">
        <f t="shared" si="4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0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1"/>
        <v>0</v>
      </c>
      <c r="W33" s="12">
        <f t="shared" si="2"/>
        <v>0</v>
      </c>
      <c r="X33" s="14" t="e">
        <f t="shared" si="3"/>
        <v>#N/A</v>
      </c>
      <c r="Y33" s="17"/>
      <c r="Z33" s="14" t="e">
        <f t="shared" si="4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0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1"/>
        <v>0</v>
      </c>
      <c r="W34" s="12">
        <f t="shared" si="2"/>
        <v>0</v>
      </c>
      <c r="X34" s="14" t="e">
        <f t="shared" si="3"/>
        <v>#N/A</v>
      </c>
      <c r="Y34" s="17"/>
      <c r="Z34" s="14" t="e">
        <f t="shared" si="4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0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1"/>
        <v>0</v>
      </c>
      <c r="W35" s="12">
        <f t="shared" si="2"/>
        <v>0</v>
      </c>
      <c r="X35" s="14" t="e">
        <f t="shared" si="3"/>
        <v>#N/A</v>
      </c>
      <c r="Y35" s="17"/>
      <c r="Z35" s="14" t="e">
        <f t="shared" si="4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0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1"/>
        <v>0</v>
      </c>
      <c r="W36" s="12">
        <f t="shared" si="2"/>
        <v>0</v>
      </c>
      <c r="X36" s="14" t="e">
        <f t="shared" si="3"/>
        <v>#N/A</v>
      </c>
      <c r="Y36" s="17"/>
      <c r="Z36" s="14" t="e">
        <f t="shared" si="4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0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1"/>
        <v>0</v>
      </c>
      <c r="W37" s="12">
        <f t="shared" si="2"/>
        <v>0</v>
      </c>
      <c r="X37" s="14" t="e">
        <f t="shared" si="3"/>
        <v>#N/A</v>
      </c>
      <c r="Y37" s="17"/>
      <c r="Z37" s="14" t="e">
        <f t="shared" si="4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0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1"/>
        <v>0</v>
      </c>
      <c r="W38" s="12">
        <f t="shared" si="2"/>
        <v>0</v>
      </c>
      <c r="X38" s="14" t="e">
        <f t="shared" si="3"/>
        <v>#N/A</v>
      </c>
      <c r="Y38" s="17"/>
      <c r="Z38" s="14" t="e">
        <f t="shared" si="4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0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1"/>
        <v>0</v>
      </c>
      <c r="W39" s="12">
        <f t="shared" si="2"/>
        <v>0</v>
      </c>
      <c r="X39" s="14" t="e">
        <f t="shared" si="3"/>
        <v>#N/A</v>
      </c>
      <c r="Y39" s="17"/>
      <c r="Z39" s="14" t="e">
        <f t="shared" si="4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0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1"/>
        <v>0</v>
      </c>
      <c r="W40" s="12">
        <f t="shared" si="2"/>
        <v>0</v>
      </c>
      <c r="X40" s="14" t="e">
        <f t="shared" si="3"/>
        <v>#N/A</v>
      </c>
      <c r="Y40" s="17"/>
      <c r="Z40" s="14" t="e">
        <f t="shared" si="4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0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1"/>
        <v>0</v>
      </c>
      <c r="W41" s="12">
        <f t="shared" si="2"/>
        <v>0</v>
      </c>
      <c r="X41" s="14" t="e">
        <f t="shared" si="3"/>
        <v>#N/A</v>
      </c>
      <c r="Y41" s="17"/>
      <c r="Z41" s="14" t="e">
        <f t="shared" si="4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0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1"/>
        <v>0</v>
      </c>
      <c r="W42" s="12">
        <f t="shared" si="2"/>
        <v>0</v>
      </c>
      <c r="X42" s="14" t="e">
        <f t="shared" si="3"/>
        <v>#N/A</v>
      </c>
      <c r="Y42" s="17"/>
      <c r="Z42" s="14" t="e">
        <f t="shared" si="4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0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1"/>
        <v>0</v>
      </c>
      <c r="W43" s="12">
        <f t="shared" si="2"/>
        <v>0</v>
      </c>
      <c r="X43" s="14" t="e">
        <f t="shared" si="3"/>
        <v>#N/A</v>
      </c>
      <c r="Y43" s="17"/>
      <c r="Z43" s="14" t="e">
        <f t="shared" si="4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0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1"/>
        <v>0</v>
      </c>
      <c r="W44" s="12">
        <f t="shared" si="2"/>
        <v>0</v>
      </c>
      <c r="X44" s="14" t="e">
        <f t="shared" si="3"/>
        <v>#N/A</v>
      </c>
      <c r="Y44" s="17"/>
      <c r="Z44" s="14" t="e">
        <f t="shared" si="4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0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1"/>
        <v>0</v>
      </c>
      <c r="W45" s="12">
        <f t="shared" si="2"/>
        <v>0</v>
      </c>
      <c r="X45" s="14" t="e">
        <f t="shared" si="3"/>
        <v>#N/A</v>
      </c>
      <c r="Y45" s="17"/>
      <c r="Z45" s="14" t="e">
        <f t="shared" si="4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0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1"/>
        <v>0</v>
      </c>
      <c r="W46" s="12">
        <f t="shared" si="2"/>
        <v>0</v>
      </c>
      <c r="X46" s="14" t="e">
        <f t="shared" si="3"/>
        <v>#N/A</v>
      </c>
      <c r="Y46" s="17"/>
      <c r="Z46" s="14" t="e">
        <f t="shared" si="4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0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1"/>
        <v>0</v>
      </c>
      <c r="W47" s="12">
        <f t="shared" si="2"/>
        <v>0</v>
      </c>
      <c r="X47" s="14" t="e">
        <f t="shared" si="3"/>
        <v>#N/A</v>
      </c>
      <c r="Y47" s="17"/>
      <c r="Z47" s="14" t="e">
        <f t="shared" si="4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0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1"/>
        <v>0</v>
      </c>
      <c r="W48" s="12">
        <f t="shared" si="2"/>
        <v>0</v>
      </c>
      <c r="X48" s="14" t="e">
        <f t="shared" si="3"/>
        <v>#N/A</v>
      </c>
      <c r="Y48" s="17"/>
      <c r="Z48" s="14" t="e">
        <f t="shared" si="4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0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1"/>
        <v>0</v>
      </c>
      <c r="W49" s="12">
        <f t="shared" si="2"/>
        <v>0</v>
      </c>
      <c r="X49" s="14" t="e">
        <f t="shared" si="3"/>
        <v>#N/A</v>
      </c>
      <c r="Y49" s="17"/>
      <c r="Z49" s="14" t="e">
        <f t="shared" si="4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0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1"/>
        <v>0</v>
      </c>
      <c r="W50" s="12">
        <f t="shared" si="2"/>
        <v>0</v>
      </c>
      <c r="X50" s="14" t="e">
        <f t="shared" si="3"/>
        <v>#N/A</v>
      </c>
      <c r="Y50" s="17"/>
      <c r="Z50" s="14" t="e">
        <f t="shared" si="4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0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1"/>
        <v>0</v>
      </c>
      <c r="W51" s="12">
        <f t="shared" si="2"/>
        <v>0</v>
      </c>
      <c r="X51" s="14" t="e">
        <f t="shared" si="3"/>
        <v>#N/A</v>
      </c>
      <c r="Y51" s="17"/>
      <c r="Z51" s="14" t="e">
        <f t="shared" si="4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0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1"/>
        <v>0</v>
      </c>
      <c r="W52" s="12">
        <f t="shared" si="2"/>
        <v>0</v>
      </c>
      <c r="X52" s="14" t="e">
        <f t="shared" si="3"/>
        <v>#N/A</v>
      </c>
      <c r="Y52" s="17"/>
      <c r="Z52" s="14" t="e">
        <f t="shared" si="4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0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1"/>
        <v>0</v>
      </c>
      <c r="W53" s="12">
        <f t="shared" si="2"/>
        <v>0</v>
      </c>
      <c r="X53" s="14" t="e">
        <f t="shared" si="3"/>
        <v>#N/A</v>
      </c>
      <c r="Y53" s="17"/>
      <c r="Z53" s="14" t="e">
        <f t="shared" si="4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0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1"/>
        <v>0</v>
      </c>
      <c r="W54" s="12">
        <f t="shared" si="2"/>
        <v>0</v>
      </c>
      <c r="X54" s="14" t="e">
        <f t="shared" si="3"/>
        <v>#N/A</v>
      </c>
      <c r="Y54" s="17"/>
      <c r="Z54" s="14" t="e">
        <f t="shared" si="4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0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1"/>
        <v>0</v>
      </c>
      <c r="W55" s="12">
        <f t="shared" si="2"/>
        <v>0</v>
      </c>
      <c r="X55" s="14" t="e">
        <f t="shared" si="3"/>
        <v>#N/A</v>
      </c>
      <c r="Y55" s="17"/>
      <c r="Z55" s="14" t="e">
        <f t="shared" si="4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0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1"/>
        <v>0</v>
      </c>
      <c r="W56" s="12">
        <f t="shared" si="2"/>
        <v>0</v>
      </c>
      <c r="X56" s="14" t="e">
        <f t="shared" si="3"/>
        <v>#N/A</v>
      </c>
      <c r="Y56" s="17"/>
      <c r="Z56" s="14" t="e">
        <f t="shared" si="4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0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1"/>
        <v>0</v>
      </c>
      <c r="W57" s="12">
        <f t="shared" si="2"/>
        <v>0</v>
      </c>
      <c r="X57" s="14" t="e">
        <f t="shared" si="3"/>
        <v>#N/A</v>
      </c>
      <c r="Y57" s="17"/>
      <c r="Z57" s="14" t="e">
        <f t="shared" si="4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0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1"/>
        <v>0</v>
      </c>
      <c r="W58" s="12">
        <f t="shared" si="2"/>
        <v>0</v>
      </c>
      <c r="X58" s="14" t="e">
        <f t="shared" si="3"/>
        <v>#N/A</v>
      </c>
      <c r="Y58" s="17"/>
      <c r="Z58" s="14" t="e">
        <f t="shared" si="4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0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1"/>
        <v>0</v>
      </c>
      <c r="W59" s="12">
        <f t="shared" si="2"/>
        <v>0</v>
      </c>
      <c r="X59" s="14" t="e">
        <f t="shared" si="3"/>
        <v>#N/A</v>
      </c>
      <c r="Y59" s="17"/>
      <c r="Z59" s="14" t="e">
        <f t="shared" si="4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0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1"/>
        <v>0</v>
      </c>
      <c r="W60" s="12">
        <f t="shared" si="2"/>
        <v>0</v>
      </c>
      <c r="X60" s="14" t="e">
        <f t="shared" si="3"/>
        <v>#N/A</v>
      </c>
      <c r="Y60" s="17"/>
      <c r="Z60" s="14" t="e">
        <f t="shared" si="4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0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1"/>
        <v>0</v>
      </c>
      <c r="W61" s="12">
        <f t="shared" si="2"/>
        <v>0</v>
      </c>
      <c r="X61" s="14" t="e">
        <f t="shared" si="3"/>
        <v>#N/A</v>
      </c>
      <c r="Y61" s="17"/>
      <c r="Z61" s="14" t="e">
        <f t="shared" si="4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0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1"/>
        <v>0</v>
      </c>
      <c r="W62" s="12">
        <f t="shared" si="2"/>
        <v>0</v>
      </c>
      <c r="X62" s="14" t="e">
        <f t="shared" si="3"/>
        <v>#N/A</v>
      </c>
      <c r="Y62" s="17"/>
      <c r="Z62" s="14" t="e">
        <f t="shared" si="4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0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1"/>
        <v>0</v>
      </c>
      <c r="W63" s="12">
        <f t="shared" si="2"/>
        <v>0</v>
      </c>
      <c r="X63" s="14" t="e">
        <f t="shared" si="3"/>
        <v>#N/A</v>
      </c>
      <c r="Y63" s="17"/>
      <c r="Z63" s="14" t="e">
        <f t="shared" si="4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0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1"/>
        <v>0</v>
      </c>
      <c r="W64" s="12">
        <f t="shared" si="2"/>
        <v>0</v>
      </c>
      <c r="X64" s="14" t="e">
        <f t="shared" si="3"/>
        <v>#N/A</v>
      </c>
      <c r="Y64" s="17"/>
      <c r="Z64" s="14" t="e">
        <f t="shared" si="4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0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1"/>
        <v>0</v>
      </c>
      <c r="W65" s="12">
        <f t="shared" si="2"/>
        <v>0</v>
      </c>
      <c r="X65" s="14" t="e">
        <f t="shared" si="3"/>
        <v>#N/A</v>
      </c>
      <c r="Y65" s="17"/>
      <c r="Z65" s="14" t="e">
        <f t="shared" si="4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7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8">IF(C66, P66, U66 )</f>
        <v>0</v>
      </c>
      <c r="W66" s="12">
        <f t="shared" ref="W66:W200" si="9">P66-V66</f>
        <v>0</v>
      </c>
      <c r="X66" s="14" t="e">
        <f t="shared" ref="X66:X200" si="10">P66*T66</f>
        <v>#N/A</v>
      </c>
      <c r="Y66" s="17"/>
      <c r="Z66" s="14" t="e">
        <f t="shared" ref="Z66:Z200" si="11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2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7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8"/>
        <v>0</v>
      </c>
      <c r="W67" s="12">
        <f t="shared" si="9"/>
        <v>0</v>
      </c>
      <c r="X67" s="14" t="e">
        <f t="shared" si="10"/>
        <v>#N/A</v>
      </c>
      <c r="Y67" s="17"/>
      <c r="Z67" s="14" t="e">
        <f t="shared" si="11"/>
        <v>#N/A</v>
      </c>
      <c r="AA67" s="18"/>
      <c r="AB67" s="13"/>
      <c r="AC67" s="19"/>
      <c r="AD67" s="20"/>
      <c r="AE67" s="19"/>
      <c r="AF67" s="21"/>
      <c r="AG67" s="22" t="str">
        <f t="shared" si="12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7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8"/>
        <v>0</v>
      </c>
      <c r="W68" s="12">
        <f t="shared" si="9"/>
        <v>0</v>
      </c>
      <c r="X68" s="14" t="e">
        <f t="shared" si="10"/>
        <v>#N/A</v>
      </c>
      <c r="Y68" s="17"/>
      <c r="Z68" s="14" t="e">
        <f t="shared" si="11"/>
        <v>#N/A</v>
      </c>
      <c r="AA68" s="18"/>
      <c r="AB68" s="13"/>
      <c r="AC68" s="19"/>
      <c r="AD68" s="20"/>
      <c r="AE68" s="19"/>
      <c r="AF68" s="21"/>
      <c r="AG68" s="22" t="str">
        <f t="shared" si="12"/>
        <v>FALSE</v>
      </c>
      <c r="AH68" s="23" t="str">
        <f t="shared" ref="AH68:AH131" si="13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7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8"/>
        <v>0</v>
      </c>
      <c r="W69" s="12">
        <f t="shared" si="9"/>
        <v>0</v>
      </c>
      <c r="X69" s="14" t="e">
        <f t="shared" si="10"/>
        <v>#N/A</v>
      </c>
      <c r="Y69" s="17"/>
      <c r="Z69" s="14" t="e">
        <f t="shared" si="11"/>
        <v>#N/A</v>
      </c>
      <c r="AA69" s="18"/>
      <c r="AB69" s="13"/>
      <c r="AC69" s="19"/>
      <c r="AD69" s="20"/>
      <c r="AE69" s="19"/>
      <c r="AF69" s="21"/>
      <c r="AG69" s="22" t="str">
        <f t="shared" si="12"/>
        <v>FALSE</v>
      </c>
      <c r="AH69" s="23" t="str">
        <f t="shared" si="13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7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8"/>
        <v>0</v>
      </c>
      <c r="W70" s="12">
        <f t="shared" si="9"/>
        <v>0</v>
      </c>
      <c r="X70" s="14" t="e">
        <f t="shared" si="10"/>
        <v>#N/A</v>
      </c>
      <c r="Y70" s="17"/>
      <c r="Z70" s="14" t="e">
        <f t="shared" si="11"/>
        <v>#N/A</v>
      </c>
      <c r="AA70" s="18"/>
      <c r="AB70" s="13"/>
      <c r="AC70" s="19"/>
      <c r="AD70" s="20"/>
      <c r="AE70" s="19"/>
      <c r="AF70" s="21"/>
      <c r="AG70" s="22" t="str">
        <f t="shared" si="12"/>
        <v>FALSE</v>
      </c>
      <c r="AH70" s="23" t="str">
        <f t="shared" si="13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7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8"/>
        <v>0</v>
      </c>
      <c r="W71" s="12">
        <f t="shared" si="9"/>
        <v>0</v>
      </c>
      <c r="X71" s="14" t="e">
        <f t="shared" si="10"/>
        <v>#N/A</v>
      </c>
      <c r="Y71" s="17"/>
      <c r="Z71" s="14" t="e">
        <f t="shared" si="11"/>
        <v>#N/A</v>
      </c>
      <c r="AA71" s="18"/>
      <c r="AB71" s="13"/>
      <c r="AC71" s="19"/>
      <c r="AD71" s="20"/>
      <c r="AE71" s="19"/>
      <c r="AF71" s="21"/>
      <c r="AG71" s="22" t="str">
        <f t="shared" si="12"/>
        <v>FALSE</v>
      </c>
      <c r="AH71" s="23" t="str">
        <f t="shared" si="13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7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8"/>
        <v>0</v>
      </c>
      <c r="W72" s="12">
        <f t="shared" si="9"/>
        <v>0</v>
      </c>
      <c r="X72" s="14" t="e">
        <f t="shared" si="10"/>
        <v>#N/A</v>
      </c>
      <c r="Y72" s="17"/>
      <c r="Z72" s="14" t="e">
        <f t="shared" si="11"/>
        <v>#N/A</v>
      </c>
      <c r="AA72" s="18"/>
      <c r="AB72" s="13"/>
      <c r="AC72" s="19"/>
      <c r="AD72" s="20"/>
      <c r="AE72" s="19"/>
      <c r="AF72" s="21"/>
      <c r="AG72" s="22" t="str">
        <f t="shared" si="12"/>
        <v>FALSE</v>
      </c>
      <c r="AH72" s="23" t="str">
        <f t="shared" si="13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7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8"/>
        <v>0</v>
      </c>
      <c r="W73" s="12">
        <f t="shared" si="9"/>
        <v>0</v>
      </c>
      <c r="X73" s="14" t="e">
        <f t="shared" si="10"/>
        <v>#N/A</v>
      </c>
      <c r="Y73" s="17"/>
      <c r="Z73" s="14" t="e">
        <f t="shared" si="11"/>
        <v>#N/A</v>
      </c>
      <c r="AA73" s="18"/>
      <c r="AB73" s="13"/>
      <c r="AC73" s="19"/>
      <c r="AD73" s="20"/>
      <c r="AE73" s="19"/>
      <c r="AF73" s="21"/>
      <c r="AG73" s="22" t="str">
        <f t="shared" si="12"/>
        <v>FALSE</v>
      </c>
      <c r="AH73" s="23" t="str">
        <f t="shared" si="13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7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8"/>
        <v>0</v>
      </c>
      <c r="W74" s="12">
        <f t="shared" si="9"/>
        <v>0</v>
      </c>
      <c r="X74" s="14" t="e">
        <f t="shared" si="10"/>
        <v>#N/A</v>
      </c>
      <c r="Y74" s="17"/>
      <c r="Z74" s="14" t="e">
        <f t="shared" si="11"/>
        <v>#N/A</v>
      </c>
      <c r="AA74" s="18"/>
      <c r="AB74" s="13"/>
      <c r="AC74" s="19"/>
      <c r="AD74" s="20"/>
      <c r="AE74" s="19"/>
      <c r="AF74" s="21"/>
      <c r="AG74" s="22" t="str">
        <f t="shared" si="12"/>
        <v>FALSE</v>
      </c>
      <c r="AH74" s="23" t="str">
        <f t="shared" si="13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7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8"/>
        <v>0</v>
      </c>
      <c r="W75" s="12">
        <f t="shared" si="9"/>
        <v>0</v>
      </c>
      <c r="X75" s="14" t="e">
        <f t="shared" si="10"/>
        <v>#N/A</v>
      </c>
      <c r="Y75" s="17"/>
      <c r="Z75" s="14" t="e">
        <f t="shared" si="11"/>
        <v>#N/A</v>
      </c>
      <c r="AA75" s="18"/>
      <c r="AB75" s="13"/>
      <c r="AC75" s="19"/>
      <c r="AD75" s="20"/>
      <c r="AE75" s="19"/>
      <c r="AF75" s="21"/>
      <c r="AG75" s="22" t="str">
        <f t="shared" si="12"/>
        <v>FALSE</v>
      </c>
      <c r="AH75" s="23" t="str">
        <f t="shared" si="13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7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8"/>
        <v>0</v>
      </c>
      <c r="W76" s="12">
        <f t="shared" si="9"/>
        <v>0</v>
      </c>
      <c r="X76" s="14" t="e">
        <f t="shared" si="10"/>
        <v>#N/A</v>
      </c>
      <c r="Y76" s="17"/>
      <c r="Z76" s="14" t="e">
        <f t="shared" si="11"/>
        <v>#N/A</v>
      </c>
      <c r="AA76" s="18"/>
      <c r="AB76" s="13"/>
      <c r="AC76" s="19"/>
      <c r="AD76" s="20"/>
      <c r="AE76" s="19"/>
      <c r="AF76" s="21"/>
      <c r="AG76" s="22" t="str">
        <f t="shared" si="12"/>
        <v>FALSE</v>
      </c>
      <c r="AH76" s="23" t="str">
        <f t="shared" si="13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7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8"/>
        <v>0</v>
      </c>
      <c r="W77" s="12">
        <f t="shared" si="9"/>
        <v>0</v>
      </c>
      <c r="X77" s="14" t="e">
        <f t="shared" si="10"/>
        <v>#N/A</v>
      </c>
      <c r="Y77" s="17"/>
      <c r="Z77" s="14" t="e">
        <f t="shared" si="11"/>
        <v>#N/A</v>
      </c>
      <c r="AA77" s="18"/>
      <c r="AB77" s="13"/>
      <c r="AC77" s="19"/>
      <c r="AD77" s="20"/>
      <c r="AE77" s="19"/>
      <c r="AF77" s="21"/>
      <c r="AG77" s="22" t="str">
        <f t="shared" si="12"/>
        <v>FALSE</v>
      </c>
      <c r="AH77" s="23" t="str">
        <f t="shared" si="13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7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8"/>
        <v>0</v>
      </c>
      <c r="W78" s="12">
        <f t="shared" si="9"/>
        <v>0</v>
      </c>
      <c r="X78" s="14" t="e">
        <f t="shared" si="10"/>
        <v>#N/A</v>
      </c>
      <c r="Y78" s="17"/>
      <c r="Z78" s="14" t="e">
        <f t="shared" si="11"/>
        <v>#N/A</v>
      </c>
      <c r="AA78" s="18"/>
      <c r="AB78" s="13"/>
      <c r="AC78" s="19"/>
      <c r="AD78" s="20"/>
      <c r="AE78" s="19"/>
      <c r="AF78" s="21"/>
      <c r="AG78" s="22" t="str">
        <f t="shared" si="12"/>
        <v>FALSE</v>
      </c>
      <c r="AH78" s="23" t="str">
        <f t="shared" si="13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7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8"/>
        <v>0</v>
      </c>
      <c r="W79" s="12">
        <f t="shared" si="9"/>
        <v>0</v>
      </c>
      <c r="X79" s="14" t="e">
        <f t="shared" si="10"/>
        <v>#N/A</v>
      </c>
      <c r="Y79" s="17"/>
      <c r="Z79" s="14" t="e">
        <f t="shared" si="11"/>
        <v>#N/A</v>
      </c>
      <c r="AA79" s="18"/>
      <c r="AB79" s="13"/>
      <c r="AC79" s="19"/>
      <c r="AD79" s="20"/>
      <c r="AE79" s="19"/>
      <c r="AF79" s="21"/>
      <c r="AG79" s="22" t="str">
        <f t="shared" si="12"/>
        <v>FALSE</v>
      </c>
      <c r="AH79" s="23" t="str">
        <f t="shared" si="13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7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8"/>
        <v>0</v>
      </c>
      <c r="W80" s="12">
        <f t="shared" si="9"/>
        <v>0</v>
      </c>
      <c r="X80" s="14" t="e">
        <f t="shared" si="10"/>
        <v>#N/A</v>
      </c>
      <c r="Y80" s="17"/>
      <c r="Z80" s="14" t="e">
        <f t="shared" si="11"/>
        <v>#N/A</v>
      </c>
      <c r="AA80" s="18"/>
      <c r="AB80" s="13"/>
      <c r="AC80" s="19"/>
      <c r="AD80" s="20"/>
      <c r="AE80" s="19"/>
      <c r="AF80" s="21"/>
      <c r="AG80" s="22" t="str">
        <f t="shared" si="12"/>
        <v>FALSE</v>
      </c>
      <c r="AH80" s="23" t="str">
        <f t="shared" si="13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7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8"/>
        <v>0</v>
      </c>
      <c r="W81" s="12">
        <f t="shared" si="9"/>
        <v>0</v>
      </c>
      <c r="X81" s="14" t="e">
        <f t="shared" si="10"/>
        <v>#N/A</v>
      </c>
      <c r="Y81" s="17"/>
      <c r="Z81" s="14" t="e">
        <f t="shared" si="11"/>
        <v>#N/A</v>
      </c>
      <c r="AA81" s="18"/>
      <c r="AB81" s="13"/>
      <c r="AC81" s="19"/>
      <c r="AD81" s="20"/>
      <c r="AE81" s="19"/>
      <c r="AF81" s="21"/>
      <c r="AG81" s="22" t="str">
        <f t="shared" si="12"/>
        <v>FALSE</v>
      </c>
      <c r="AH81" s="23" t="str">
        <f t="shared" si="13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7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8"/>
        <v>0</v>
      </c>
      <c r="W82" s="12">
        <f t="shared" si="9"/>
        <v>0</v>
      </c>
      <c r="X82" s="14" t="e">
        <f t="shared" si="10"/>
        <v>#N/A</v>
      </c>
      <c r="Y82" s="17"/>
      <c r="Z82" s="14" t="e">
        <f t="shared" si="11"/>
        <v>#N/A</v>
      </c>
      <c r="AA82" s="18"/>
      <c r="AB82" s="13"/>
      <c r="AC82" s="19"/>
      <c r="AD82" s="20"/>
      <c r="AE82" s="19"/>
      <c r="AF82" s="21"/>
      <c r="AG82" s="22" t="str">
        <f t="shared" si="12"/>
        <v>FALSE</v>
      </c>
      <c r="AH82" s="23" t="str">
        <f t="shared" si="13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7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8"/>
        <v>0</v>
      </c>
      <c r="W83" s="12">
        <f t="shared" si="9"/>
        <v>0</v>
      </c>
      <c r="X83" s="14" t="e">
        <f t="shared" si="10"/>
        <v>#N/A</v>
      </c>
      <c r="Y83" s="17"/>
      <c r="Z83" s="14" t="e">
        <f t="shared" si="11"/>
        <v>#N/A</v>
      </c>
      <c r="AA83" s="18"/>
      <c r="AB83" s="13"/>
      <c r="AC83" s="19"/>
      <c r="AD83" s="20"/>
      <c r="AE83" s="19"/>
      <c r="AF83" s="21"/>
      <c r="AG83" s="22" t="str">
        <f t="shared" si="12"/>
        <v>FALSE</v>
      </c>
      <c r="AH83" s="23" t="str">
        <f t="shared" si="13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7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8"/>
        <v>0</v>
      </c>
      <c r="W84" s="12">
        <f t="shared" si="9"/>
        <v>0</v>
      </c>
      <c r="X84" s="14" t="e">
        <f t="shared" si="10"/>
        <v>#N/A</v>
      </c>
      <c r="Y84" s="17"/>
      <c r="Z84" s="14" t="e">
        <f t="shared" si="11"/>
        <v>#N/A</v>
      </c>
      <c r="AA84" s="18"/>
      <c r="AB84" s="13"/>
      <c r="AC84" s="19"/>
      <c r="AD84" s="20"/>
      <c r="AE84" s="19"/>
      <c r="AF84" s="21"/>
      <c r="AG84" s="22" t="str">
        <f t="shared" si="12"/>
        <v>FALSE</v>
      </c>
      <c r="AH84" s="23" t="str">
        <f t="shared" si="13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7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8"/>
        <v>0</v>
      </c>
      <c r="W85" s="12">
        <f t="shared" si="9"/>
        <v>0</v>
      </c>
      <c r="X85" s="14" t="e">
        <f t="shared" si="10"/>
        <v>#N/A</v>
      </c>
      <c r="Y85" s="17"/>
      <c r="Z85" s="14" t="e">
        <f t="shared" si="11"/>
        <v>#N/A</v>
      </c>
      <c r="AA85" s="18"/>
      <c r="AB85" s="13"/>
      <c r="AC85" s="19"/>
      <c r="AD85" s="20"/>
      <c r="AE85" s="19"/>
      <c r="AF85" s="21"/>
      <c r="AG85" s="22" t="str">
        <f t="shared" si="12"/>
        <v>FALSE</v>
      </c>
      <c r="AH85" s="23" t="str">
        <f t="shared" si="13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7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8"/>
        <v>0</v>
      </c>
      <c r="W86" s="12">
        <f t="shared" si="9"/>
        <v>0</v>
      </c>
      <c r="X86" s="14" t="e">
        <f t="shared" si="10"/>
        <v>#N/A</v>
      </c>
      <c r="Y86" s="17"/>
      <c r="Z86" s="14" t="e">
        <f t="shared" si="11"/>
        <v>#N/A</v>
      </c>
      <c r="AA86" s="18"/>
      <c r="AB86" s="13"/>
      <c r="AC86" s="19"/>
      <c r="AD86" s="20"/>
      <c r="AE86" s="19"/>
      <c r="AF86" s="21"/>
      <c r="AG86" s="22" t="str">
        <f t="shared" si="12"/>
        <v>FALSE</v>
      </c>
      <c r="AH86" s="23" t="str">
        <f t="shared" si="13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7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8"/>
        <v>0</v>
      </c>
      <c r="W87" s="12">
        <f t="shared" si="9"/>
        <v>0</v>
      </c>
      <c r="X87" s="14" t="e">
        <f t="shared" si="10"/>
        <v>#N/A</v>
      </c>
      <c r="Y87" s="17"/>
      <c r="Z87" s="14" t="e">
        <f t="shared" si="11"/>
        <v>#N/A</v>
      </c>
      <c r="AA87" s="18"/>
      <c r="AB87" s="13"/>
      <c r="AC87" s="19"/>
      <c r="AD87" s="20"/>
      <c r="AE87" s="19"/>
      <c r="AF87" s="21"/>
      <c r="AG87" s="22" t="str">
        <f t="shared" si="12"/>
        <v>FALSE</v>
      </c>
      <c r="AH87" s="23" t="str">
        <f t="shared" si="13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8"/>
        <v>0</v>
      </c>
      <c r="W88" s="12">
        <f t="shared" si="9"/>
        <v>0</v>
      </c>
      <c r="X88" s="14" t="e">
        <f t="shared" si="10"/>
        <v>#N/A</v>
      </c>
      <c r="Y88" s="17"/>
      <c r="Z88" s="14" t="e">
        <f t="shared" si="11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3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8"/>
        <v>0</v>
      </c>
      <c r="W89" s="12">
        <f t="shared" si="9"/>
        <v>0</v>
      </c>
      <c r="X89" s="14" t="e">
        <f t="shared" si="10"/>
        <v>#N/A</v>
      </c>
      <c r="Y89" s="17"/>
      <c r="Z89" s="14" t="e">
        <f t="shared" si="11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3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8"/>
        <v>0</v>
      </c>
      <c r="W90" s="12">
        <f t="shared" si="9"/>
        <v>0</v>
      </c>
      <c r="X90" s="14" t="e">
        <f t="shared" si="10"/>
        <v>#N/A</v>
      </c>
      <c r="Y90" s="17"/>
      <c r="Z90" s="14" t="e">
        <f t="shared" si="11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3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8"/>
        <v>0</v>
      </c>
      <c r="W91" s="12">
        <f t="shared" si="9"/>
        <v>0</v>
      </c>
      <c r="X91" s="14" t="e">
        <f t="shared" si="10"/>
        <v>#N/A</v>
      </c>
      <c r="Y91" s="17"/>
      <c r="Z91" s="14" t="e">
        <f t="shared" si="11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3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8"/>
        <v>0</v>
      </c>
      <c r="W92" s="12">
        <f t="shared" si="9"/>
        <v>0</v>
      </c>
      <c r="X92" s="14" t="e">
        <f t="shared" si="10"/>
        <v>#N/A</v>
      </c>
      <c r="Y92" s="17"/>
      <c r="Z92" s="14" t="e">
        <f t="shared" si="11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3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8"/>
        <v>0</v>
      </c>
      <c r="W93" s="12">
        <f t="shared" si="9"/>
        <v>0</v>
      </c>
      <c r="X93" s="14" t="e">
        <f t="shared" si="10"/>
        <v>#N/A</v>
      </c>
      <c r="Y93" s="17"/>
      <c r="Z93" s="14" t="e">
        <f t="shared" si="11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3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8"/>
        <v>0</v>
      </c>
      <c r="W94" s="12">
        <f t="shared" si="9"/>
        <v>0</v>
      </c>
      <c r="X94" s="14" t="e">
        <f t="shared" si="10"/>
        <v>#N/A</v>
      </c>
      <c r="Y94" s="17"/>
      <c r="Z94" s="14" t="e">
        <f t="shared" si="11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3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8"/>
        <v>0</v>
      </c>
      <c r="W95" s="12">
        <f t="shared" si="9"/>
        <v>0</v>
      </c>
      <c r="X95" s="14" t="e">
        <f t="shared" si="10"/>
        <v>#N/A</v>
      </c>
      <c r="Y95" s="17"/>
      <c r="Z95" s="14" t="e">
        <f t="shared" si="11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3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8"/>
        <v>0</v>
      </c>
      <c r="W96" s="12">
        <f t="shared" si="9"/>
        <v>0</v>
      </c>
      <c r="X96" s="14" t="e">
        <f t="shared" si="10"/>
        <v>#N/A</v>
      </c>
      <c r="Y96" s="17"/>
      <c r="Z96" s="14" t="e">
        <f t="shared" si="11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3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8"/>
        <v>0</v>
      </c>
      <c r="W97" s="12">
        <f t="shared" si="9"/>
        <v>0</v>
      </c>
      <c r="X97" s="14" t="e">
        <f t="shared" si="10"/>
        <v>#N/A</v>
      </c>
      <c r="Y97" s="17"/>
      <c r="Z97" s="14" t="e">
        <f t="shared" si="11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3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8"/>
        <v>0</v>
      </c>
      <c r="W98" s="12">
        <f t="shared" si="9"/>
        <v>0</v>
      </c>
      <c r="X98" s="14" t="e">
        <f t="shared" si="10"/>
        <v>#N/A</v>
      </c>
      <c r="Y98" s="17"/>
      <c r="Z98" s="14" t="e">
        <f t="shared" si="11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3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8"/>
        <v>0</v>
      </c>
      <c r="W99" s="12">
        <f t="shared" si="9"/>
        <v>0</v>
      </c>
      <c r="X99" s="14" t="e">
        <f t="shared" si="10"/>
        <v>#N/A</v>
      </c>
      <c r="Y99" s="17"/>
      <c r="Z99" s="14" t="e">
        <f t="shared" si="11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3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8"/>
        <v>0</v>
      </c>
      <c r="W100" s="12">
        <f t="shared" si="9"/>
        <v>0</v>
      </c>
      <c r="X100" s="14" t="e">
        <f t="shared" si="10"/>
        <v>#N/A</v>
      </c>
      <c r="Y100" s="17"/>
      <c r="Z100" s="14" t="e">
        <f t="shared" si="11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3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8"/>
        <v>0</v>
      </c>
      <c r="W101" s="12">
        <f t="shared" si="9"/>
        <v>0</v>
      </c>
      <c r="X101" s="14" t="e">
        <f t="shared" si="10"/>
        <v>#N/A</v>
      </c>
      <c r="Y101" s="17"/>
      <c r="Z101" s="14" t="e">
        <f t="shared" si="11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3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8"/>
        <v>0</v>
      </c>
      <c r="W102" s="12">
        <f t="shared" si="9"/>
        <v>0</v>
      </c>
      <c r="X102" s="14" t="e">
        <f t="shared" si="10"/>
        <v>#N/A</v>
      </c>
      <c r="Y102" s="17"/>
      <c r="Z102" s="14" t="e">
        <f t="shared" si="11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3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8"/>
        <v>0</v>
      </c>
      <c r="W103" s="12">
        <f t="shared" si="9"/>
        <v>0</v>
      </c>
      <c r="X103" s="14" t="e">
        <f t="shared" si="10"/>
        <v>#N/A</v>
      </c>
      <c r="Y103" s="17"/>
      <c r="Z103" s="14" t="e">
        <f t="shared" si="11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3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8"/>
        <v>0</v>
      </c>
      <c r="W104" s="12">
        <f t="shared" si="9"/>
        <v>0</v>
      </c>
      <c r="X104" s="14" t="e">
        <f t="shared" si="10"/>
        <v>#N/A</v>
      </c>
      <c r="Y104" s="17"/>
      <c r="Z104" s="14" t="e">
        <f t="shared" si="11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3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8"/>
        <v>0</v>
      </c>
      <c r="W105" s="12">
        <f t="shared" si="9"/>
        <v>0</v>
      </c>
      <c r="X105" s="14" t="e">
        <f t="shared" si="10"/>
        <v>#N/A</v>
      </c>
      <c r="Y105" s="17"/>
      <c r="Z105" s="14" t="e">
        <f t="shared" si="11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3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8"/>
        <v>0</v>
      </c>
      <c r="W106" s="12">
        <f t="shared" si="9"/>
        <v>0</v>
      </c>
      <c r="X106" s="14" t="e">
        <f t="shared" si="10"/>
        <v>#N/A</v>
      </c>
      <c r="Y106" s="17"/>
      <c r="Z106" s="14" t="e">
        <f t="shared" si="11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3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8"/>
        <v>0</v>
      </c>
      <c r="W107" s="12">
        <f t="shared" si="9"/>
        <v>0</v>
      </c>
      <c r="X107" s="14" t="e">
        <f t="shared" si="10"/>
        <v>#N/A</v>
      </c>
      <c r="Y107" s="17"/>
      <c r="Z107" s="14" t="e">
        <f t="shared" si="11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3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8"/>
        <v>0</v>
      </c>
      <c r="W108" s="12">
        <f t="shared" si="9"/>
        <v>0</v>
      </c>
      <c r="X108" s="14" t="e">
        <f t="shared" si="10"/>
        <v>#N/A</v>
      </c>
      <c r="Y108" s="17"/>
      <c r="Z108" s="14" t="e">
        <f t="shared" si="11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3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8"/>
        <v>0</v>
      </c>
      <c r="W109" s="12">
        <f t="shared" si="9"/>
        <v>0</v>
      </c>
      <c r="X109" s="14" t="e">
        <f t="shared" si="10"/>
        <v>#N/A</v>
      </c>
      <c r="Y109" s="17"/>
      <c r="Z109" s="14" t="e">
        <f t="shared" si="11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3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8"/>
        <v>0</v>
      </c>
      <c r="W110" s="12">
        <f t="shared" si="9"/>
        <v>0</v>
      </c>
      <c r="X110" s="14" t="e">
        <f t="shared" si="10"/>
        <v>#N/A</v>
      </c>
      <c r="Y110" s="17"/>
      <c r="Z110" s="14" t="e">
        <f t="shared" si="11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3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8"/>
        <v>0</v>
      </c>
      <c r="W111" s="12">
        <f t="shared" si="9"/>
        <v>0</v>
      </c>
      <c r="X111" s="14" t="e">
        <f t="shared" si="10"/>
        <v>#N/A</v>
      </c>
      <c r="Y111" s="17"/>
      <c r="Z111" s="14" t="e">
        <f t="shared" si="11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3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8"/>
        <v>0</v>
      </c>
      <c r="W112" s="12">
        <f t="shared" si="9"/>
        <v>0</v>
      </c>
      <c r="X112" s="14" t="e">
        <f t="shared" si="10"/>
        <v>#N/A</v>
      </c>
      <c r="Y112" s="17"/>
      <c r="Z112" s="14" t="e">
        <f t="shared" si="11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3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8"/>
        <v>0</v>
      </c>
      <c r="W113" s="12">
        <f t="shared" si="9"/>
        <v>0</v>
      </c>
      <c r="X113" s="14" t="e">
        <f t="shared" si="10"/>
        <v>#N/A</v>
      </c>
      <c r="Y113" s="17"/>
      <c r="Z113" s="14" t="e">
        <f t="shared" si="11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3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8"/>
        <v>0</v>
      </c>
      <c r="W114" s="12">
        <f t="shared" si="9"/>
        <v>0</v>
      </c>
      <c r="X114" s="14" t="e">
        <f t="shared" si="10"/>
        <v>#N/A</v>
      </c>
      <c r="Y114" s="17"/>
      <c r="Z114" s="14" t="e">
        <f t="shared" si="11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3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8"/>
        <v>0</v>
      </c>
      <c r="W115" s="12">
        <f t="shared" si="9"/>
        <v>0</v>
      </c>
      <c r="X115" s="14" t="e">
        <f t="shared" si="10"/>
        <v>#N/A</v>
      </c>
      <c r="Y115" s="17"/>
      <c r="Z115" s="14" t="e">
        <f t="shared" si="11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3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8"/>
        <v>0</v>
      </c>
      <c r="W116" s="12">
        <f t="shared" si="9"/>
        <v>0</v>
      </c>
      <c r="X116" s="14" t="e">
        <f t="shared" si="10"/>
        <v>#N/A</v>
      </c>
      <c r="Y116" s="17"/>
      <c r="Z116" s="14" t="e">
        <f t="shared" si="11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3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8"/>
        <v>0</v>
      </c>
      <c r="W117" s="12">
        <f t="shared" si="9"/>
        <v>0</v>
      </c>
      <c r="X117" s="14" t="e">
        <f t="shared" si="10"/>
        <v>#N/A</v>
      </c>
      <c r="Y117" s="17"/>
      <c r="Z117" s="14" t="e">
        <f t="shared" si="11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3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8"/>
        <v>0</v>
      </c>
      <c r="W118" s="12">
        <f t="shared" si="9"/>
        <v>0</v>
      </c>
      <c r="X118" s="14" t="e">
        <f t="shared" si="10"/>
        <v>#N/A</v>
      </c>
      <c r="Y118" s="17"/>
      <c r="Z118" s="14" t="e">
        <f t="shared" si="11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3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8"/>
        <v>0</v>
      </c>
      <c r="W119" s="12">
        <f t="shared" si="9"/>
        <v>0</v>
      </c>
      <c r="X119" s="14" t="e">
        <f t="shared" si="10"/>
        <v>#N/A</v>
      </c>
      <c r="Y119" s="17"/>
      <c r="Z119" s="14" t="e">
        <f t="shared" si="11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3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8"/>
        <v>0</v>
      </c>
      <c r="W120" s="12">
        <f t="shared" si="9"/>
        <v>0</v>
      </c>
      <c r="X120" s="14" t="e">
        <f t="shared" si="10"/>
        <v>#N/A</v>
      </c>
      <c r="Y120" s="17"/>
      <c r="Z120" s="14" t="e">
        <f t="shared" si="11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3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8"/>
        <v>0</v>
      </c>
      <c r="W121" s="12">
        <f t="shared" si="9"/>
        <v>0</v>
      </c>
      <c r="X121" s="14" t="e">
        <f t="shared" si="10"/>
        <v>#N/A</v>
      </c>
      <c r="Y121" s="17"/>
      <c r="Z121" s="14" t="e">
        <f t="shared" si="11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3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8"/>
        <v>0</v>
      </c>
      <c r="W122" s="12">
        <f t="shared" si="9"/>
        <v>0</v>
      </c>
      <c r="X122" s="14" t="e">
        <f t="shared" si="10"/>
        <v>#N/A</v>
      </c>
      <c r="Y122" s="17"/>
      <c r="Z122" s="14" t="e">
        <f t="shared" si="11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3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8"/>
        <v>0</v>
      </c>
      <c r="W123" s="12">
        <f t="shared" si="9"/>
        <v>0</v>
      </c>
      <c r="X123" s="14" t="e">
        <f t="shared" si="10"/>
        <v>#N/A</v>
      </c>
      <c r="Y123" s="17"/>
      <c r="Z123" s="14" t="e">
        <f t="shared" si="11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3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8"/>
        <v>0</v>
      </c>
      <c r="W124" s="12">
        <f t="shared" si="9"/>
        <v>0</v>
      </c>
      <c r="X124" s="14" t="e">
        <f t="shared" si="10"/>
        <v>#N/A</v>
      </c>
      <c r="Y124" s="17"/>
      <c r="Z124" s="14" t="e">
        <f t="shared" si="11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3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8"/>
        <v>0</v>
      </c>
      <c r="W125" s="12">
        <f t="shared" si="9"/>
        <v>0</v>
      </c>
      <c r="X125" s="14" t="e">
        <f t="shared" si="10"/>
        <v>#N/A</v>
      </c>
      <c r="Y125" s="17"/>
      <c r="Z125" s="14" t="e">
        <f t="shared" si="11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3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8"/>
        <v>0</v>
      </c>
      <c r="W126" s="12">
        <f t="shared" si="9"/>
        <v>0</v>
      </c>
      <c r="X126" s="14" t="e">
        <f t="shared" si="10"/>
        <v>#N/A</v>
      </c>
      <c r="Y126" s="17"/>
      <c r="Z126" s="14" t="e">
        <f t="shared" si="11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3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8"/>
        <v>0</v>
      </c>
      <c r="W127" s="12">
        <f t="shared" si="9"/>
        <v>0</v>
      </c>
      <c r="X127" s="14" t="e">
        <f t="shared" si="10"/>
        <v>#N/A</v>
      </c>
      <c r="Y127" s="17"/>
      <c r="Z127" s="14" t="e">
        <f t="shared" si="11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3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8"/>
        <v>0</v>
      </c>
      <c r="W128" s="12">
        <f t="shared" si="9"/>
        <v>0</v>
      </c>
      <c r="X128" s="14" t="e">
        <f t="shared" si="10"/>
        <v>#N/A</v>
      </c>
      <c r="Y128" s="17"/>
      <c r="Z128" s="14" t="e">
        <f t="shared" si="11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3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8"/>
        <v>0</v>
      </c>
      <c r="W129" s="12">
        <f t="shared" si="9"/>
        <v>0</v>
      </c>
      <c r="X129" s="14" t="e">
        <f t="shared" si="10"/>
        <v>#N/A</v>
      </c>
      <c r="Y129" s="17"/>
      <c r="Z129" s="14" t="e">
        <f t="shared" si="11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3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4">IF(C130, P130, U130 )</f>
        <v>0</v>
      </c>
      <c r="W130" s="12">
        <f t="shared" si="9"/>
        <v>0</v>
      </c>
      <c r="X130" s="14" t="e">
        <f t="shared" si="10"/>
        <v>#N/A</v>
      </c>
      <c r="Y130" s="17"/>
      <c r="Z130" s="14" t="e">
        <f t="shared" si="11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3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4"/>
        <v>0</v>
      </c>
      <c r="W131" s="12">
        <f t="shared" si="9"/>
        <v>0</v>
      </c>
      <c r="X131" s="14" t="e">
        <f t="shared" si="10"/>
        <v>#N/A</v>
      </c>
      <c r="Y131" s="17"/>
      <c r="Z131" s="14" t="e">
        <f t="shared" si="11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3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4"/>
        <v>0</v>
      </c>
      <c r="W132" s="12">
        <f t="shared" si="9"/>
        <v>0</v>
      </c>
      <c r="X132" s="14" t="e">
        <f t="shared" si="10"/>
        <v>#N/A</v>
      </c>
      <c r="Y132" s="17"/>
      <c r="Z132" s="14" t="e">
        <f t="shared" si="11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15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4"/>
        <v>0</v>
      </c>
      <c r="W133" s="12">
        <f t="shared" si="9"/>
        <v>0</v>
      </c>
      <c r="X133" s="14" t="e">
        <f t="shared" si="10"/>
        <v>#N/A</v>
      </c>
      <c r="Y133" s="17"/>
      <c r="Z133" s="14" t="e">
        <f t="shared" si="11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15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4"/>
        <v>0</v>
      </c>
      <c r="W134" s="12">
        <f t="shared" si="9"/>
        <v>0</v>
      </c>
      <c r="X134" s="14" t="e">
        <f t="shared" si="10"/>
        <v>#N/A</v>
      </c>
      <c r="Y134" s="17"/>
      <c r="Z134" s="14" t="e">
        <f t="shared" si="11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15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4"/>
        <v>0</v>
      </c>
      <c r="W135" s="12">
        <f t="shared" si="9"/>
        <v>0</v>
      </c>
      <c r="X135" s="14" t="e">
        <f t="shared" si="10"/>
        <v>#N/A</v>
      </c>
      <c r="Y135" s="17"/>
      <c r="Z135" s="14" t="e">
        <f t="shared" si="11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15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4"/>
        <v>0</v>
      </c>
      <c r="W136" s="12">
        <f t="shared" si="9"/>
        <v>0</v>
      </c>
      <c r="X136" s="14" t="e">
        <f t="shared" si="10"/>
        <v>#N/A</v>
      </c>
      <c r="Y136" s="17"/>
      <c r="Z136" s="14" t="e">
        <f t="shared" si="11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15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4"/>
        <v>0</v>
      </c>
      <c r="W137" s="12">
        <f t="shared" si="9"/>
        <v>0</v>
      </c>
      <c r="X137" s="14" t="e">
        <f t="shared" si="10"/>
        <v>#N/A</v>
      </c>
      <c r="Y137" s="17"/>
      <c r="Z137" s="14" t="e">
        <f t="shared" si="11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15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4"/>
        <v>0</v>
      </c>
      <c r="W138" s="12">
        <f t="shared" si="9"/>
        <v>0</v>
      </c>
      <c r="X138" s="14" t="e">
        <f t="shared" si="10"/>
        <v>#N/A</v>
      </c>
      <c r="Y138" s="17"/>
      <c r="Z138" s="14" t="e">
        <f t="shared" si="11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15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4"/>
        <v>0</v>
      </c>
      <c r="W139" s="12">
        <f t="shared" si="9"/>
        <v>0</v>
      </c>
      <c r="X139" s="14" t="e">
        <f t="shared" si="10"/>
        <v>#N/A</v>
      </c>
      <c r="Y139" s="17"/>
      <c r="Z139" s="14" t="e">
        <f t="shared" si="11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15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4"/>
        <v>0</v>
      </c>
      <c r="W140" s="12">
        <f t="shared" si="9"/>
        <v>0</v>
      </c>
      <c r="X140" s="14" t="e">
        <f t="shared" si="10"/>
        <v>#N/A</v>
      </c>
      <c r="Y140" s="17"/>
      <c r="Z140" s="14" t="e">
        <f t="shared" si="11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15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4"/>
        <v>0</v>
      </c>
      <c r="W141" s="12">
        <f t="shared" si="9"/>
        <v>0</v>
      </c>
      <c r="X141" s="14" t="e">
        <f t="shared" si="10"/>
        <v>#N/A</v>
      </c>
      <c r="Y141" s="17"/>
      <c r="Z141" s="14" t="e">
        <f t="shared" si="11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15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4"/>
        <v>0</v>
      </c>
      <c r="W142" s="12">
        <f t="shared" si="9"/>
        <v>0</v>
      </c>
      <c r="X142" s="14" t="e">
        <f t="shared" si="10"/>
        <v>#N/A</v>
      </c>
      <c r="Y142" s="17"/>
      <c r="Z142" s="14" t="e">
        <f t="shared" si="11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15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4"/>
        <v>0</v>
      </c>
      <c r="W143" s="12">
        <f t="shared" si="9"/>
        <v>0</v>
      </c>
      <c r="X143" s="14" t="e">
        <f t="shared" si="10"/>
        <v>#N/A</v>
      </c>
      <c r="Y143" s="17"/>
      <c r="Z143" s="14" t="e">
        <f t="shared" si="11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15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4"/>
        <v>0</v>
      </c>
      <c r="W144" s="12">
        <f t="shared" si="9"/>
        <v>0</v>
      </c>
      <c r="X144" s="14" t="e">
        <f t="shared" si="10"/>
        <v>#N/A</v>
      </c>
      <c r="Y144" s="17"/>
      <c r="Z144" s="14" t="e">
        <f t="shared" si="11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15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4"/>
        <v>0</v>
      </c>
      <c r="W145" s="12">
        <f t="shared" si="9"/>
        <v>0</v>
      </c>
      <c r="X145" s="14" t="e">
        <f t="shared" si="10"/>
        <v>#N/A</v>
      </c>
      <c r="Y145" s="17"/>
      <c r="Z145" s="14" t="e">
        <f t="shared" si="11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15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4"/>
        <v>0</v>
      </c>
      <c r="W146" s="12">
        <f t="shared" si="9"/>
        <v>0</v>
      </c>
      <c r="X146" s="14" t="e">
        <f t="shared" si="10"/>
        <v>#N/A</v>
      </c>
      <c r="Y146" s="17"/>
      <c r="Z146" s="14" t="e">
        <f t="shared" si="11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15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4"/>
        <v>0</v>
      </c>
      <c r="W147" s="12">
        <f t="shared" si="9"/>
        <v>0</v>
      </c>
      <c r="X147" s="14" t="e">
        <f t="shared" si="10"/>
        <v>#N/A</v>
      </c>
      <c r="Y147" s="17"/>
      <c r="Z147" s="14" t="e">
        <f t="shared" si="11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15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4"/>
        <v>0</v>
      </c>
      <c r="W148" s="12">
        <f t="shared" si="9"/>
        <v>0</v>
      </c>
      <c r="X148" s="14" t="e">
        <f t="shared" si="10"/>
        <v>#N/A</v>
      </c>
      <c r="Y148" s="17"/>
      <c r="Z148" s="14" t="e">
        <f t="shared" si="11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15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4"/>
        <v>0</v>
      </c>
      <c r="W149" s="12">
        <f t="shared" si="9"/>
        <v>0</v>
      </c>
      <c r="X149" s="14" t="e">
        <f t="shared" si="10"/>
        <v>#N/A</v>
      </c>
      <c r="Y149" s="17"/>
      <c r="Z149" s="14" t="e">
        <f t="shared" si="11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15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4"/>
        <v>0</v>
      </c>
      <c r="W150" s="12">
        <f t="shared" si="9"/>
        <v>0</v>
      </c>
      <c r="X150" s="14" t="e">
        <f t="shared" si="10"/>
        <v>#N/A</v>
      </c>
      <c r="Y150" s="17"/>
      <c r="Z150" s="14" t="e">
        <f t="shared" si="11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15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4"/>
        <v>0</v>
      </c>
      <c r="W151" s="12">
        <f t="shared" si="9"/>
        <v>0</v>
      </c>
      <c r="X151" s="14" t="e">
        <f t="shared" si="10"/>
        <v>#N/A</v>
      </c>
      <c r="Y151" s="17"/>
      <c r="Z151" s="14" t="e">
        <f t="shared" si="11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15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4"/>
        <v>0</v>
      </c>
      <c r="W152" s="12">
        <f t="shared" si="9"/>
        <v>0</v>
      </c>
      <c r="X152" s="14" t="e">
        <f t="shared" si="10"/>
        <v>#N/A</v>
      </c>
      <c r="Y152" s="17"/>
      <c r="Z152" s="14" t="e">
        <f t="shared" si="11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15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4"/>
        <v>0</v>
      </c>
      <c r="W153" s="12">
        <f t="shared" si="9"/>
        <v>0</v>
      </c>
      <c r="X153" s="14" t="e">
        <f t="shared" si="10"/>
        <v>#N/A</v>
      </c>
      <c r="Y153" s="17"/>
      <c r="Z153" s="14" t="e">
        <f t="shared" si="11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15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4"/>
        <v>0</v>
      </c>
      <c r="W154" s="12">
        <f t="shared" si="9"/>
        <v>0</v>
      </c>
      <c r="X154" s="14" t="e">
        <f t="shared" si="10"/>
        <v>#N/A</v>
      </c>
      <c r="Y154" s="17"/>
      <c r="Z154" s="14" t="e">
        <f t="shared" si="11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15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4"/>
        <v>0</v>
      </c>
      <c r="W155" s="12">
        <f t="shared" si="9"/>
        <v>0</v>
      </c>
      <c r="X155" s="14" t="e">
        <f t="shared" si="10"/>
        <v>#N/A</v>
      </c>
      <c r="Y155" s="17"/>
      <c r="Z155" s="14" t="e">
        <f t="shared" si="11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15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4"/>
        <v>0</v>
      </c>
      <c r="W156" s="12">
        <f t="shared" si="9"/>
        <v>0</v>
      </c>
      <c r="X156" s="14" t="e">
        <f t="shared" si="10"/>
        <v>#N/A</v>
      </c>
      <c r="Y156" s="17"/>
      <c r="Z156" s="14" t="e">
        <f t="shared" si="11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15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4"/>
        <v>0</v>
      </c>
      <c r="W157" s="12">
        <f t="shared" si="9"/>
        <v>0</v>
      </c>
      <c r="X157" s="14" t="e">
        <f t="shared" si="10"/>
        <v>#N/A</v>
      </c>
      <c r="Y157" s="17"/>
      <c r="Z157" s="14" t="e">
        <f t="shared" si="11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15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4"/>
        <v>0</v>
      </c>
      <c r="W158" s="12">
        <f t="shared" si="9"/>
        <v>0</v>
      </c>
      <c r="X158" s="14" t="e">
        <f t="shared" si="10"/>
        <v>#N/A</v>
      </c>
      <c r="Y158" s="17"/>
      <c r="Z158" s="14" t="e">
        <f t="shared" si="11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15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4"/>
        <v>0</v>
      </c>
      <c r="W159" s="12">
        <f t="shared" si="9"/>
        <v>0</v>
      </c>
      <c r="X159" s="14" t="e">
        <f t="shared" si="10"/>
        <v>#N/A</v>
      </c>
      <c r="Y159" s="17"/>
      <c r="Z159" s="14" t="e">
        <f t="shared" si="11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15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4"/>
        <v>0</v>
      </c>
      <c r="W160" s="12">
        <f t="shared" si="9"/>
        <v>0</v>
      </c>
      <c r="X160" s="14" t="e">
        <f t="shared" si="10"/>
        <v>#N/A</v>
      </c>
      <c r="Y160" s="17"/>
      <c r="Z160" s="14" t="e">
        <f t="shared" si="11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15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4"/>
        <v>0</v>
      </c>
      <c r="W161" s="12">
        <f t="shared" si="9"/>
        <v>0</v>
      </c>
      <c r="X161" s="14" t="e">
        <f t="shared" si="10"/>
        <v>#N/A</v>
      </c>
      <c r="Y161" s="17"/>
      <c r="Z161" s="14" t="e">
        <f t="shared" si="11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15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4"/>
        <v>0</v>
      </c>
      <c r="W162" s="12">
        <f t="shared" si="9"/>
        <v>0</v>
      </c>
      <c r="X162" s="14" t="e">
        <f t="shared" si="10"/>
        <v>#N/A</v>
      </c>
      <c r="Y162" s="17"/>
      <c r="Z162" s="14" t="e">
        <f t="shared" si="11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15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4"/>
        <v>0</v>
      </c>
      <c r="W163" s="12">
        <f t="shared" si="9"/>
        <v>0</v>
      </c>
      <c r="X163" s="14" t="e">
        <f t="shared" si="10"/>
        <v>#N/A</v>
      </c>
      <c r="Y163" s="17"/>
      <c r="Z163" s="14" t="e">
        <f t="shared" si="11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15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4"/>
        <v>0</v>
      </c>
      <c r="W164" s="12">
        <f t="shared" si="9"/>
        <v>0</v>
      </c>
      <c r="X164" s="14" t="e">
        <f t="shared" si="10"/>
        <v>#N/A</v>
      </c>
      <c r="Y164" s="17"/>
      <c r="Z164" s="14" t="e">
        <f t="shared" si="11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15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4"/>
        <v>0</v>
      </c>
      <c r="W165" s="12">
        <f t="shared" si="9"/>
        <v>0</v>
      </c>
      <c r="X165" s="14" t="e">
        <f t="shared" si="10"/>
        <v>#N/A</v>
      </c>
      <c r="Y165" s="17"/>
      <c r="Z165" s="14" t="e">
        <f t="shared" si="11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15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4"/>
        <v>0</v>
      </c>
      <c r="W166" s="12">
        <f t="shared" si="9"/>
        <v>0</v>
      </c>
      <c r="X166" s="14" t="e">
        <f t="shared" si="10"/>
        <v>#N/A</v>
      </c>
      <c r="Y166" s="17"/>
      <c r="Z166" s="14" t="e">
        <f t="shared" si="11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15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4"/>
        <v>0</v>
      </c>
      <c r="W167" s="12">
        <f t="shared" si="9"/>
        <v>0</v>
      </c>
      <c r="X167" s="14" t="e">
        <f t="shared" si="10"/>
        <v>#N/A</v>
      </c>
      <c r="Y167" s="17"/>
      <c r="Z167" s="14" t="e">
        <f t="shared" si="11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15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4"/>
        <v>0</v>
      </c>
      <c r="W168" s="12">
        <f t="shared" si="9"/>
        <v>0</v>
      </c>
      <c r="X168" s="14" t="e">
        <f t="shared" si="10"/>
        <v>#N/A</v>
      </c>
      <c r="Y168" s="17"/>
      <c r="Z168" s="14" t="e">
        <f t="shared" si="11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15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4"/>
        <v>0</v>
      </c>
      <c r="W169" s="12">
        <f t="shared" si="9"/>
        <v>0</v>
      </c>
      <c r="X169" s="14" t="e">
        <f t="shared" si="10"/>
        <v>#N/A</v>
      </c>
      <c r="Y169" s="17"/>
      <c r="Z169" s="14" t="e">
        <f t="shared" si="11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15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4"/>
        <v>0</v>
      </c>
      <c r="W170" s="12">
        <f t="shared" si="9"/>
        <v>0</v>
      </c>
      <c r="X170" s="14" t="e">
        <f t="shared" si="10"/>
        <v>#N/A</v>
      </c>
      <c r="Y170" s="17"/>
      <c r="Z170" s="14" t="e">
        <f t="shared" si="11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15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4"/>
        <v>0</v>
      </c>
      <c r="W171" s="12">
        <f t="shared" si="9"/>
        <v>0</v>
      </c>
      <c r="X171" s="14" t="e">
        <f t="shared" si="10"/>
        <v>#N/A</v>
      </c>
      <c r="Y171" s="17"/>
      <c r="Z171" s="14" t="e">
        <f t="shared" si="11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15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4"/>
        <v>0</v>
      </c>
      <c r="W172" s="12">
        <f t="shared" si="9"/>
        <v>0</v>
      </c>
      <c r="X172" s="14" t="e">
        <f t="shared" si="10"/>
        <v>#N/A</v>
      </c>
      <c r="Y172" s="17"/>
      <c r="Z172" s="14" t="e">
        <f t="shared" si="11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15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4"/>
        <v>0</v>
      </c>
      <c r="W173" s="12">
        <f t="shared" si="9"/>
        <v>0</v>
      </c>
      <c r="X173" s="14" t="e">
        <f t="shared" si="10"/>
        <v>#N/A</v>
      </c>
      <c r="Y173" s="17"/>
      <c r="Z173" s="14" t="e">
        <f t="shared" si="11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15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4"/>
        <v>0</v>
      </c>
      <c r="W174" s="12">
        <f t="shared" si="9"/>
        <v>0</v>
      </c>
      <c r="X174" s="14" t="e">
        <f t="shared" si="10"/>
        <v>#N/A</v>
      </c>
      <c r="Y174" s="17"/>
      <c r="Z174" s="14" t="e">
        <f t="shared" si="11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15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4"/>
        <v>0</v>
      </c>
      <c r="W175" s="12">
        <f t="shared" si="9"/>
        <v>0</v>
      </c>
      <c r="X175" s="14" t="e">
        <f t="shared" si="10"/>
        <v>#N/A</v>
      </c>
      <c r="Y175" s="17"/>
      <c r="Z175" s="14" t="e">
        <f t="shared" si="11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15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4"/>
        <v>0</v>
      </c>
      <c r="W176" s="12">
        <f t="shared" si="9"/>
        <v>0</v>
      </c>
      <c r="X176" s="14" t="e">
        <f t="shared" si="10"/>
        <v>#N/A</v>
      </c>
      <c r="Y176" s="17"/>
      <c r="Z176" s="14" t="e">
        <f t="shared" si="11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15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4"/>
        <v>0</v>
      </c>
      <c r="W177" s="12">
        <f t="shared" si="9"/>
        <v>0</v>
      </c>
      <c r="X177" s="14" t="e">
        <f t="shared" si="10"/>
        <v>#N/A</v>
      </c>
      <c r="Y177" s="17"/>
      <c r="Z177" s="14" t="e">
        <f t="shared" si="11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15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4"/>
        <v>0</v>
      </c>
      <c r="W178" s="12">
        <f t="shared" si="9"/>
        <v>0</v>
      </c>
      <c r="X178" s="14" t="e">
        <f t="shared" si="10"/>
        <v>#N/A</v>
      </c>
      <c r="Y178" s="17"/>
      <c r="Z178" s="14" t="e">
        <f t="shared" si="11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15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4"/>
        <v>0</v>
      </c>
      <c r="W179" s="12">
        <f t="shared" si="9"/>
        <v>0</v>
      </c>
      <c r="X179" s="14" t="e">
        <f t="shared" si="10"/>
        <v>#N/A</v>
      </c>
      <c r="Y179" s="17"/>
      <c r="Z179" s="14" t="e">
        <f t="shared" si="11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15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4"/>
        <v>0</v>
      </c>
      <c r="W180" s="12">
        <f t="shared" si="9"/>
        <v>0</v>
      </c>
      <c r="X180" s="14" t="e">
        <f t="shared" si="10"/>
        <v>#N/A</v>
      </c>
      <c r="Y180" s="17"/>
      <c r="Z180" s="14" t="e">
        <f t="shared" si="11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15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4"/>
        <v>0</v>
      </c>
      <c r="W181" s="12">
        <f t="shared" si="9"/>
        <v>0</v>
      </c>
      <c r="X181" s="14" t="e">
        <f t="shared" si="10"/>
        <v>#N/A</v>
      </c>
      <c r="Y181" s="17"/>
      <c r="Z181" s="14" t="e">
        <f t="shared" si="11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15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4"/>
        <v>0</v>
      </c>
      <c r="W182" s="12">
        <f t="shared" si="9"/>
        <v>0</v>
      </c>
      <c r="X182" s="14" t="e">
        <f t="shared" si="10"/>
        <v>#N/A</v>
      </c>
      <c r="Y182" s="17"/>
      <c r="Z182" s="14" t="e">
        <f t="shared" si="11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15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4"/>
        <v>0</v>
      </c>
      <c r="W183" s="12">
        <f t="shared" si="9"/>
        <v>0</v>
      </c>
      <c r="X183" s="14" t="e">
        <f t="shared" si="10"/>
        <v>#N/A</v>
      </c>
      <c r="Y183" s="17"/>
      <c r="Z183" s="14" t="e">
        <f t="shared" si="11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15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4"/>
        <v>0</v>
      </c>
      <c r="W184" s="12">
        <f t="shared" si="9"/>
        <v>0</v>
      </c>
      <c r="X184" s="14" t="e">
        <f t="shared" si="10"/>
        <v>#N/A</v>
      </c>
      <c r="Y184" s="17"/>
      <c r="Z184" s="14" t="e">
        <f t="shared" si="11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15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4"/>
        <v>0</v>
      </c>
      <c r="W185" s="12">
        <f t="shared" si="9"/>
        <v>0</v>
      </c>
      <c r="X185" s="14" t="e">
        <f t="shared" si="10"/>
        <v>#N/A</v>
      </c>
      <c r="Y185" s="17"/>
      <c r="Z185" s="14" t="e">
        <f t="shared" si="11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15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4"/>
        <v>0</v>
      </c>
      <c r="W186" s="12">
        <f t="shared" si="9"/>
        <v>0</v>
      </c>
      <c r="X186" s="14" t="e">
        <f t="shared" si="10"/>
        <v>#N/A</v>
      </c>
      <c r="Y186" s="17"/>
      <c r="Z186" s="14" t="e">
        <f t="shared" si="11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15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4"/>
        <v>0</v>
      </c>
      <c r="W187" s="12">
        <f t="shared" si="9"/>
        <v>0</v>
      </c>
      <c r="X187" s="14" t="e">
        <f t="shared" si="10"/>
        <v>#N/A</v>
      </c>
      <c r="Y187" s="17"/>
      <c r="Z187" s="14" t="e">
        <f t="shared" si="11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15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4"/>
        <v>0</v>
      </c>
      <c r="W188" s="12">
        <f t="shared" si="9"/>
        <v>0</v>
      </c>
      <c r="X188" s="14" t="e">
        <f t="shared" si="10"/>
        <v>#N/A</v>
      </c>
      <c r="Y188" s="17"/>
      <c r="Z188" s="14" t="e">
        <f t="shared" si="11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15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4"/>
        <v>0</v>
      </c>
      <c r="W189" s="12">
        <f t="shared" si="9"/>
        <v>0</v>
      </c>
      <c r="X189" s="14" t="e">
        <f t="shared" si="10"/>
        <v>#N/A</v>
      </c>
      <c r="Y189" s="17"/>
      <c r="Z189" s="14" t="e">
        <f t="shared" si="11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15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4"/>
        <v>0</v>
      </c>
      <c r="W190" s="12">
        <f t="shared" si="9"/>
        <v>0</v>
      </c>
      <c r="X190" s="14" t="e">
        <f t="shared" si="10"/>
        <v>#N/A</v>
      </c>
      <c r="Y190" s="17"/>
      <c r="Z190" s="14" t="e">
        <f t="shared" si="11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15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4"/>
        <v>0</v>
      </c>
      <c r="W191" s="12">
        <f t="shared" si="9"/>
        <v>0</v>
      </c>
      <c r="X191" s="14" t="e">
        <f t="shared" si="10"/>
        <v>#N/A</v>
      </c>
      <c r="Y191" s="17"/>
      <c r="Z191" s="14" t="e">
        <f t="shared" si="11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15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4"/>
        <v>0</v>
      </c>
      <c r="W192" s="12">
        <f t="shared" si="9"/>
        <v>0</v>
      </c>
      <c r="X192" s="14" t="e">
        <f t="shared" si="10"/>
        <v>#N/A</v>
      </c>
      <c r="Y192" s="17"/>
      <c r="Z192" s="14" t="e">
        <f t="shared" si="11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15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4"/>
        <v>0</v>
      </c>
      <c r="W193" s="12">
        <f t="shared" si="9"/>
        <v>0</v>
      </c>
      <c r="X193" s="14" t="e">
        <f t="shared" si="10"/>
        <v>#N/A</v>
      </c>
      <c r="Y193" s="17"/>
      <c r="Z193" s="14" t="e">
        <f t="shared" si="11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15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16">IF(C194, P194, U194 )</f>
        <v>0</v>
      </c>
      <c r="W194" s="12">
        <f t="shared" si="9"/>
        <v>0</v>
      </c>
      <c r="X194" s="14" t="e">
        <f t="shared" si="10"/>
        <v>#N/A</v>
      </c>
      <c r="Y194" s="17"/>
      <c r="Z194" s="14" t="e">
        <f t="shared" si="11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15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16"/>
        <v>0</v>
      </c>
      <c r="W195" s="12">
        <f t="shared" si="9"/>
        <v>0</v>
      </c>
      <c r="X195" s="14" t="e">
        <f t="shared" si="10"/>
        <v>#N/A</v>
      </c>
      <c r="Y195" s="17"/>
      <c r="Z195" s="14" t="e">
        <f t="shared" si="11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15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16"/>
        <v>0</v>
      </c>
      <c r="W196" s="12">
        <f t="shared" si="9"/>
        <v>0</v>
      </c>
      <c r="X196" s="14" t="e">
        <f t="shared" si="10"/>
        <v>#N/A</v>
      </c>
      <c r="Y196" s="17"/>
      <c r="Z196" s="14" t="e">
        <f t="shared" si="11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17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16"/>
        <v>0</v>
      </c>
      <c r="W197" s="12">
        <f t="shared" si="9"/>
        <v>0</v>
      </c>
      <c r="X197" s="14" t="e">
        <f t="shared" si="10"/>
        <v>#N/A</v>
      </c>
      <c r="Y197" s="17"/>
      <c r="Z197" s="14" t="e">
        <f t="shared" si="11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17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16"/>
        <v>0</v>
      </c>
      <c r="W198" s="12">
        <f t="shared" si="9"/>
        <v>0</v>
      </c>
      <c r="X198" s="14" t="e">
        <f t="shared" si="10"/>
        <v>#N/A</v>
      </c>
      <c r="Y198" s="17"/>
      <c r="Z198" s="14" t="e">
        <f t="shared" si="11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17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16"/>
        <v>0</v>
      </c>
      <c r="W199" s="12">
        <f t="shared" si="9"/>
        <v>0</v>
      </c>
      <c r="X199" s="14" t="e">
        <f t="shared" si="10"/>
        <v>#N/A</v>
      </c>
      <c r="Y199" s="17"/>
      <c r="Z199" s="14" t="e">
        <f t="shared" si="11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17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16"/>
        <v>0</v>
      </c>
      <c r="W200" s="12">
        <f t="shared" si="9"/>
        <v>0</v>
      </c>
      <c r="X200" s="14" t="e">
        <f t="shared" si="10"/>
        <v>#N/A</v>
      </c>
      <c r="Y200" s="17"/>
      <c r="Z200" s="14" t="e">
        <f t="shared" si="11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17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18">SUMIF(O:O,AA203,P:P)</f>
        <v>0</v>
      </c>
      <c r="AI203" s="42">
        <f t="shared" ref="AI203:AI266" si="19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18"/>
        <v>0</v>
      </c>
      <c r="AI204" s="42">
        <f t="shared" si="19"/>
        <v>0</v>
      </c>
      <c r="AJ204" s="43">
        <f t="shared" ref="AJ204:AJ222" si="20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1">AL204*AG204/1000</f>
        <v>0</v>
      </c>
      <c r="AO204" s="45"/>
      <c r="AP204" s="44" t="str">
        <f t="shared" ref="AP204:AP267" si="22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18"/>
        <v>0</v>
      </c>
      <c r="AI205" s="42">
        <f t="shared" si="19"/>
        <v>0</v>
      </c>
      <c r="AJ205" s="43">
        <f t="shared" si="20"/>
        <v>0</v>
      </c>
      <c r="AK205" s="44">
        <f>AH205*AG205/1000</f>
        <v>0</v>
      </c>
      <c r="AL205" s="45"/>
      <c r="AM205" s="45"/>
      <c r="AN205" s="44">
        <f t="shared" si="21"/>
        <v>0</v>
      </c>
      <c r="AO205" s="44"/>
      <c r="AP205" s="44" t="str">
        <f t="shared" si="22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18"/>
        <v>0</v>
      </c>
      <c r="AI206" s="42">
        <f t="shared" si="19"/>
        <v>0</v>
      </c>
      <c r="AJ206" s="43">
        <f t="shared" si="20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1"/>
        <v>0</v>
      </c>
      <c r="AO206" s="45"/>
      <c r="AP206" s="44" t="str">
        <f t="shared" si="22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18"/>
        <v>0</v>
      </c>
      <c r="AI207" s="42">
        <f t="shared" si="19"/>
        <v>0</v>
      </c>
      <c r="AJ207" s="43">
        <f t="shared" si="20"/>
        <v>0</v>
      </c>
      <c r="AK207" s="44">
        <f t="shared" ref="AK207:AK240" si="23">AH207*AG207/1000</f>
        <v>0</v>
      </c>
      <c r="AL207" s="45">
        <f>AO207+AQ207-[2]Sheet1!$AH208</f>
        <v>0</v>
      </c>
      <c r="AM207" s="45">
        <f t="shared" ref="AM207:AM216" si="24">AL207-AJ207</f>
        <v>0</v>
      </c>
      <c r="AN207" s="44">
        <f t="shared" si="21"/>
        <v>0</v>
      </c>
      <c r="AO207" s="45"/>
      <c r="AP207" s="44" t="str">
        <f t="shared" si="22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18"/>
        <v>0</v>
      </c>
      <c r="AI208" s="42">
        <f t="shared" si="19"/>
        <v>0</v>
      </c>
      <c r="AJ208" s="43">
        <f t="shared" si="20"/>
        <v>0</v>
      </c>
      <c r="AK208" s="44">
        <f t="shared" si="23"/>
        <v>0</v>
      </c>
      <c r="AL208" s="45">
        <f>AO208+AQ208-[2]Sheet1!$AH209</f>
        <v>0</v>
      </c>
      <c r="AM208" s="45">
        <f t="shared" si="24"/>
        <v>0</v>
      </c>
      <c r="AN208" s="44">
        <f t="shared" si="21"/>
        <v>0</v>
      </c>
      <c r="AO208" s="45"/>
      <c r="AP208" s="44" t="str">
        <f t="shared" si="22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18"/>
        <v>0</v>
      </c>
      <c r="AI209" s="42">
        <f t="shared" si="19"/>
        <v>0</v>
      </c>
      <c r="AJ209" s="43">
        <f t="shared" si="20"/>
        <v>0</v>
      </c>
      <c r="AK209" s="44">
        <f t="shared" si="23"/>
        <v>0</v>
      </c>
      <c r="AL209" s="45">
        <f>AO209+AQ209-[2]Sheet1!$AH210</f>
        <v>0</v>
      </c>
      <c r="AM209" s="45">
        <f t="shared" si="24"/>
        <v>0</v>
      </c>
      <c r="AN209" s="44">
        <f t="shared" si="21"/>
        <v>0</v>
      </c>
      <c r="AO209" s="45"/>
      <c r="AP209" s="44" t="str">
        <f t="shared" si="22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18"/>
        <v>0</v>
      </c>
      <c r="AI210" s="42">
        <f t="shared" si="19"/>
        <v>0</v>
      </c>
      <c r="AJ210" s="43">
        <f t="shared" si="20"/>
        <v>0</v>
      </c>
      <c r="AK210" s="44">
        <f t="shared" si="23"/>
        <v>0</v>
      </c>
      <c r="AL210" s="45">
        <f>AO210+AQ210-[2]Sheet1!$AH211</f>
        <v>0</v>
      </c>
      <c r="AM210" s="45">
        <f t="shared" si="24"/>
        <v>0</v>
      </c>
      <c r="AN210" s="44">
        <f t="shared" si="21"/>
        <v>0</v>
      </c>
      <c r="AO210" s="45"/>
      <c r="AP210" s="44" t="str">
        <f t="shared" si="22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18"/>
        <v>0</v>
      </c>
      <c r="AI211" s="42">
        <f t="shared" si="19"/>
        <v>0</v>
      </c>
      <c r="AJ211" s="43">
        <f t="shared" si="20"/>
        <v>0</v>
      </c>
      <c r="AK211" s="44">
        <f t="shared" si="23"/>
        <v>0</v>
      </c>
      <c r="AL211" s="45">
        <f>AO211+AQ211-[2]Sheet1!$AH212</f>
        <v>0</v>
      </c>
      <c r="AM211" s="45">
        <f t="shared" si="24"/>
        <v>0</v>
      </c>
      <c r="AN211" s="44">
        <f t="shared" si="21"/>
        <v>0</v>
      </c>
      <c r="AO211" s="45"/>
      <c r="AP211" s="44" t="str">
        <f t="shared" si="22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18"/>
        <v>0</v>
      </c>
      <c r="AI212" s="42">
        <f t="shared" si="19"/>
        <v>0</v>
      </c>
      <c r="AJ212" s="43">
        <f t="shared" si="20"/>
        <v>0</v>
      </c>
      <c r="AK212" s="44">
        <f t="shared" si="23"/>
        <v>0</v>
      </c>
      <c r="AL212" s="45">
        <f>AO212+AQ212-[2]Sheet1!$AH213</f>
        <v>0</v>
      </c>
      <c r="AM212" s="45">
        <f t="shared" si="24"/>
        <v>0</v>
      </c>
      <c r="AN212" s="44">
        <f t="shared" si="21"/>
        <v>0</v>
      </c>
      <c r="AO212" s="45"/>
      <c r="AP212" s="44" t="str">
        <f t="shared" si="22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18"/>
        <v>0</v>
      </c>
      <c r="AI213" s="42">
        <f t="shared" si="19"/>
        <v>0</v>
      </c>
      <c r="AJ213" s="43">
        <f t="shared" si="20"/>
        <v>0</v>
      </c>
      <c r="AK213" s="44">
        <f t="shared" si="23"/>
        <v>0</v>
      </c>
      <c r="AL213" s="45">
        <f>AO213+AQ213-[2]Sheet1!$AH214</f>
        <v>0</v>
      </c>
      <c r="AM213" s="45">
        <f t="shared" si="24"/>
        <v>0</v>
      </c>
      <c r="AN213" s="44">
        <f t="shared" si="21"/>
        <v>0</v>
      </c>
      <c r="AO213" s="45"/>
      <c r="AP213" s="44" t="str">
        <f t="shared" si="22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18"/>
        <v>0</v>
      </c>
      <c r="AI214" s="42">
        <f t="shared" si="19"/>
        <v>0</v>
      </c>
      <c r="AJ214" s="43">
        <f t="shared" si="20"/>
        <v>0</v>
      </c>
      <c r="AK214" s="44">
        <f t="shared" si="23"/>
        <v>0</v>
      </c>
      <c r="AL214" s="45">
        <f>AO214+AQ214-[2]Sheet1!$AH215</f>
        <v>0</v>
      </c>
      <c r="AM214" s="45">
        <f t="shared" si="24"/>
        <v>0</v>
      </c>
      <c r="AN214" s="44">
        <f t="shared" si="21"/>
        <v>0</v>
      </c>
      <c r="AO214" s="45"/>
      <c r="AP214" s="44" t="str">
        <f t="shared" si="22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18"/>
        <v>0</v>
      </c>
      <c r="AI215" s="42">
        <f t="shared" si="19"/>
        <v>0</v>
      </c>
      <c r="AJ215" s="43">
        <f t="shared" si="20"/>
        <v>0</v>
      </c>
      <c r="AK215" s="44">
        <f t="shared" si="23"/>
        <v>0</v>
      </c>
      <c r="AL215" s="45">
        <f>AO215+AQ215-[2]Sheet1!$AH216</f>
        <v>0</v>
      </c>
      <c r="AM215" s="45">
        <f t="shared" si="24"/>
        <v>0</v>
      </c>
      <c r="AN215" s="44">
        <f t="shared" si="21"/>
        <v>0</v>
      </c>
      <c r="AO215" s="45"/>
      <c r="AP215" s="44" t="str">
        <f t="shared" si="22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18"/>
        <v>0</v>
      </c>
      <c r="AI216" s="42">
        <f t="shared" si="19"/>
        <v>0</v>
      </c>
      <c r="AJ216" s="43">
        <f t="shared" si="20"/>
        <v>0</v>
      </c>
      <c r="AK216" s="44">
        <f t="shared" si="23"/>
        <v>0</v>
      </c>
      <c r="AL216" s="45">
        <f>AO216+AQ216-[2]Sheet1!$AH217</f>
        <v>0</v>
      </c>
      <c r="AM216" s="45">
        <f t="shared" si="24"/>
        <v>0</v>
      </c>
      <c r="AN216" s="44">
        <f t="shared" si="21"/>
        <v>0</v>
      </c>
      <c r="AO216" s="44"/>
      <c r="AP216" s="44" t="str">
        <f t="shared" si="22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18"/>
        <v>0</v>
      </c>
      <c r="AI217" s="42">
        <f t="shared" si="19"/>
        <v>0</v>
      </c>
      <c r="AJ217" s="43">
        <f t="shared" si="20"/>
        <v>0</v>
      </c>
      <c r="AK217" s="44">
        <f t="shared" si="23"/>
        <v>0</v>
      </c>
      <c r="AL217" s="45">
        <f>AO217+AQ217-[2]Sheet1!$AH218</f>
        <v>0</v>
      </c>
      <c r="AM217" s="45">
        <f>AL217-AJ217</f>
        <v>0</v>
      </c>
      <c r="AN217" s="44">
        <f t="shared" si="21"/>
        <v>0</v>
      </c>
      <c r="AO217" s="45"/>
      <c r="AP217" s="44" t="str">
        <f t="shared" si="22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18"/>
        <v>0</v>
      </c>
      <c r="AI218" s="42">
        <f t="shared" si="19"/>
        <v>0</v>
      </c>
      <c r="AJ218" s="43">
        <f t="shared" si="20"/>
        <v>0</v>
      </c>
      <c r="AK218" s="44">
        <f t="shared" si="23"/>
        <v>0</v>
      </c>
      <c r="AL218" s="45">
        <f>AO218+AQ218-[2]Sheet1!$AH219</f>
        <v>0</v>
      </c>
      <c r="AM218" s="45">
        <f t="shared" ref="AM218:AM267" si="25">AL218-AJ218</f>
        <v>0</v>
      </c>
      <c r="AN218" s="44">
        <f t="shared" si="21"/>
        <v>0</v>
      </c>
      <c r="AO218" s="45"/>
      <c r="AP218" s="44" t="str">
        <f t="shared" si="22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18"/>
        <v>0</v>
      </c>
      <c r="AI219" s="42">
        <f t="shared" si="19"/>
        <v>0</v>
      </c>
      <c r="AJ219" s="43">
        <f t="shared" si="20"/>
        <v>0</v>
      </c>
      <c r="AK219" s="44">
        <f t="shared" si="23"/>
        <v>0</v>
      </c>
      <c r="AL219" s="45">
        <f>AO219+AQ219-[2]Sheet1!$AH220</f>
        <v>0</v>
      </c>
      <c r="AM219" s="45">
        <f t="shared" si="25"/>
        <v>0</v>
      </c>
      <c r="AN219" s="44">
        <f t="shared" si="21"/>
        <v>0</v>
      </c>
      <c r="AO219" s="45"/>
      <c r="AP219" s="44" t="str">
        <f t="shared" si="22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18"/>
        <v>0</v>
      </c>
      <c r="AI220" s="42">
        <f t="shared" si="19"/>
        <v>0</v>
      </c>
      <c r="AJ220" s="43">
        <f t="shared" si="20"/>
        <v>0</v>
      </c>
      <c r="AK220" s="44">
        <f t="shared" si="23"/>
        <v>0</v>
      </c>
      <c r="AL220" s="45">
        <f>AO220+AQ220-[2]Sheet1!$AH221</f>
        <v>0</v>
      </c>
      <c r="AM220" s="45">
        <f t="shared" si="25"/>
        <v>0</v>
      </c>
      <c r="AN220" s="44">
        <f t="shared" si="21"/>
        <v>0</v>
      </c>
      <c r="AO220" s="45"/>
      <c r="AP220" s="44" t="str">
        <f t="shared" si="22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18"/>
        <v>0</v>
      </c>
      <c r="AI221" s="42">
        <f t="shared" si="19"/>
        <v>0</v>
      </c>
      <c r="AJ221" s="43">
        <f t="shared" si="20"/>
        <v>0</v>
      </c>
      <c r="AK221" s="44">
        <f t="shared" si="23"/>
        <v>0</v>
      </c>
      <c r="AL221" s="45">
        <f>AO221+AQ221-[2]Sheet1!$AH222</f>
        <v>0</v>
      </c>
      <c r="AM221" s="45">
        <f t="shared" si="25"/>
        <v>0</v>
      </c>
      <c r="AN221" s="44">
        <f t="shared" si="21"/>
        <v>0</v>
      </c>
      <c r="AO221" s="45"/>
      <c r="AP221" s="44" t="str">
        <f t="shared" si="22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18"/>
        <v>0</v>
      </c>
      <c r="AI222" s="42">
        <f t="shared" si="19"/>
        <v>0</v>
      </c>
      <c r="AJ222" s="43">
        <f t="shared" si="20"/>
        <v>0</v>
      </c>
      <c r="AK222" s="44">
        <f t="shared" si="23"/>
        <v>0</v>
      </c>
      <c r="AL222" s="45">
        <f>AO222+AQ222-[2]Sheet1!$AH223</f>
        <v>0</v>
      </c>
      <c r="AM222" s="45">
        <f t="shared" si="25"/>
        <v>0</v>
      </c>
      <c r="AN222" s="44">
        <f t="shared" si="21"/>
        <v>0</v>
      </c>
      <c r="AO222" s="45"/>
      <c r="AP222" s="44" t="str">
        <f t="shared" si="22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18"/>
        <v>0</v>
      </c>
      <c r="AI223" s="49">
        <f t="shared" si="19"/>
        <v>0</v>
      </c>
      <c r="AJ223" s="50">
        <f>AH223-AI223</f>
        <v>0</v>
      </c>
      <c r="AK223" s="51">
        <f t="shared" si="23"/>
        <v>0</v>
      </c>
      <c r="AL223" s="52">
        <f>AO223+AQ223-[2]Sheet1!$AH224</f>
        <v>0</v>
      </c>
      <c r="AM223" s="52">
        <f t="shared" si="25"/>
        <v>0</v>
      </c>
      <c r="AN223" s="51">
        <f t="shared" si="21"/>
        <v>0</v>
      </c>
      <c r="AO223" s="52"/>
      <c r="AP223" s="51" t="str">
        <f t="shared" si="22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18"/>
        <v>0</v>
      </c>
      <c r="AI224" s="49">
        <f t="shared" si="19"/>
        <v>0</v>
      </c>
      <c r="AJ224" s="50">
        <f t="shared" ref="AJ224:AJ239" si="26">AH224-AI224</f>
        <v>0</v>
      </c>
      <c r="AK224" s="51">
        <f t="shared" si="23"/>
        <v>0</v>
      </c>
      <c r="AL224" s="52">
        <f>AO224+AQ224-[2]Sheet1!$AH225</f>
        <v>0</v>
      </c>
      <c r="AM224" s="52">
        <f t="shared" si="25"/>
        <v>0</v>
      </c>
      <c r="AN224" s="51">
        <f t="shared" si="21"/>
        <v>0</v>
      </c>
      <c r="AO224" s="52"/>
      <c r="AP224" s="51" t="str">
        <f t="shared" si="22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18"/>
        <v>0</v>
      </c>
      <c r="AI225" s="49">
        <f t="shared" si="19"/>
        <v>0</v>
      </c>
      <c r="AJ225" s="50">
        <f t="shared" si="26"/>
        <v>0</v>
      </c>
      <c r="AK225" s="51">
        <f t="shared" si="23"/>
        <v>0</v>
      </c>
      <c r="AL225" s="52">
        <f>AO225+AQ225-[2]Sheet1!$AH226</f>
        <v>0</v>
      </c>
      <c r="AM225" s="52">
        <f t="shared" si="25"/>
        <v>0</v>
      </c>
      <c r="AN225" s="51">
        <f t="shared" si="21"/>
        <v>0</v>
      </c>
      <c r="AO225" s="52"/>
      <c r="AP225" s="51" t="str">
        <f t="shared" si="22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18"/>
        <v>0</v>
      </c>
      <c r="AI226" s="49">
        <f t="shared" si="19"/>
        <v>0</v>
      </c>
      <c r="AJ226" s="50">
        <f t="shared" si="26"/>
        <v>0</v>
      </c>
      <c r="AK226" s="51">
        <f t="shared" si="23"/>
        <v>0</v>
      </c>
      <c r="AL226" s="52">
        <f>AO226+AQ226-[2]Sheet1!$AH227</f>
        <v>0</v>
      </c>
      <c r="AM226" s="52">
        <f t="shared" si="25"/>
        <v>0</v>
      </c>
      <c r="AN226" s="51">
        <f t="shared" si="21"/>
        <v>0</v>
      </c>
      <c r="AO226" s="52"/>
      <c r="AP226" s="51" t="str">
        <f t="shared" si="22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18"/>
        <v>0</v>
      </c>
      <c r="AI227" s="49">
        <f t="shared" si="19"/>
        <v>0</v>
      </c>
      <c r="AJ227" s="50">
        <f t="shared" si="26"/>
        <v>0</v>
      </c>
      <c r="AK227" s="51">
        <f t="shared" si="23"/>
        <v>0</v>
      </c>
      <c r="AL227" s="52">
        <f>AO227+AQ227-[2]Sheet1!$AH228</f>
        <v>0</v>
      </c>
      <c r="AM227" s="52">
        <f t="shared" si="25"/>
        <v>0</v>
      </c>
      <c r="AN227" s="51">
        <f t="shared" si="21"/>
        <v>0</v>
      </c>
      <c r="AO227" s="52"/>
      <c r="AP227" s="51" t="str">
        <f t="shared" si="22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18"/>
        <v>0</v>
      </c>
      <c r="AI228" s="49">
        <f t="shared" si="19"/>
        <v>0</v>
      </c>
      <c r="AJ228" s="50">
        <f t="shared" si="26"/>
        <v>0</v>
      </c>
      <c r="AK228" s="51">
        <f t="shared" si="23"/>
        <v>0</v>
      </c>
      <c r="AL228" s="52">
        <f>AO228+AQ228-[2]Sheet1!$AH229</f>
        <v>0</v>
      </c>
      <c r="AM228" s="52">
        <f t="shared" si="25"/>
        <v>0</v>
      </c>
      <c r="AN228" s="51">
        <f t="shared" si="21"/>
        <v>0</v>
      </c>
      <c r="AO228" s="52"/>
      <c r="AP228" s="51" t="str">
        <f t="shared" si="22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18"/>
        <v>0</v>
      </c>
      <c r="AI229" s="49">
        <f t="shared" si="19"/>
        <v>0</v>
      </c>
      <c r="AJ229" s="50">
        <f t="shared" si="26"/>
        <v>0</v>
      </c>
      <c r="AK229" s="51">
        <f t="shared" si="23"/>
        <v>0</v>
      </c>
      <c r="AL229" s="52">
        <f>AO229+AQ229-[2]Sheet1!$AH230</f>
        <v>0</v>
      </c>
      <c r="AM229" s="52">
        <f t="shared" si="25"/>
        <v>0</v>
      </c>
      <c r="AN229" s="51">
        <f t="shared" si="21"/>
        <v>0</v>
      </c>
      <c r="AO229" s="52"/>
      <c r="AP229" s="51" t="str">
        <f t="shared" si="22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18"/>
        <v>0</v>
      </c>
      <c r="AI230" s="49">
        <f t="shared" si="19"/>
        <v>0</v>
      </c>
      <c r="AJ230" s="50">
        <f t="shared" si="26"/>
        <v>0</v>
      </c>
      <c r="AK230" s="51">
        <f t="shared" si="23"/>
        <v>0</v>
      </c>
      <c r="AL230" s="52">
        <f>AO230+AQ230-[2]Sheet1!$AH231</f>
        <v>0</v>
      </c>
      <c r="AM230" s="52">
        <f t="shared" si="25"/>
        <v>0</v>
      </c>
      <c r="AN230" s="51">
        <f t="shared" si="21"/>
        <v>0</v>
      </c>
      <c r="AO230" s="52"/>
      <c r="AP230" s="51" t="str">
        <f t="shared" si="22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18"/>
        <v>0</v>
      </c>
      <c r="AI231" s="49">
        <f t="shared" si="19"/>
        <v>0</v>
      </c>
      <c r="AJ231" s="50">
        <f t="shared" si="26"/>
        <v>0</v>
      </c>
      <c r="AK231" s="51">
        <f t="shared" si="23"/>
        <v>0</v>
      </c>
      <c r="AL231" s="52">
        <f>AO231+AQ231-[2]Sheet1!$AH232</f>
        <v>0</v>
      </c>
      <c r="AM231" s="52">
        <f t="shared" si="25"/>
        <v>0</v>
      </c>
      <c r="AN231" s="51">
        <f t="shared" si="21"/>
        <v>0</v>
      </c>
      <c r="AO231" s="52"/>
      <c r="AP231" s="51" t="str">
        <f t="shared" si="22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18"/>
        <v>0</v>
      </c>
      <c r="AI232" s="49">
        <f t="shared" si="19"/>
        <v>0</v>
      </c>
      <c r="AJ232" s="50">
        <f t="shared" si="26"/>
        <v>0</v>
      </c>
      <c r="AK232" s="51">
        <f t="shared" si="23"/>
        <v>0</v>
      </c>
      <c r="AL232" s="52">
        <f>AO232+AQ232-[2]Sheet1!$AH233</f>
        <v>0</v>
      </c>
      <c r="AM232" s="52">
        <f t="shared" si="25"/>
        <v>0</v>
      </c>
      <c r="AN232" s="51">
        <f t="shared" si="21"/>
        <v>0</v>
      </c>
      <c r="AO232" s="52"/>
      <c r="AP232" s="51" t="str">
        <f t="shared" si="22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18"/>
        <v>0</v>
      </c>
      <c r="AI233" s="49">
        <f t="shared" si="19"/>
        <v>0</v>
      </c>
      <c r="AJ233" s="50">
        <f t="shared" si="26"/>
        <v>0</v>
      </c>
      <c r="AK233" s="51">
        <f t="shared" si="23"/>
        <v>0</v>
      </c>
      <c r="AL233" s="52">
        <f>AO233+AQ233-[2]Sheet1!$AH234</f>
        <v>0</v>
      </c>
      <c r="AM233" s="52">
        <f t="shared" si="25"/>
        <v>0</v>
      </c>
      <c r="AN233" s="51">
        <f t="shared" si="21"/>
        <v>0</v>
      </c>
      <c r="AO233" s="52"/>
      <c r="AP233" s="51" t="str">
        <f t="shared" si="22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18"/>
        <v>0</v>
      </c>
      <c r="AI234" s="49">
        <f t="shared" si="19"/>
        <v>0</v>
      </c>
      <c r="AJ234" s="50">
        <f t="shared" si="26"/>
        <v>0</v>
      </c>
      <c r="AK234" s="51">
        <f t="shared" si="23"/>
        <v>0</v>
      </c>
      <c r="AL234" s="52">
        <f>AO234+AQ234-[2]Sheet1!$AH235</f>
        <v>0</v>
      </c>
      <c r="AM234" s="52">
        <f t="shared" si="25"/>
        <v>0</v>
      </c>
      <c r="AN234" s="51">
        <f t="shared" si="21"/>
        <v>0</v>
      </c>
      <c r="AO234" s="52"/>
      <c r="AP234" s="51" t="str">
        <f t="shared" si="22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18"/>
        <v>0</v>
      </c>
      <c r="AI235" s="49">
        <f t="shared" si="19"/>
        <v>0</v>
      </c>
      <c r="AJ235" s="50">
        <f t="shared" si="26"/>
        <v>0</v>
      </c>
      <c r="AK235" s="51">
        <f t="shared" si="23"/>
        <v>0</v>
      </c>
      <c r="AL235" s="52">
        <f>AO235+AQ235-[2]Sheet1!$AH236</f>
        <v>0</v>
      </c>
      <c r="AM235" s="52">
        <f t="shared" si="25"/>
        <v>0</v>
      </c>
      <c r="AN235" s="51">
        <f t="shared" si="21"/>
        <v>0</v>
      </c>
      <c r="AO235" s="52"/>
      <c r="AP235" s="51" t="str">
        <f t="shared" si="22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18"/>
        <v>0</v>
      </c>
      <c r="AI236" s="49">
        <f t="shared" si="19"/>
        <v>0</v>
      </c>
      <c r="AJ236" s="50">
        <f t="shared" si="26"/>
        <v>0</v>
      </c>
      <c r="AK236" s="51">
        <f t="shared" si="23"/>
        <v>0</v>
      </c>
      <c r="AL236" s="52">
        <f>AO236+AQ236-[2]Sheet1!$AH237</f>
        <v>0</v>
      </c>
      <c r="AM236" s="52">
        <f t="shared" si="25"/>
        <v>0</v>
      </c>
      <c r="AN236" s="51">
        <f t="shared" si="21"/>
        <v>0</v>
      </c>
      <c r="AO236" s="52"/>
      <c r="AP236" s="51" t="str">
        <f t="shared" si="22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18"/>
        <v>0</v>
      </c>
      <c r="AI237" s="49">
        <f t="shared" si="19"/>
        <v>0</v>
      </c>
      <c r="AJ237" s="50">
        <f t="shared" si="26"/>
        <v>0</v>
      </c>
      <c r="AK237" s="51">
        <f t="shared" si="23"/>
        <v>0</v>
      </c>
      <c r="AL237" s="52">
        <f>AO237+AQ237-[2]Sheet1!$AH238</f>
        <v>0</v>
      </c>
      <c r="AM237" s="52">
        <f t="shared" si="25"/>
        <v>0</v>
      </c>
      <c r="AN237" s="51">
        <f t="shared" si="21"/>
        <v>0</v>
      </c>
      <c r="AO237" s="52"/>
      <c r="AP237" s="51" t="str">
        <f t="shared" si="22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18"/>
        <v>0</v>
      </c>
      <c r="AI238" s="49">
        <f t="shared" si="19"/>
        <v>0</v>
      </c>
      <c r="AJ238" s="50">
        <f t="shared" si="26"/>
        <v>0</v>
      </c>
      <c r="AK238" s="51">
        <f t="shared" si="23"/>
        <v>0</v>
      </c>
      <c r="AL238" s="52">
        <f>AO238+AQ238-[2]Sheet1!$AH239</f>
        <v>0</v>
      </c>
      <c r="AM238" s="52">
        <f t="shared" si="25"/>
        <v>0</v>
      </c>
      <c r="AN238" s="51">
        <f t="shared" si="21"/>
        <v>0</v>
      </c>
      <c r="AO238" s="52"/>
      <c r="AP238" s="51" t="str">
        <f t="shared" si="22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18"/>
        <v>0</v>
      </c>
      <c r="AI239" s="49">
        <f t="shared" si="19"/>
        <v>0</v>
      </c>
      <c r="AJ239" s="50">
        <f t="shared" si="26"/>
        <v>0</v>
      </c>
      <c r="AK239" s="51">
        <f t="shared" si="23"/>
        <v>0</v>
      </c>
      <c r="AL239" s="52">
        <f>AO239+AQ239-[2]Sheet1!$AH240</f>
        <v>0</v>
      </c>
      <c r="AM239" s="52">
        <f t="shared" si="25"/>
        <v>0</v>
      </c>
      <c r="AN239" s="51">
        <f t="shared" si="21"/>
        <v>0</v>
      </c>
      <c r="AO239" s="52"/>
      <c r="AP239" s="51" t="str">
        <f t="shared" si="22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18"/>
        <v>0</v>
      </c>
      <c r="AI240" s="56">
        <f t="shared" si="19"/>
        <v>0</v>
      </c>
      <c r="AJ240" s="57">
        <f>AH240-AI240</f>
        <v>0</v>
      </c>
      <c r="AK240" s="58">
        <f t="shared" si="23"/>
        <v>0</v>
      </c>
      <c r="AL240" s="59">
        <f>AO240+AQ240-[2]Sheet1!$AH241</f>
        <v>0</v>
      </c>
      <c r="AM240" s="59">
        <f t="shared" si="25"/>
        <v>0</v>
      </c>
      <c r="AN240" s="58">
        <f t="shared" si="21"/>
        <v>0</v>
      </c>
      <c r="AO240" s="59"/>
      <c r="AP240" s="58" t="str">
        <f t="shared" si="22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18"/>
        <v>0</v>
      </c>
      <c r="AI241" s="56">
        <f t="shared" si="19"/>
        <v>0</v>
      </c>
      <c r="AJ241" s="57">
        <f t="shared" ref="AJ241:AJ264" si="27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25"/>
        <v>0</v>
      </c>
      <c r="AN241" s="58">
        <f t="shared" si="21"/>
        <v>0</v>
      </c>
      <c r="AO241" s="59"/>
      <c r="AP241" s="58" t="str">
        <f t="shared" si="22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18"/>
        <v>0</v>
      </c>
      <c r="AI242" s="56">
        <f t="shared" si="19"/>
        <v>0</v>
      </c>
      <c r="AJ242" s="57">
        <f t="shared" si="27"/>
        <v>0</v>
      </c>
      <c r="AK242" s="58">
        <f t="shared" ref="AK242:AK267" si="28">AH242*AG242/1000</f>
        <v>0</v>
      </c>
      <c r="AL242" s="59">
        <f>AO242+AQ242-[2]Sheet1!$AH243</f>
        <v>0</v>
      </c>
      <c r="AM242" s="59">
        <f t="shared" si="25"/>
        <v>0</v>
      </c>
      <c r="AN242" s="58">
        <f t="shared" si="21"/>
        <v>0</v>
      </c>
      <c r="AO242" s="59"/>
      <c r="AP242" s="58" t="str">
        <f t="shared" si="22"/>
        <v/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18"/>
        <v>0</v>
      </c>
      <c r="AI243" s="56">
        <f t="shared" si="19"/>
        <v>0</v>
      </c>
      <c r="AJ243" s="57">
        <f t="shared" si="27"/>
        <v>0</v>
      </c>
      <c r="AK243" s="58">
        <f t="shared" si="28"/>
        <v>0</v>
      </c>
      <c r="AL243" s="59">
        <f>AO243+AQ243-[2]Sheet1!$AH244</f>
        <v>0</v>
      </c>
      <c r="AM243" s="59">
        <f t="shared" si="25"/>
        <v>0</v>
      </c>
      <c r="AN243" s="58">
        <f t="shared" si="21"/>
        <v>0</v>
      </c>
      <c r="AO243" s="59"/>
      <c r="AP243" s="58" t="str">
        <f t="shared" si="22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18"/>
        <v>0</v>
      </c>
      <c r="AI244" s="56">
        <f t="shared" si="19"/>
        <v>0</v>
      </c>
      <c r="AJ244" s="57">
        <f t="shared" si="27"/>
        <v>0</v>
      </c>
      <c r="AK244" s="58">
        <f t="shared" si="28"/>
        <v>0</v>
      </c>
      <c r="AL244" s="59">
        <f>AO244+AQ244-[2]Sheet1!$AH245</f>
        <v>0</v>
      </c>
      <c r="AM244" s="59">
        <f t="shared" si="25"/>
        <v>0</v>
      </c>
      <c r="AN244" s="58">
        <f t="shared" si="21"/>
        <v>0</v>
      </c>
      <c r="AO244" s="59"/>
      <c r="AP244" s="58" t="str">
        <f t="shared" si="22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18"/>
        <v>0</v>
      </c>
      <c r="AI245" s="56">
        <f t="shared" si="19"/>
        <v>0</v>
      </c>
      <c r="AJ245" s="57">
        <f t="shared" si="27"/>
        <v>0</v>
      </c>
      <c r="AK245" s="58">
        <f t="shared" si="28"/>
        <v>0</v>
      </c>
      <c r="AL245" s="59">
        <f>AO245+AQ245-[2]Sheet1!$AH246</f>
        <v>0</v>
      </c>
      <c r="AM245" s="59">
        <f t="shared" si="25"/>
        <v>0</v>
      </c>
      <c r="AN245" s="58">
        <f t="shared" si="21"/>
        <v>0</v>
      </c>
      <c r="AO245" s="59"/>
      <c r="AP245" s="58" t="str">
        <f t="shared" si="22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18"/>
        <v>0</v>
      </c>
      <c r="AI246" s="56">
        <f t="shared" si="19"/>
        <v>0</v>
      </c>
      <c r="AJ246" s="57">
        <f t="shared" si="27"/>
        <v>0</v>
      </c>
      <c r="AK246" s="58">
        <f t="shared" si="28"/>
        <v>0</v>
      </c>
      <c r="AL246" s="59">
        <f>AO246+AQ246-[2]Sheet1!$AH247</f>
        <v>0</v>
      </c>
      <c r="AM246" s="59">
        <f t="shared" si="25"/>
        <v>0</v>
      </c>
      <c r="AN246" s="58">
        <f t="shared" si="21"/>
        <v>0</v>
      </c>
      <c r="AO246" s="59"/>
      <c r="AP246" s="58" t="str">
        <f t="shared" si="22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18"/>
        <v>0</v>
      </c>
      <c r="AI247" s="56">
        <f t="shared" si="19"/>
        <v>0</v>
      </c>
      <c r="AJ247" s="57">
        <f t="shared" si="27"/>
        <v>0</v>
      </c>
      <c r="AK247" s="58">
        <f t="shared" si="28"/>
        <v>0</v>
      </c>
      <c r="AL247" s="59">
        <f>AO247+AQ247-[2]Sheet1!$AH248</f>
        <v>0</v>
      </c>
      <c r="AM247" s="59">
        <f t="shared" si="25"/>
        <v>0</v>
      </c>
      <c r="AN247" s="58">
        <f t="shared" si="21"/>
        <v>0</v>
      </c>
      <c r="AO247" s="59"/>
      <c r="AP247" s="58" t="str">
        <f t="shared" si="22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18"/>
        <v>0</v>
      </c>
      <c r="AI248" s="56">
        <f t="shared" si="19"/>
        <v>0</v>
      </c>
      <c r="AJ248" s="57">
        <f t="shared" si="27"/>
        <v>0</v>
      </c>
      <c r="AK248" s="58">
        <f t="shared" si="28"/>
        <v>0</v>
      </c>
      <c r="AL248" s="59">
        <f>AO248+AQ248-[2]Sheet1!$AH249</f>
        <v>0</v>
      </c>
      <c r="AM248" s="59">
        <f t="shared" si="25"/>
        <v>0</v>
      </c>
      <c r="AN248" s="58">
        <f t="shared" si="21"/>
        <v>0</v>
      </c>
      <c r="AO248" s="59"/>
      <c r="AP248" s="58" t="str">
        <f t="shared" si="22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18"/>
        <v>0</v>
      </c>
      <c r="AI249" s="56">
        <f t="shared" si="19"/>
        <v>0</v>
      </c>
      <c r="AJ249" s="57">
        <f t="shared" si="27"/>
        <v>0</v>
      </c>
      <c r="AK249" s="58">
        <f t="shared" si="28"/>
        <v>0</v>
      </c>
      <c r="AL249" s="59">
        <f>AO249+AQ249-[2]Sheet1!$AH250</f>
        <v>0</v>
      </c>
      <c r="AM249" s="59">
        <f t="shared" si="25"/>
        <v>0</v>
      </c>
      <c r="AN249" s="58">
        <f t="shared" si="21"/>
        <v>0</v>
      </c>
      <c r="AO249" s="59"/>
      <c r="AP249" s="58" t="str">
        <f t="shared" si="22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18"/>
        <v>0</v>
      </c>
      <c r="AI250" s="56">
        <f t="shared" si="19"/>
        <v>0</v>
      </c>
      <c r="AJ250" s="57">
        <f t="shared" si="27"/>
        <v>0</v>
      </c>
      <c r="AK250" s="58">
        <f t="shared" si="28"/>
        <v>0</v>
      </c>
      <c r="AL250" s="59">
        <f>AO250+AQ250-[2]Sheet1!$AH251</f>
        <v>0</v>
      </c>
      <c r="AM250" s="59">
        <f t="shared" si="25"/>
        <v>0</v>
      </c>
      <c r="AN250" s="58">
        <f t="shared" si="21"/>
        <v>0</v>
      </c>
      <c r="AO250" s="59"/>
      <c r="AP250" s="58" t="str">
        <f t="shared" si="22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18"/>
        <v>0</v>
      </c>
      <c r="AI251" s="56">
        <f t="shared" si="19"/>
        <v>0</v>
      </c>
      <c r="AJ251" s="57">
        <f t="shared" si="27"/>
        <v>0</v>
      </c>
      <c r="AK251" s="58">
        <f t="shared" si="28"/>
        <v>0</v>
      </c>
      <c r="AL251" s="59">
        <f>AO251+AQ251-[2]Sheet1!$AH252</f>
        <v>0</v>
      </c>
      <c r="AM251" s="59">
        <f t="shared" si="25"/>
        <v>0</v>
      </c>
      <c r="AN251" s="58">
        <f t="shared" si="21"/>
        <v>0</v>
      </c>
      <c r="AO251" s="59"/>
      <c r="AP251" s="58" t="str">
        <f t="shared" si="22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18"/>
        <v>0</v>
      </c>
      <c r="AI252" s="56">
        <f t="shared" si="19"/>
        <v>0</v>
      </c>
      <c r="AJ252" s="57">
        <f t="shared" si="27"/>
        <v>0</v>
      </c>
      <c r="AK252" s="58">
        <f t="shared" si="28"/>
        <v>0</v>
      </c>
      <c r="AL252" s="59">
        <f>AO252+AQ252-[2]Sheet1!$AH253</f>
        <v>0</v>
      </c>
      <c r="AM252" s="59">
        <f t="shared" si="25"/>
        <v>0</v>
      </c>
      <c r="AN252" s="58">
        <f t="shared" si="21"/>
        <v>0</v>
      </c>
      <c r="AO252" s="59"/>
      <c r="AP252" s="58" t="str">
        <f t="shared" si="22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18"/>
        <v>0</v>
      </c>
      <c r="AI253" s="56">
        <f t="shared" si="19"/>
        <v>0</v>
      </c>
      <c r="AJ253" s="57">
        <f t="shared" si="27"/>
        <v>0</v>
      </c>
      <c r="AK253" s="58">
        <f t="shared" si="28"/>
        <v>0</v>
      </c>
      <c r="AL253" s="59">
        <f>AO253+AQ253-[2]Sheet1!$AH254</f>
        <v>0</v>
      </c>
      <c r="AM253" s="59">
        <f t="shared" si="25"/>
        <v>0</v>
      </c>
      <c r="AN253" s="58">
        <f t="shared" si="21"/>
        <v>0</v>
      </c>
      <c r="AO253" s="59"/>
      <c r="AP253" s="58" t="str">
        <f t="shared" si="22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18"/>
        <v>0</v>
      </c>
      <c r="AI254" s="56">
        <f t="shared" si="19"/>
        <v>0</v>
      </c>
      <c r="AJ254" s="57">
        <f t="shared" si="27"/>
        <v>0</v>
      </c>
      <c r="AK254" s="58">
        <f t="shared" si="28"/>
        <v>0</v>
      </c>
      <c r="AL254" s="59">
        <f>AO254+AQ254-[2]Sheet1!$AH255</f>
        <v>0</v>
      </c>
      <c r="AM254" s="59">
        <f t="shared" si="25"/>
        <v>0</v>
      </c>
      <c r="AN254" s="58">
        <f t="shared" si="21"/>
        <v>0</v>
      </c>
      <c r="AO254" s="59"/>
      <c r="AP254" s="58" t="str">
        <f t="shared" si="22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18"/>
        <v>0</v>
      </c>
      <c r="AI255" s="56">
        <f t="shared" si="19"/>
        <v>0</v>
      </c>
      <c r="AJ255" s="57">
        <f t="shared" si="27"/>
        <v>0</v>
      </c>
      <c r="AK255" s="58">
        <f t="shared" si="28"/>
        <v>0</v>
      </c>
      <c r="AL255" s="59">
        <f>AO255+AQ255-[2]Sheet1!$AH256</f>
        <v>0</v>
      </c>
      <c r="AM255" s="59">
        <f t="shared" si="25"/>
        <v>0</v>
      </c>
      <c r="AN255" s="58">
        <f t="shared" si="21"/>
        <v>0</v>
      </c>
      <c r="AO255" s="59"/>
      <c r="AP255" s="58" t="str">
        <f t="shared" si="22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18"/>
        <v>0</v>
      </c>
      <c r="AI256" s="56">
        <f t="shared" si="19"/>
        <v>0</v>
      </c>
      <c r="AJ256" s="57">
        <f t="shared" si="27"/>
        <v>0</v>
      </c>
      <c r="AK256" s="58">
        <f t="shared" si="28"/>
        <v>0</v>
      </c>
      <c r="AL256" s="59">
        <f>AO256+AQ256-[2]Sheet1!$AH257</f>
        <v>0</v>
      </c>
      <c r="AM256" s="59">
        <f t="shared" si="25"/>
        <v>0</v>
      </c>
      <c r="AN256" s="58">
        <f t="shared" si="21"/>
        <v>0</v>
      </c>
      <c r="AO256" s="59"/>
      <c r="AP256" s="58" t="str">
        <f t="shared" si="22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18"/>
        <v>0</v>
      </c>
      <c r="AI257" s="56">
        <f t="shared" si="19"/>
        <v>0</v>
      </c>
      <c r="AJ257" s="57">
        <f t="shared" si="27"/>
        <v>0</v>
      </c>
      <c r="AK257" s="58">
        <f t="shared" si="28"/>
        <v>0</v>
      </c>
      <c r="AL257" s="59">
        <f>AO257+AQ257-[2]Sheet1!$AH258</f>
        <v>0</v>
      </c>
      <c r="AM257" s="59">
        <f t="shared" si="25"/>
        <v>0</v>
      </c>
      <c r="AN257" s="58">
        <f t="shared" si="21"/>
        <v>0</v>
      </c>
      <c r="AO257" s="59"/>
      <c r="AP257" s="58" t="str">
        <f t="shared" si="22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18"/>
        <v>0</v>
      </c>
      <c r="AI258" s="56">
        <f t="shared" si="19"/>
        <v>0</v>
      </c>
      <c r="AJ258" s="57">
        <f t="shared" si="27"/>
        <v>0</v>
      </c>
      <c r="AK258" s="58">
        <f t="shared" si="28"/>
        <v>0</v>
      </c>
      <c r="AL258" s="59">
        <f>AO258+AQ258-[2]Sheet1!$AH259</f>
        <v>0</v>
      </c>
      <c r="AM258" s="59">
        <f t="shared" si="25"/>
        <v>0</v>
      </c>
      <c r="AN258" s="58">
        <f t="shared" si="21"/>
        <v>0</v>
      </c>
      <c r="AO258" s="59"/>
      <c r="AP258" s="58" t="str">
        <f t="shared" si="22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18"/>
        <v>0</v>
      </c>
      <c r="AI259" s="56">
        <f t="shared" si="19"/>
        <v>0</v>
      </c>
      <c r="AJ259" s="57">
        <f t="shared" si="27"/>
        <v>0</v>
      </c>
      <c r="AK259" s="58">
        <f t="shared" si="28"/>
        <v>0</v>
      </c>
      <c r="AL259" s="59">
        <f>AO259+AQ259-[2]Sheet1!$AH260</f>
        <v>0</v>
      </c>
      <c r="AM259" s="59">
        <f t="shared" si="25"/>
        <v>0</v>
      </c>
      <c r="AN259" s="58">
        <f t="shared" si="21"/>
        <v>0</v>
      </c>
      <c r="AO259" s="59"/>
      <c r="AP259" s="58" t="str">
        <f t="shared" si="22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18"/>
        <v>0</v>
      </c>
      <c r="AI260" s="56">
        <f t="shared" si="19"/>
        <v>0</v>
      </c>
      <c r="AJ260" s="57">
        <f t="shared" si="27"/>
        <v>0</v>
      </c>
      <c r="AK260" s="58">
        <f t="shared" si="28"/>
        <v>0</v>
      </c>
      <c r="AL260" s="59">
        <f>AO260+AQ260-[2]Sheet1!$AH261</f>
        <v>0</v>
      </c>
      <c r="AM260" s="59">
        <f t="shared" si="25"/>
        <v>0</v>
      </c>
      <c r="AN260" s="58">
        <f t="shared" si="21"/>
        <v>0</v>
      </c>
      <c r="AO260" s="59"/>
      <c r="AP260" s="58" t="str">
        <f t="shared" si="22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18"/>
        <v>0</v>
      </c>
      <c r="AI261" s="56">
        <f t="shared" si="19"/>
        <v>0</v>
      </c>
      <c r="AJ261" s="57">
        <f t="shared" si="27"/>
        <v>0</v>
      </c>
      <c r="AK261" s="58">
        <f t="shared" si="28"/>
        <v>0</v>
      </c>
      <c r="AL261" s="59">
        <f>AO261+AQ261-[2]Sheet1!$AH262</f>
        <v>0</v>
      </c>
      <c r="AM261" s="59">
        <f t="shared" si="25"/>
        <v>0</v>
      </c>
      <c r="AN261" s="58">
        <f t="shared" si="21"/>
        <v>0</v>
      </c>
      <c r="AO261" s="59"/>
      <c r="AP261" s="58" t="str">
        <f t="shared" si="22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18"/>
        <v>0</v>
      </c>
      <c r="AI262" s="56">
        <f t="shared" si="19"/>
        <v>0</v>
      </c>
      <c r="AJ262" s="57">
        <f t="shared" si="27"/>
        <v>0</v>
      </c>
      <c r="AK262" s="58">
        <f t="shared" si="28"/>
        <v>0</v>
      </c>
      <c r="AL262" s="59">
        <f>AO262+AQ262-[2]Sheet1!$AH263</f>
        <v>0</v>
      </c>
      <c r="AM262" s="59">
        <f t="shared" si="25"/>
        <v>0</v>
      </c>
      <c r="AN262" s="58">
        <f t="shared" si="21"/>
        <v>0</v>
      </c>
      <c r="AO262" s="59"/>
      <c r="AP262" s="58" t="str">
        <f t="shared" si="22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18"/>
        <v>0</v>
      </c>
      <c r="AI263" s="56">
        <f t="shared" si="19"/>
        <v>0</v>
      </c>
      <c r="AJ263" s="57">
        <f t="shared" si="27"/>
        <v>0</v>
      </c>
      <c r="AK263" s="58">
        <f t="shared" si="28"/>
        <v>0</v>
      </c>
      <c r="AL263" s="59">
        <f>AO263+AQ263-[2]Sheet1!$AH264</f>
        <v>0</v>
      </c>
      <c r="AM263" s="59">
        <f t="shared" si="25"/>
        <v>0</v>
      </c>
      <c r="AN263" s="58">
        <f t="shared" si="21"/>
        <v>0</v>
      </c>
      <c r="AO263" s="59"/>
      <c r="AP263" s="58" t="str">
        <f t="shared" si="22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18"/>
        <v>0</v>
      </c>
      <c r="AI264" s="56">
        <f t="shared" si="19"/>
        <v>0</v>
      </c>
      <c r="AJ264" s="57">
        <f t="shared" si="27"/>
        <v>0</v>
      </c>
      <c r="AK264" s="58">
        <f t="shared" si="28"/>
        <v>0</v>
      </c>
      <c r="AL264" s="59">
        <f>AO264+AQ264-[2]Sheet1!$AH265</f>
        <v>0</v>
      </c>
      <c r="AM264" s="59">
        <f t="shared" si="25"/>
        <v>0</v>
      </c>
      <c r="AN264" s="58">
        <f t="shared" si="21"/>
        <v>0</v>
      </c>
      <c r="AO264" s="59"/>
      <c r="AP264" s="58" t="str">
        <f t="shared" si="22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18"/>
        <v>0</v>
      </c>
      <c r="AI265" s="61">
        <f t="shared" si="19"/>
        <v>0</v>
      </c>
      <c r="AJ265" s="61"/>
      <c r="AK265" s="64" t="e">
        <f t="shared" si="28"/>
        <v>#VALUE!</v>
      </c>
      <c r="AL265" s="64">
        <f>AO265+AQ265-[2]Sheet1!$AH266</f>
        <v>0</v>
      </c>
      <c r="AM265" s="64">
        <f t="shared" si="25"/>
        <v>0</v>
      </c>
      <c r="AN265" s="64" t="e">
        <f t="shared" si="21"/>
        <v>#VALUE!</v>
      </c>
      <c r="AO265" s="65"/>
      <c r="AP265" s="64" t="str">
        <f t="shared" si="22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18"/>
        <v>0</v>
      </c>
      <c r="AI266" s="61">
        <f t="shared" si="19"/>
        <v>0</v>
      </c>
      <c r="AJ266" s="61"/>
      <c r="AK266" s="64" t="e">
        <f t="shared" si="28"/>
        <v>#VALUE!</v>
      </c>
      <c r="AL266" s="64">
        <f>AO266+AQ266-[2]Sheet1!$AH267</f>
        <v>0</v>
      </c>
      <c r="AM266" s="64">
        <f t="shared" si="25"/>
        <v>0</v>
      </c>
      <c r="AN266" s="64" t="e">
        <f t="shared" si="21"/>
        <v>#VALUE!</v>
      </c>
      <c r="AO266" s="65"/>
      <c r="AP266" s="64" t="str">
        <f t="shared" si="22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29">SUMIF(O:O,AA267,P:P)</f>
        <v>0</v>
      </c>
      <c r="AI267" s="61">
        <f t="shared" ref="AI267" si="30">SUMIF(O:O,AA267,V:V)</f>
        <v>0</v>
      </c>
      <c r="AJ267" s="61"/>
      <c r="AK267" s="64" t="e">
        <f t="shared" si="28"/>
        <v>#VALUE!</v>
      </c>
      <c r="AL267" s="64">
        <f>AO267+AQ267-[2]Sheet1!$AH268</f>
        <v>0</v>
      </c>
      <c r="AM267" s="64">
        <f t="shared" si="25"/>
        <v>0</v>
      </c>
      <c r="AN267" s="64" t="e">
        <f t="shared" si="21"/>
        <v>#VALUE!</v>
      </c>
      <c r="AO267" s="65"/>
      <c r="AP267" s="64" t="str">
        <f t="shared" si="22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2:W200" name="باقیمانده_5"/>
    <protectedRange algorithmName="SHA-512" hashValue="f5WsBkExWTs/LKakVBbNBXjGjwaAPcOxHhJFt4MnEAAY0TgGUtLBwc6BQDnps5THm9Gccqda3SWXIrg2Z9o+GA==" saltValue="9EXh0tvvNrwpkDbSuYJ+Uw==" spinCount="100000" sqref="V2:V200" name="تعداد ارسال شده_4"/>
  </protectedRanges>
  <mergeCells count="4">
    <mergeCell ref="A1:B1"/>
    <mergeCell ref="C1:D1"/>
    <mergeCell ref="E1:F1"/>
    <mergeCell ref="U1:V1"/>
  </mergeCells>
  <conditionalFormatting sqref="G2:J3 Z2:Z200 AD2:AD200 J4:J200 G11:I200">
    <cfRule type="expression" dxfId="18" priority="63">
      <formula>$A2</formula>
    </cfRule>
    <cfRule type="expression" dxfId="17" priority="65">
      <formula>$E2</formula>
    </cfRule>
  </conditionalFormatting>
  <conditionalFormatting sqref="K2:Z2 G2:J3 AA2:AF200 Q3:Z200 J4:J200 G11:I200 K3:P3 H4:H10 K4:K10 O4:P10 K11:P200">
    <cfRule type="expression" dxfId="16" priority="64">
      <formula>$C2</formula>
    </cfRule>
  </conditionalFormatting>
  <conditionalFormatting sqref="W2:W200">
    <cfRule type="expression" dxfId="15" priority="62">
      <formula>$AG2</formula>
    </cfRule>
  </conditionalFormatting>
  <conditionalFormatting sqref="AL203:AM203">
    <cfRule type="dataBar" priority="27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{C489A5F9-A4FE-4E69-8BD6-F183BA08AB67}</x14:id>
        </ext>
      </extLst>
    </cfRule>
  </conditionalFormatting>
  <conditionalFormatting sqref="AL204:AM204">
    <cfRule type="dataBar" priority="26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{28D9F719-741E-4284-AB1D-0B802ED71FB0}</x14:id>
        </ext>
      </extLst>
    </cfRule>
  </conditionalFormatting>
  <conditionalFormatting sqref="AL205:AM205">
    <cfRule type="dataBar" priority="25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{C88C6598-9BC8-4D8A-B0FF-497727F22200}</x14:id>
        </ext>
      </extLst>
    </cfRule>
  </conditionalFormatting>
  <conditionalFormatting sqref="AL206:AM206">
    <cfRule type="dataBar" priority="24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{C05C9F62-D1A7-4C27-A90E-42E2A9D1BDDC}</x14:id>
        </ext>
      </extLst>
    </cfRule>
  </conditionalFormatting>
  <conditionalFormatting sqref="AL207:AM207">
    <cfRule type="dataBar" priority="23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{32D2FD34-0CB1-414A-A6AD-FA08D974DBE1}</x14:id>
        </ext>
      </extLst>
    </cfRule>
  </conditionalFormatting>
  <conditionalFormatting sqref="AL208:AM208">
    <cfRule type="dataBar" priority="22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{B624568F-BD8F-46BC-B12C-65073C65BD26}</x14:id>
        </ext>
      </extLst>
    </cfRule>
  </conditionalFormatting>
  <conditionalFormatting sqref="AL209:AM209">
    <cfRule type="dataBar" priority="21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{BECEC2D5-071D-458E-81F0-3FAA3E737E79}</x14:id>
        </ext>
      </extLst>
    </cfRule>
  </conditionalFormatting>
  <conditionalFormatting sqref="AL210:AM210">
    <cfRule type="dataBar" priority="20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{E6522270-A7C2-4478-8C6E-56420B8E0A6D}</x14:id>
        </ext>
      </extLst>
    </cfRule>
  </conditionalFormatting>
  <conditionalFormatting sqref="AL211:AM211">
    <cfRule type="dataBar" priority="19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{1C9A1794-8FE2-4AFD-884B-F57388F3C754}</x14:id>
        </ext>
      </extLst>
    </cfRule>
  </conditionalFormatting>
  <conditionalFormatting sqref="AL212:AM212">
    <cfRule type="dataBar" priority="18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{B79A50FF-8A41-4912-BA5F-40B7005E20B9}</x14:id>
        </ext>
      </extLst>
    </cfRule>
  </conditionalFormatting>
  <conditionalFormatting sqref="AL213:AM213">
    <cfRule type="dataBar" priority="17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{EB1F66AC-6064-4150-B3BC-A93D4DFFD65E}</x14:id>
        </ext>
      </extLst>
    </cfRule>
  </conditionalFormatting>
  <conditionalFormatting sqref="AL214:AM214">
    <cfRule type="dataBar" priority="16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{E898B2A3-AA52-42DC-9804-325A32061CDE}</x14:id>
        </ext>
      </extLst>
    </cfRule>
  </conditionalFormatting>
  <conditionalFormatting sqref="AL215:AM215">
    <cfRule type="dataBar" priority="15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{340CAA86-66B3-43B0-A500-0A86B381D448}</x14:id>
        </ext>
      </extLst>
    </cfRule>
  </conditionalFormatting>
  <conditionalFormatting sqref="AL216:AM216">
    <cfRule type="dataBar" priority="14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{54804811-177F-4986-9C2C-C443EDAEFEEB}</x14:id>
        </ext>
      </extLst>
    </cfRule>
  </conditionalFormatting>
  <conditionalFormatting sqref="AL217:AM217">
    <cfRule type="dataBar" priority="13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{1B0E07B6-68D1-46F4-AAED-371D327A0834}</x14:id>
        </ext>
      </extLst>
    </cfRule>
  </conditionalFormatting>
  <conditionalFormatting sqref="AL218:AM218">
    <cfRule type="dataBar" priority="12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{B92058AA-7460-416E-A398-E3472752C3F8}</x14:id>
        </ext>
      </extLst>
    </cfRule>
  </conditionalFormatting>
  <conditionalFormatting sqref="AL219:AM219">
    <cfRule type="dataBar" priority="11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{D900C0B7-8DE7-48A2-B6BF-D6BE2417F920}</x14:id>
        </ext>
      </extLst>
    </cfRule>
  </conditionalFormatting>
  <conditionalFormatting sqref="AL220:AM220">
    <cfRule type="dataBar" priority="10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{BA9CE118-72F4-45B8-8872-00C4C3EBD876}</x14:id>
        </ext>
      </extLst>
    </cfRule>
  </conditionalFormatting>
  <conditionalFormatting sqref="AL221:AM221">
    <cfRule type="dataBar" priority="28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{96B9B154-FA0C-4450-96E4-0E92E7658A7D}</x14:id>
        </ext>
      </extLst>
    </cfRule>
  </conditionalFormatting>
  <conditionalFormatting sqref="AL223:AM223">
    <cfRule type="dataBar" priority="29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{984482AB-57D8-4A53-9405-02E8DD6E8E2B}</x14:id>
        </ext>
      </extLst>
    </cfRule>
  </conditionalFormatting>
  <conditionalFormatting sqref="AL224:AM224">
    <cfRule type="dataBar" priority="30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{107BA315-85ED-4274-9693-3FC2B2EA0243}</x14:id>
        </ext>
      </extLst>
    </cfRule>
  </conditionalFormatting>
  <conditionalFormatting sqref="AL225:AM225">
    <cfRule type="dataBar" priority="31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{62F20B11-7D82-41DF-8BEC-7189CDD21EC0}</x14:id>
        </ext>
      </extLst>
    </cfRule>
  </conditionalFormatting>
  <conditionalFormatting sqref="AL226:AM226">
    <cfRule type="dataBar" priority="32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{CCA9DA29-643F-489C-9003-2EA7D160FE8C}</x14:id>
        </ext>
      </extLst>
    </cfRule>
  </conditionalFormatting>
  <conditionalFormatting sqref="AL227:AM227">
    <cfRule type="dataBar" priority="33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{EEE49650-5DF7-4EFB-87ED-53561D98EF42}</x14:id>
        </ext>
      </extLst>
    </cfRule>
  </conditionalFormatting>
  <conditionalFormatting sqref="AL228:AM228">
    <cfRule type="dataBar" priority="34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{B1C60E63-25F8-4F0F-84B5-AD3B27F91E05}</x14:id>
        </ext>
      </extLst>
    </cfRule>
  </conditionalFormatting>
  <conditionalFormatting sqref="AL229:AM229">
    <cfRule type="dataBar" priority="9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{3101B4C9-1969-49D7-8F73-0C9F78BACD8D}</x14:id>
        </ext>
      </extLst>
    </cfRule>
  </conditionalFormatting>
  <conditionalFormatting sqref="AL230:AM230">
    <cfRule type="dataBar" priority="8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{B80FC67E-492F-49EE-8B16-A5100329B6EA}</x14:id>
        </ext>
      </extLst>
    </cfRule>
  </conditionalFormatting>
  <conditionalFormatting sqref="AL231:AM231">
    <cfRule type="dataBar" priority="7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{FE2DA3CC-D110-4B39-B7A0-5BD5DE25D84A}</x14:id>
        </ext>
      </extLst>
    </cfRule>
  </conditionalFormatting>
  <conditionalFormatting sqref="AL232:AM232">
    <cfRule type="dataBar" priority="6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{A754A9FB-F51E-4E6C-ADAB-4DCA0986C007}</x14:id>
        </ext>
      </extLst>
    </cfRule>
  </conditionalFormatting>
  <conditionalFormatting sqref="AL233:AM233">
    <cfRule type="dataBar" priority="5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{2CAC612A-C95D-4FCC-BAED-2FD629BC525A}</x14:id>
        </ext>
      </extLst>
    </cfRule>
  </conditionalFormatting>
  <conditionalFormatting sqref="AL234:AM234">
    <cfRule type="dataBar" priority="4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{712B8E0B-FCAD-47AE-8DE8-926F88912286}</x14:id>
        </ext>
      </extLst>
    </cfRule>
  </conditionalFormatting>
  <conditionalFormatting sqref="AL235:AM235">
    <cfRule type="dataBar" priority="35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{BA645E1C-FE8D-4727-AB42-8E01FAA35AD6}</x14:id>
        </ext>
      </extLst>
    </cfRule>
  </conditionalFormatting>
  <conditionalFormatting sqref="AL236:AM236">
    <cfRule type="dataBar" priority="36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{457A82CE-0217-4F23-8AA4-80E28C28F0D6}</x14:id>
        </ext>
      </extLst>
    </cfRule>
  </conditionalFormatting>
  <conditionalFormatting sqref="AL237:AM237">
    <cfRule type="dataBar" priority="37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{8082A5AF-66AE-4AAB-BA67-3BE8443F9E9D}</x14:id>
        </ext>
      </extLst>
    </cfRule>
  </conditionalFormatting>
  <conditionalFormatting sqref="AL238:AM238">
    <cfRule type="dataBar" priority="38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{64541E8F-0DDE-4C81-AE64-AF8895A9B36D}</x14:id>
        </ext>
      </extLst>
    </cfRule>
  </conditionalFormatting>
  <conditionalFormatting sqref="AL239:AM239">
    <cfRule type="dataBar" priority="39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{C27B4ED0-16EC-4CEB-A56D-FF2A1705B8D4}</x14:id>
        </ext>
      </extLst>
    </cfRule>
  </conditionalFormatting>
  <conditionalFormatting sqref="AL240:AM240">
    <cfRule type="dataBar" priority="40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{3AAD3D1A-CA37-4647-A603-ADD5F8C9C983}</x14:id>
        </ext>
      </extLst>
    </cfRule>
  </conditionalFormatting>
  <conditionalFormatting sqref="AL241:AM241">
    <cfRule type="dataBar" priority="41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{327CB05E-58D7-4678-8AC5-877B976B028E}</x14:id>
        </ext>
      </extLst>
    </cfRule>
  </conditionalFormatting>
  <conditionalFormatting sqref="AL242:AM242">
    <cfRule type="dataBar" priority="42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{2FAC63AD-9F5A-4770-9866-E57C9F559267}</x14:id>
        </ext>
      </extLst>
    </cfRule>
  </conditionalFormatting>
  <conditionalFormatting sqref="AL243:AM243">
    <cfRule type="dataBar" priority="43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{EE8C8D88-812D-43D2-AA81-61B0093A203C}</x14:id>
        </ext>
      </extLst>
    </cfRule>
  </conditionalFormatting>
  <conditionalFormatting sqref="AL244:AM244">
    <cfRule type="dataBar" priority="44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{608D5E77-5C15-47B9-BBD9-E4088AA176A3}</x14:id>
        </ext>
      </extLst>
    </cfRule>
  </conditionalFormatting>
  <conditionalFormatting sqref="AL245:AM245">
    <cfRule type="dataBar" priority="45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{5047A0CF-2DA5-42DD-B5AD-CC953A9F3FD1}</x14:id>
        </ext>
      </extLst>
    </cfRule>
  </conditionalFormatting>
  <conditionalFormatting sqref="AL246:AM246">
    <cfRule type="dataBar" priority="46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{01A3E293-C7C4-4F76-B068-27A8E6D81B98}</x14:id>
        </ext>
      </extLst>
    </cfRule>
  </conditionalFormatting>
  <conditionalFormatting sqref="AL247:AM247">
    <cfRule type="dataBar" priority="47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{6B358873-EDB3-45BE-9301-0452B8F088A6}</x14:id>
        </ext>
      </extLst>
    </cfRule>
  </conditionalFormatting>
  <conditionalFormatting sqref="AL248:AM248">
    <cfRule type="dataBar" priority="3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{476FFADE-87FC-4DAD-BECA-6CAA66A63FF9}</x14:id>
        </ext>
      </extLst>
    </cfRule>
  </conditionalFormatting>
  <conditionalFormatting sqref="AL249:AM249">
    <cfRule type="dataBar" priority="48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{7352777A-A645-46D4-A891-3AB02987B2D8}</x14:id>
        </ext>
      </extLst>
    </cfRule>
  </conditionalFormatting>
  <conditionalFormatting sqref="AL250:AM250">
    <cfRule type="dataBar" priority="49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{79593A40-CC9A-41F0-B95A-B145BFCBE429}</x14:id>
        </ext>
      </extLst>
    </cfRule>
  </conditionalFormatting>
  <conditionalFormatting sqref="AL251:AM251">
    <cfRule type="dataBar" priority="50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{9AE037AE-3CF9-4535-B3BB-43BEA1EF9EE0}</x14:id>
        </ext>
      </extLst>
    </cfRule>
  </conditionalFormatting>
  <conditionalFormatting sqref="AL252:AM252">
    <cfRule type="dataBar" priority="51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{A451D0D2-99A4-48CF-9823-D9C80A6DC5F8}</x14:id>
        </ext>
      </extLst>
    </cfRule>
  </conditionalFormatting>
  <conditionalFormatting sqref="AL253:AM253">
    <cfRule type="dataBar" priority="52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{680817C3-E748-44AC-9DE5-466C0978E127}</x14:id>
        </ext>
      </extLst>
    </cfRule>
  </conditionalFormatting>
  <conditionalFormatting sqref="AL254:AM254">
    <cfRule type="dataBar" priority="53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{E14C5BE5-7602-46DA-847A-F769DE5C19FE}</x14:id>
        </ext>
      </extLst>
    </cfRule>
  </conditionalFormatting>
  <conditionalFormatting sqref="AL255:AM255">
    <cfRule type="dataBar" priority="54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{251E965E-94AD-4E93-9DDA-B9935EB21670}</x14:id>
        </ext>
      </extLst>
    </cfRule>
  </conditionalFormatting>
  <conditionalFormatting sqref="AL256:AM256">
    <cfRule type="dataBar" priority="55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{5492500D-DD0A-4F5E-AF05-ACB4E2B5925F}</x14:id>
        </ext>
      </extLst>
    </cfRule>
  </conditionalFormatting>
  <conditionalFormatting sqref="AL257:AM257">
    <cfRule type="dataBar" priority="56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{D105434C-BDFB-478F-B9D5-CC85A74D9624}</x14:id>
        </ext>
      </extLst>
    </cfRule>
  </conditionalFormatting>
  <conditionalFormatting sqref="AL258:AM258">
    <cfRule type="dataBar" priority="2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{98897CEE-61F2-41EC-9B09-02C3DC6805A6}</x14:id>
        </ext>
      </extLst>
    </cfRule>
  </conditionalFormatting>
  <conditionalFormatting sqref="AL259:AM259">
    <cfRule type="dataBar" priority="1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{ABAAE69D-6230-42F0-B23A-55692B385AC8}</x14:id>
        </ext>
      </extLst>
    </cfRule>
  </conditionalFormatting>
  <conditionalFormatting sqref="AL260:AM260">
    <cfRule type="dataBar" priority="57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{260EB211-F624-4500-BE2F-9B9BF73E741C}</x14:id>
        </ext>
      </extLst>
    </cfRule>
  </conditionalFormatting>
  <conditionalFormatting sqref="AL261:AM261">
    <cfRule type="dataBar" priority="58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{F3A9004A-4BE9-445E-B751-564B4B288FDB}</x14:id>
        </ext>
      </extLst>
    </cfRule>
  </conditionalFormatting>
  <conditionalFormatting sqref="AL262:AM262">
    <cfRule type="dataBar" priority="59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{43C4A96A-FDD6-4867-A06F-C2C3DE7A91F7}</x14:id>
        </ext>
      </extLst>
    </cfRule>
  </conditionalFormatting>
  <conditionalFormatting sqref="AL263:AM263">
    <cfRule type="dataBar" priority="60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{4DE63CEC-9DB7-4188-917A-CF7B744E9CD1}</x14:id>
        </ext>
      </extLst>
    </cfRule>
  </conditionalFormatting>
  <conditionalFormatting sqref="AL264:AM264">
    <cfRule type="dataBar" priority="61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{C59294A9-E428-43D1-9830-B6E7F8D488C1}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489A5F9-A4FE-4E69-8BD6-F183BA08AB67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28D9F719-741E-4284-AB1D-0B802ED71FB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C88C6598-9BC8-4D8A-B0FF-497727F22200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C05C9F62-D1A7-4C27-A90E-42E2A9D1BDDC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32D2FD34-0CB1-414A-A6AD-FA08D974DBE1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B624568F-BD8F-46BC-B12C-65073C65BD26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BECEC2D5-071D-458E-81F0-3FAA3E737E79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6522270-A7C2-4478-8C6E-56420B8E0A6D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1C9A1794-8FE2-4AFD-884B-F57388F3C754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B79A50FF-8A41-4912-BA5F-40B7005E20B9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EB1F66AC-6064-4150-B3BC-A93D4DFFD65E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E898B2A3-AA52-42DC-9804-325A32061CDE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340CAA86-66B3-43B0-A500-0A86B381D448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54804811-177F-4986-9C2C-C443EDAEFEEB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1B0E07B6-68D1-46F4-AAED-371D327A0834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B92058AA-7460-416E-A398-E3472752C3F8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D900C0B7-8DE7-48A2-B6BF-D6BE2417F920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BA9CE118-72F4-45B8-8872-00C4C3EBD876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96B9B154-FA0C-4450-96E4-0E92E7658A7D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984482AB-57D8-4A53-9405-02E8DD6E8E2B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107BA315-85ED-4274-9693-3FC2B2EA0243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62F20B11-7D82-41DF-8BEC-7189CDD21EC0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CCA9DA29-643F-489C-9003-2EA7D160FE8C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EE49650-5DF7-4EFB-87ED-53561D98EF42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B1C60E63-25F8-4F0F-84B5-AD3B27F91E05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3101B4C9-1969-49D7-8F73-0C9F78BACD8D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B80FC67E-492F-49EE-8B16-A5100329B6EA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FE2DA3CC-D110-4B39-B7A0-5BD5DE25D84A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A754A9FB-F51E-4E6C-ADAB-4DCA0986C007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2CAC612A-C95D-4FCC-BAED-2FD629BC525A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712B8E0B-FCAD-47AE-8DE8-926F88912286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BA645E1C-FE8D-4727-AB42-8E01FAA35AD6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457A82CE-0217-4F23-8AA4-80E28C28F0D6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8082A5AF-66AE-4AAB-BA67-3BE8443F9E9D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64541E8F-0DDE-4C81-AE64-AF8895A9B36D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C27B4ED0-16EC-4CEB-A56D-FF2A1705B8D4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AAD3D1A-CA37-4647-A603-ADD5F8C9C983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327CB05E-58D7-4678-8AC5-877B976B028E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2FAC63AD-9F5A-4770-9866-E57C9F559267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EE8C8D88-812D-43D2-AA81-61B0093A203C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608D5E77-5C15-47B9-BBD9-E4088AA176A3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5047A0CF-2DA5-42DD-B5AD-CC953A9F3FD1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01A3E293-C7C4-4F76-B068-27A8E6D81B98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6B358873-EDB3-45BE-9301-0452B8F088A6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476FFADE-87FC-4DAD-BECA-6CAA66A63FF9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7352777A-A645-46D4-A891-3AB02987B2D8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79593A40-CC9A-41F0-B95A-B145BFCBE429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AE037AE-3CF9-4535-B3BB-43BEA1EF9EE0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A451D0D2-99A4-48CF-9823-D9C80A6DC5F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680817C3-E748-44AC-9DE5-466C0978E127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E14C5BE5-7602-46DA-847A-F769DE5C19FE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251E965E-94AD-4E93-9DDA-B9935EB21670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5492500D-DD0A-4F5E-AF05-ACB4E2B5925F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D105434C-BDFB-478F-B9D5-CC85A74D9624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98897CEE-61F2-41EC-9B09-02C3DC6805A6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ABAAE69D-6230-42F0-B23A-55692B385AC8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260EB211-F624-4500-BE2F-9B9BF73E741C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F3A9004A-4BE9-445E-B751-564B4B288FDB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43C4A96A-FDD6-4867-A06F-C2C3DE7A91F7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4DE63CEC-9DB7-4188-917A-CF7B744E9CD1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C59294A9-E428-43D1-9830-B6E7F8D488C1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BCF-8FE6-4BB4-8DF4-A7A3D7C1360D}">
  <dimension ref="A1:AR267"/>
  <sheetViews>
    <sheetView rightToLeft="1" topLeftCell="G1" workbookViewId="0">
      <selection activeCell="Z4" sqref="Z4"/>
    </sheetView>
  </sheetViews>
  <sheetFormatPr defaultColWidth="9.109375" defaultRowHeight="18"/>
  <cols>
    <col min="1" max="1" width="9.5546875" style="24" hidden="1" customWidth="1"/>
    <col min="2" max="2" width="0.109375" style="24" hidden="1" customWidth="1"/>
    <col min="3" max="3" width="9.5546875" style="24" hidden="1" customWidth="1"/>
    <col min="4" max="4" width="3.21875" style="24" hidden="1" customWidth="1"/>
    <col min="5" max="5" width="9.5546875" style="24" hidden="1" customWidth="1"/>
    <col min="6" max="6" width="3.33203125" style="24" hidden="1" customWidth="1"/>
    <col min="7" max="7" width="8.21875" style="24" bestFit="1" customWidth="1"/>
    <col min="8" max="8" width="19.21875" style="28" bestFit="1" customWidth="1"/>
    <col min="9" max="9" width="20.33203125" style="24" bestFit="1" customWidth="1"/>
    <col min="10" max="10" width="16.33203125" style="24" customWidth="1"/>
    <col min="11" max="11" width="14.109375" style="24" hidden="1" customWidth="1"/>
    <col min="12" max="13" width="20.77734375" style="24" customWidth="1"/>
    <col min="14" max="14" width="26.109375" style="24" bestFit="1" customWidth="1"/>
    <col min="15" max="15" width="15.44140625" style="24" bestFit="1" customWidth="1"/>
    <col min="16" max="16" width="8.21875" style="24" bestFit="1" customWidth="1"/>
    <col min="17" max="17" width="67.44140625" style="24" customWidth="1"/>
    <col min="18" max="18" width="13.77734375" style="24" bestFit="1" customWidth="1"/>
    <col min="19" max="19" width="13.5546875" style="24" bestFit="1" customWidth="1"/>
    <col min="20" max="20" width="27" style="29" bestFit="1" customWidth="1"/>
    <col min="21" max="21" width="3.88671875" style="24" customWidth="1"/>
    <col min="22" max="22" width="8.21875" style="24" customWidth="1"/>
    <col min="23" max="23" width="11.6640625" style="24" bestFit="1" customWidth="1"/>
    <col min="24" max="24" width="24.44140625" style="29" bestFit="1" customWidth="1"/>
    <col min="25" max="25" width="21.88671875" style="29" bestFit="1" customWidth="1"/>
    <col min="26" max="26" width="27.21875" style="29" bestFit="1" customWidth="1"/>
    <col min="27" max="27" width="15.44140625" style="24" bestFit="1" customWidth="1"/>
    <col min="28" max="28" width="62.6640625" style="24" bestFit="1" customWidth="1"/>
    <col min="29" max="29" width="15.77734375" style="31" bestFit="1" customWidth="1"/>
    <col min="30" max="30" width="13.6640625" style="32" bestFit="1" customWidth="1"/>
    <col min="31" max="31" width="22.77734375" style="24" bestFit="1" customWidth="1"/>
    <col min="32" max="32" width="28.33203125" style="24" bestFit="1" customWidth="1"/>
    <col min="33" max="33" width="13.5546875" style="24" bestFit="1" customWidth="1"/>
    <col min="34" max="34" width="24.6640625" style="33" bestFit="1" customWidth="1"/>
    <col min="35" max="35" width="43" style="24" bestFit="1" customWidth="1"/>
    <col min="36" max="36" width="2.88671875" style="24" bestFit="1" customWidth="1"/>
    <col min="37" max="37" width="34.88671875" style="24" bestFit="1" customWidth="1"/>
    <col min="38" max="38" width="17" style="24" bestFit="1" customWidth="1"/>
    <col min="39" max="39" width="49.21875" style="24" bestFit="1" customWidth="1"/>
    <col min="40" max="40" width="35.109375" style="24" bestFit="1" customWidth="1"/>
    <col min="41" max="41" width="8.88671875" style="24" bestFit="1" customWidth="1"/>
    <col min="42" max="43" width="32.33203125" style="24" bestFit="1" customWidth="1"/>
    <col min="44" max="44" width="4.33203125" style="24" bestFit="1" customWidth="1"/>
    <col min="45" max="16384" width="9.109375" style="24"/>
  </cols>
  <sheetData>
    <row r="1" spans="1:34" s="5" customFormat="1" ht="33.6" customHeight="1">
      <c r="A1" s="151" t="s">
        <v>0</v>
      </c>
      <c r="B1" s="152"/>
      <c r="C1" s="151" t="s">
        <v>1</v>
      </c>
      <c r="D1" s="152"/>
      <c r="E1" s="151" t="s">
        <v>2</v>
      </c>
      <c r="F1" s="152"/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2" t="s">
        <v>16</v>
      </c>
      <c r="U1" s="153" t="s">
        <v>17</v>
      </c>
      <c r="V1" s="154"/>
      <c r="W1" s="3" t="s">
        <v>18</v>
      </c>
      <c r="X1" s="2" t="s">
        <v>19</v>
      </c>
      <c r="Y1" s="2" t="s">
        <v>20</v>
      </c>
      <c r="Z1" s="2" t="s">
        <v>21</v>
      </c>
      <c r="AA1" s="1" t="s">
        <v>22</v>
      </c>
      <c r="AB1" s="1" t="s">
        <v>23</v>
      </c>
      <c r="AC1" s="1" t="s">
        <v>24</v>
      </c>
      <c r="AD1" s="4" t="s">
        <v>25</v>
      </c>
      <c r="AE1" s="1" t="s">
        <v>26</v>
      </c>
      <c r="AF1" s="1" t="s">
        <v>27</v>
      </c>
      <c r="AH1" s="6" t="s">
        <v>28</v>
      </c>
    </row>
    <row r="2" spans="1:34" ht="22.35" customHeight="1">
      <c r="A2" s="7" t="b">
        <v>0</v>
      </c>
      <c r="B2" s="7"/>
      <c r="C2" s="7" t="b">
        <v>0</v>
      </c>
      <c r="D2" s="7"/>
      <c r="E2" s="7" t="b">
        <v>0</v>
      </c>
      <c r="F2" s="8"/>
      <c r="G2" s="155">
        <v>1</v>
      </c>
      <c r="H2" s="157" t="s">
        <v>82</v>
      </c>
      <c r="I2" s="155" t="s">
        <v>500</v>
      </c>
      <c r="J2" s="132" t="s">
        <v>76</v>
      </c>
      <c r="K2" s="11" t="str">
        <f t="shared" ref="K2:K4" ca="1" si="0">IF(C2, TODAY(), "" )</f>
        <v/>
      </c>
      <c r="L2" s="142"/>
      <c r="M2" s="142" t="s">
        <v>77</v>
      </c>
      <c r="N2" s="142" t="s">
        <v>78</v>
      </c>
      <c r="O2" s="9">
        <v>5501.3</v>
      </c>
      <c r="P2" s="9">
        <v>3</v>
      </c>
      <c r="Q2" s="13" t="str">
        <f>VLOOKUP(O2, '[1]لیست محصولات اردیبهشت ۱۴۰۳'!B:C,2,0)</f>
        <v>ورتکس | Vortex</v>
      </c>
      <c r="R2" s="9"/>
      <c r="S2" s="12">
        <f>VLOOKUP(O2, '[1]لیست محصولات اردیبهشت ۱۴۰۳'!B:F,5,0)</f>
        <v>4000</v>
      </c>
      <c r="T2" s="14">
        <f>VLOOKUP(O2, '[1]لیست محصولات اردیبهشت ۱۴۰۳'!B:G,6,0)</f>
        <v>51200000</v>
      </c>
      <c r="U2" s="15"/>
      <c r="V2" s="16">
        <f t="shared" ref="V2:V4" si="1">IF(C2, P2, U2 )</f>
        <v>0</v>
      </c>
      <c r="W2" s="12">
        <f t="shared" ref="W2:W4" si="2">P2-V2</f>
        <v>3</v>
      </c>
      <c r="X2" s="14">
        <f t="shared" ref="X2:X4" si="3">P2*T2</f>
        <v>153600000</v>
      </c>
      <c r="Y2" s="17"/>
      <c r="Z2" s="14">
        <f t="shared" ref="Z2:Z4" si="4">X2-Y2</f>
        <v>153600000</v>
      </c>
      <c r="AA2" s="140" t="s">
        <v>79</v>
      </c>
      <c r="AB2" s="138" t="s">
        <v>70</v>
      </c>
      <c r="AC2" s="136" t="s">
        <v>80</v>
      </c>
      <c r="AD2" s="134"/>
      <c r="AE2" s="19"/>
      <c r="AF2" s="21"/>
      <c r="AG2" s="22" t="str">
        <f t="shared" ref="AG2:AG65" si="5">IF(V2=P2, "FALSE", "TRUE" )</f>
        <v>TRUE</v>
      </c>
      <c r="AH2" s="23" t="str">
        <f>AA2&amp;" "&amp;AB2&amp;" "&amp;N2&amp;" - "&amp;L2&amp;" "&amp;M2&amp;" "&amp;AC2</f>
        <v>تهران - کافه بیکری روستار آوا سنتر -  حجتی 09373955769</v>
      </c>
    </row>
    <row r="3" spans="1:34" ht="22.35" customHeight="1">
      <c r="A3" s="7" t="b">
        <v>0</v>
      </c>
      <c r="B3" s="7"/>
      <c r="C3" s="7" t="b">
        <v>0</v>
      </c>
      <c r="D3" s="7"/>
      <c r="E3" s="7" t="b">
        <v>0</v>
      </c>
      <c r="F3" s="8"/>
      <c r="G3" s="156"/>
      <c r="H3" s="158"/>
      <c r="I3" s="156"/>
      <c r="J3" s="133"/>
      <c r="K3" s="11" t="str">
        <f t="shared" ca="1" si="0"/>
        <v/>
      </c>
      <c r="L3" s="143"/>
      <c r="M3" s="143"/>
      <c r="N3" s="143"/>
      <c r="O3" s="9">
        <v>5511.3</v>
      </c>
      <c r="P3" s="9">
        <v>1</v>
      </c>
      <c r="Q3" s="13" t="str">
        <f>VLOOKUP(O3, '[1]لیست محصولات اردیبهشت ۱۴۰۳'!B:C,2,0)</f>
        <v>هامبلا | Hambella</v>
      </c>
      <c r="R3" s="9"/>
      <c r="S3" s="12">
        <f>VLOOKUP(O3, '[1]لیست محصولات اردیبهشت ۱۴۰۳'!B:F,5,0)</f>
        <v>4000</v>
      </c>
      <c r="T3" s="14">
        <f>VLOOKUP(O3, '[1]لیست محصولات اردیبهشت ۱۴۰۳'!B:G,6,0)</f>
        <v>69600000</v>
      </c>
      <c r="U3" s="15"/>
      <c r="V3" s="16">
        <f t="shared" si="1"/>
        <v>0</v>
      </c>
      <c r="W3" s="12">
        <f t="shared" si="2"/>
        <v>1</v>
      </c>
      <c r="X3" s="14">
        <f t="shared" si="3"/>
        <v>69600000</v>
      </c>
      <c r="Y3" s="17"/>
      <c r="Z3" s="14">
        <f t="shared" si="4"/>
        <v>69600000</v>
      </c>
      <c r="AA3" s="141"/>
      <c r="AB3" s="139"/>
      <c r="AC3" s="137"/>
      <c r="AD3" s="135"/>
      <c r="AE3" s="19"/>
      <c r="AF3" s="21"/>
      <c r="AG3" s="22" t="str">
        <f t="shared" si="5"/>
        <v>TRUE</v>
      </c>
      <c r="AH3" s="23" t="str">
        <f>AA3&amp;" "&amp;AB3&amp;" "&amp;N3&amp;" - "&amp;L3&amp;" "&amp;M3&amp;" "&amp;AC3</f>
        <v xml:space="preserve">   -   </v>
      </c>
    </row>
    <row r="4" spans="1:34" ht="22.35" customHeight="1">
      <c r="A4" s="7" t="b">
        <v>0</v>
      </c>
      <c r="B4" s="7"/>
      <c r="C4" s="7" t="b">
        <v>0</v>
      </c>
      <c r="D4" s="7"/>
      <c r="E4" s="7" t="b">
        <v>0</v>
      </c>
      <c r="F4" s="8"/>
      <c r="G4" s="155">
        <v>2</v>
      </c>
      <c r="H4" s="157" t="s">
        <v>82</v>
      </c>
      <c r="I4" s="114" t="s">
        <v>500</v>
      </c>
      <c r="J4" s="132" t="s">
        <v>76</v>
      </c>
      <c r="K4" s="11" t="str">
        <f t="shared" ca="1" si="0"/>
        <v/>
      </c>
      <c r="L4" s="142"/>
      <c r="M4" s="142" t="s">
        <v>77</v>
      </c>
      <c r="N4" s="142" t="s">
        <v>280</v>
      </c>
      <c r="O4" s="9">
        <v>5501.3</v>
      </c>
      <c r="P4" s="9">
        <v>8</v>
      </c>
      <c r="Q4" s="13" t="str">
        <f>VLOOKUP(O4, '[1]لیست محصولات اردیبهشت ۱۴۰۳'!B:C,2,0)</f>
        <v>ورتکس | Vortex</v>
      </c>
      <c r="R4" s="9"/>
      <c r="S4" s="12">
        <f>VLOOKUP(O4, '[1]لیست محصولات اردیبهشت ۱۴۰۳'!B:F,5,0)</f>
        <v>4000</v>
      </c>
      <c r="T4" s="14">
        <f>VLOOKUP(O4, '[1]لیست محصولات اردیبهشت ۱۴۰۳'!B:G,6,0)</f>
        <v>51200000</v>
      </c>
      <c r="U4" s="15"/>
      <c r="V4" s="16">
        <f t="shared" si="1"/>
        <v>0</v>
      </c>
      <c r="W4" s="12">
        <f t="shared" si="2"/>
        <v>8</v>
      </c>
      <c r="X4" s="14">
        <f t="shared" si="3"/>
        <v>409600000</v>
      </c>
      <c r="Y4" s="17"/>
      <c r="Z4" s="14">
        <f t="shared" si="4"/>
        <v>409600000</v>
      </c>
      <c r="AA4" s="140" t="s">
        <v>79</v>
      </c>
      <c r="AB4" s="138" t="s">
        <v>70</v>
      </c>
      <c r="AC4" s="136" t="s">
        <v>80</v>
      </c>
      <c r="AD4" s="134"/>
      <c r="AE4" s="19"/>
      <c r="AF4" s="21"/>
      <c r="AG4" s="22" t="str">
        <f t="shared" si="5"/>
        <v>TRUE</v>
      </c>
      <c r="AH4" s="23" t="str">
        <f t="shared" ref="AH4:AH67" si="6">AA4&amp;" "&amp;AB4&amp;" "&amp;N4&amp;" - "&amp;L4&amp;" "&amp;M4&amp;" "&amp;AC4</f>
        <v>تهران - کافه بیکری روستار سانا سنتر -  حجتی 09373955769</v>
      </c>
    </row>
    <row r="5" spans="1:34" ht="22.35" customHeight="1">
      <c r="A5" s="7" t="b">
        <v>0</v>
      </c>
      <c r="B5" s="7"/>
      <c r="C5" s="7" t="b">
        <v>0</v>
      </c>
      <c r="D5" s="7"/>
      <c r="E5" s="7" t="b">
        <v>0</v>
      </c>
      <c r="F5" s="8"/>
      <c r="G5" s="156"/>
      <c r="H5" s="158"/>
      <c r="I5" s="114" t="s">
        <v>692</v>
      </c>
      <c r="J5" s="133"/>
      <c r="K5" s="11" t="str">
        <f t="shared" ref="K5:K65" ca="1" si="7">IF(C5, TODAY(), "" )</f>
        <v/>
      </c>
      <c r="L5" s="143"/>
      <c r="M5" s="143"/>
      <c r="N5" s="143"/>
      <c r="O5" s="9">
        <v>5511.3</v>
      </c>
      <c r="P5" s="9">
        <v>3</v>
      </c>
      <c r="Q5" s="13" t="str">
        <f>VLOOKUP(O5, '[1]لیست محصولات اردیبهشت ۱۴۰۳'!B:C,2,0)</f>
        <v>هامبلا | Hambella</v>
      </c>
      <c r="R5" s="9"/>
      <c r="S5" s="12">
        <f>VLOOKUP(O5, '[1]لیست محصولات اردیبهشت ۱۴۰۳'!B:F,5,0)</f>
        <v>4000</v>
      </c>
      <c r="T5" s="14">
        <f>VLOOKUP(O5, '[1]لیست محصولات اردیبهشت ۱۴۰۳'!B:G,6,0)</f>
        <v>69600000</v>
      </c>
      <c r="U5" s="15"/>
      <c r="V5" s="16">
        <f t="shared" ref="V5:V65" si="8">IF(C5, P5, U5 )</f>
        <v>0</v>
      </c>
      <c r="W5" s="12">
        <f t="shared" ref="W5:W65" si="9">P5-V5</f>
        <v>3</v>
      </c>
      <c r="X5" s="14">
        <f t="shared" ref="X5:X65" si="10">P5*T5</f>
        <v>208800000</v>
      </c>
      <c r="Y5" s="17"/>
      <c r="Z5" s="14">
        <f t="shared" ref="Z5:Z65" si="11">X5-Y5</f>
        <v>208800000</v>
      </c>
      <c r="AA5" s="141"/>
      <c r="AB5" s="139"/>
      <c r="AC5" s="137"/>
      <c r="AD5" s="135"/>
      <c r="AE5" s="19"/>
      <c r="AF5" s="21"/>
      <c r="AG5" s="22" t="str">
        <f t="shared" si="5"/>
        <v>TRUE</v>
      </c>
      <c r="AH5" s="23" t="str">
        <f t="shared" si="6"/>
        <v xml:space="preserve">   -   </v>
      </c>
    </row>
    <row r="6" spans="1:34" ht="22.35" customHeight="1">
      <c r="A6" s="7"/>
      <c r="B6" s="7"/>
      <c r="C6" s="7" t="b">
        <v>0</v>
      </c>
      <c r="D6" s="7"/>
      <c r="E6" s="7"/>
      <c r="F6" s="8"/>
      <c r="G6" s="9"/>
      <c r="H6" s="10"/>
      <c r="I6" s="25"/>
      <c r="J6" s="9"/>
      <c r="K6" s="11" t="str">
        <f t="shared" ca="1" si="7"/>
        <v/>
      </c>
      <c r="L6" s="12"/>
      <c r="M6" s="12"/>
      <c r="N6" s="12"/>
      <c r="O6" s="9"/>
      <c r="P6" s="9"/>
      <c r="Q6" s="13" t="e">
        <f>VLOOKUP(O6, '[1]لیست محصولات اردیبهشت ۱۴۰۳'!B:C,2,0)</f>
        <v>#N/A</v>
      </c>
      <c r="R6" s="9"/>
      <c r="S6" s="12" t="e">
        <f>VLOOKUP(O6, '[1]لیست محصولات اردیبهشت ۱۴۰۳'!B:F,5,0)</f>
        <v>#N/A</v>
      </c>
      <c r="T6" s="14" t="e">
        <f>VLOOKUP(O6, '[1]لیست محصولات اردیبهشت ۱۴۰۳'!B:G,6,0)</f>
        <v>#N/A</v>
      </c>
      <c r="U6" s="15"/>
      <c r="V6" s="16">
        <f t="shared" si="8"/>
        <v>0</v>
      </c>
      <c r="W6" s="12">
        <f t="shared" si="9"/>
        <v>0</v>
      </c>
      <c r="X6" s="14" t="e">
        <f t="shared" si="10"/>
        <v>#N/A</v>
      </c>
      <c r="Y6" s="17"/>
      <c r="Z6" s="14" t="e">
        <f t="shared" si="11"/>
        <v>#N/A</v>
      </c>
      <c r="AA6" s="18"/>
      <c r="AB6" s="13"/>
      <c r="AC6" s="19"/>
      <c r="AD6" s="20"/>
      <c r="AE6" s="19"/>
      <c r="AF6" s="21"/>
      <c r="AG6" s="22" t="str">
        <f t="shared" si="5"/>
        <v>FALSE</v>
      </c>
      <c r="AH6" s="23" t="str">
        <f t="shared" si="6"/>
        <v xml:space="preserve">   -   </v>
      </c>
    </row>
    <row r="7" spans="1:34" ht="22.35" customHeight="1">
      <c r="A7" s="7" t="b">
        <v>0</v>
      </c>
      <c r="B7" s="7"/>
      <c r="C7" s="7" t="b">
        <v>0</v>
      </c>
      <c r="D7" s="7"/>
      <c r="E7" s="7" t="b">
        <v>0</v>
      </c>
      <c r="F7" s="8"/>
      <c r="G7" s="9"/>
      <c r="H7" s="10"/>
      <c r="I7" s="9"/>
      <c r="J7" s="9"/>
      <c r="K7" s="11" t="str">
        <f t="shared" ca="1" si="7"/>
        <v/>
      </c>
      <c r="L7" s="12"/>
      <c r="M7" s="12"/>
      <c r="N7" s="12"/>
      <c r="O7" s="9"/>
      <c r="P7" s="9"/>
      <c r="Q7" s="13" t="e">
        <f>VLOOKUP(O7, '[1]لیست محصولات اردیبهشت ۱۴۰۳'!B:C,2,0)</f>
        <v>#N/A</v>
      </c>
      <c r="R7" s="9"/>
      <c r="S7" s="12" t="e">
        <f>VLOOKUP(O7, '[1]لیست محصولات اردیبهشت ۱۴۰۳'!B:F,5,0)</f>
        <v>#N/A</v>
      </c>
      <c r="T7" s="14" t="e">
        <f>VLOOKUP(O7, '[1]لیست محصولات اردیبهشت ۱۴۰۳'!B:G,6,0)</f>
        <v>#N/A</v>
      </c>
      <c r="U7" s="26"/>
      <c r="V7" s="16">
        <f t="shared" si="8"/>
        <v>0</v>
      </c>
      <c r="W7" s="12">
        <f t="shared" si="9"/>
        <v>0</v>
      </c>
      <c r="X7" s="14" t="e">
        <f t="shared" si="10"/>
        <v>#N/A</v>
      </c>
      <c r="Y7" s="17"/>
      <c r="Z7" s="14" t="e">
        <f t="shared" si="11"/>
        <v>#N/A</v>
      </c>
      <c r="AA7" s="18"/>
      <c r="AB7" s="13"/>
      <c r="AC7" s="19"/>
      <c r="AD7" s="20"/>
      <c r="AE7" s="19"/>
      <c r="AF7" s="21"/>
      <c r="AG7" s="22" t="str">
        <f t="shared" si="5"/>
        <v>FALSE</v>
      </c>
      <c r="AH7" s="23" t="str">
        <f t="shared" si="6"/>
        <v xml:space="preserve">   -   </v>
      </c>
    </row>
    <row r="8" spans="1:34" ht="22.35" customHeight="1">
      <c r="A8" s="7" t="b">
        <v>0</v>
      </c>
      <c r="B8" s="7"/>
      <c r="C8" s="7" t="b">
        <v>0</v>
      </c>
      <c r="D8" s="7"/>
      <c r="E8" s="7" t="b">
        <v>0</v>
      </c>
      <c r="F8" s="8"/>
      <c r="G8" s="9"/>
      <c r="H8" s="10"/>
      <c r="I8" s="9"/>
      <c r="J8" s="9"/>
      <c r="K8" s="11" t="str">
        <f t="shared" ca="1" si="7"/>
        <v/>
      </c>
      <c r="L8" s="12"/>
      <c r="M8" s="12"/>
      <c r="N8" s="12"/>
      <c r="O8" s="9"/>
      <c r="P8" s="9"/>
      <c r="Q8" s="13" t="e">
        <f>VLOOKUP(O8, '[1]لیست محصولات اردیبهشت ۱۴۰۳'!B:C,2,0)</f>
        <v>#N/A</v>
      </c>
      <c r="R8" s="9"/>
      <c r="S8" s="12" t="e">
        <f>VLOOKUP(O8, '[1]لیست محصولات اردیبهشت ۱۴۰۳'!B:F,5,0)</f>
        <v>#N/A</v>
      </c>
      <c r="T8" s="14" t="e">
        <f>VLOOKUP(O8, '[1]لیست محصولات اردیبهشت ۱۴۰۳'!B:G,6,0)</f>
        <v>#N/A</v>
      </c>
      <c r="U8" s="15"/>
      <c r="V8" s="16">
        <f t="shared" si="8"/>
        <v>0</v>
      </c>
      <c r="W8" s="12">
        <f t="shared" si="9"/>
        <v>0</v>
      </c>
      <c r="X8" s="14" t="e">
        <f t="shared" si="10"/>
        <v>#N/A</v>
      </c>
      <c r="Y8" s="17"/>
      <c r="Z8" s="14" t="e">
        <f t="shared" si="11"/>
        <v>#N/A</v>
      </c>
      <c r="AA8" s="18"/>
      <c r="AB8" s="13"/>
      <c r="AC8" s="19"/>
      <c r="AD8" s="20"/>
      <c r="AE8" s="19"/>
      <c r="AF8" s="21"/>
      <c r="AG8" s="22" t="str">
        <f t="shared" si="5"/>
        <v>FALSE</v>
      </c>
      <c r="AH8" s="23" t="str">
        <f t="shared" si="6"/>
        <v xml:space="preserve">   -   </v>
      </c>
    </row>
    <row r="9" spans="1:34" ht="22.35" customHeight="1">
      <c r="A9" s="7"/>
      <c r="B9" s="7"/>
      <c r="C9" s="7" t="b">
        <v>0</v>
      </c>
      <c r="D9" s="7"/>
      <c r="E9" s="7"/>
      <c r="F9" s="8"/>
      <c r="G9" s="9"/>
      <c r="H9" s="10"/>
      <c r="I9" s="25"/>
      <c r="J9" s="9"/>
      <c r="K9" s="11" t="str">
        <f t="shared" ca="1" si="7"/>
        <v/>
      </c>
      <c r="L9" s="27"/>
      <c r="M9" s="12"/>
      <c r="N9" s="12"/>
      <c r="O9" s="9"/>
      <c r="P9" s="9"/>
      <c r="Q9" s="13" t="e">
        <f>VLOOKUP(O9, '[1]لیست محصولات اردیبهشت ۱۴۰۳'!B:C,2,0)</f>
        <v>#N/A</v>
      </c>
      <c r="R9" s="9"/>
      <c r="S9" s="12" t="e">
        <f>VLOOKUP(O9, '[1]لیست محصولات اردیبهشت ۱۴۰۳'!B:F,5,0)</f>
        <v>#N/A</v>
      </c>
      <c r="T9" s="14" t="e">
        <f>VLOOKUP(O9, '[1]لیست محصولات اردیبهشت ۱۴۰۳'!B:G,6,0)</f>
        <v>#N/A</v>
      </c>
      <c r="U9" s="15"/>
      <c r="V9" s="16">
        <f t="shared" si="8"/>
        <v>0</v>
      </c>
      <c r="W9" s="12">
        <f t="shared" si="9"/>
        <v>0</v>
      </c>
      <c r="X9" s="14" t="e">
        <f t="shared" si="10"/>
        <v>#N/A</v>
      </c>
      <c r="Y9" s="17"/>
      <c r="Z9" s="14" t="e">
        <f t="shared" si="11"/>
        <v>#N/A</v>
      </c>
      <c r="AA9" s="18"/>
      <c r="AB9" s="13"/>
      <c r="AC9" s="19"/>
      <c r="AD9" s="20"/>
      <c r="AE9" s="19"/>
      <c r="AF9" s="21"/>
      <c r="AG9" s="22" t="str">
        <f t="shared" si="5"/>
        <v>FALSE</v>
      </c>
      <c r="AH9" s="23" t="str">
        <f t="shared" si="6"/>
        <v xml:space="preserve">   -   </v>
      </c>
    </row>
    <row r="10" spans="1:34" ht="22.35" customHeight="1">
      <c r="A10" s="7"/>
      <c r="B10" s="7"/>
      <c r="C10" s="7" t="b">
        <v>0</v>
      </c>
      <c r="D10" s="7"/>
      <c r="E10" s="7"/>
      <c r="F10" s="8"/>
      <c r="G10" s="9"/>
      <c r="H10" s="10"/>
      <c r="I10" s="25"/>
      <c r="J10" s="9"/>
      <c r="K10" s="11" t="str">
        <f t="shared" ca="1" si="7"/>
        <v/>
      </c>
      <c r="L10" s="27"/>
      <c r="M10" s="27"/>
      <c r="N10" s="12"/>
      <c r="O10" s="9"/>
      <c r="P10" s="9"/>
      <c r="Q10" s="13" t="e">
        <f>VLOOKUP(O10, '[1]لیست محصولات اردیبهشت ۱۴۰۳'!B:C,2,0)</f>
        <v>#N/A</v>
      </c>
      <c r="R10" s="9"/>
      <c r="S10" s="12" t="e">
        <f>VLOOKUP(O10, '[1]لیست محصولات اردیبهشت ۱۴۰۳'!B:F,5,0)</f>
        <v>#N/A</v>
      </c>
      <c r="T10" s="14" t="e">
        <f>VLOOKUP(O10, '[1]لیست محصولات اردیبهشت ۱۴۰۳'!B:G,6,0)</f>
        <v>#N/A</v>
      </c>
      <c r="U10" s="15"/>
      <c r="V10" s="16">
        <f t="shared" si="8"/>
        <v>0</v>
      </c>
      <c r="W10" s="12">
        <f t="shared" si="9"/>
        <v>0</v>
      </c>
      <c r="X10" s="14" t="e">
        <f t="shared" si="10"/>
        <v>#N/A</v>
      </c>
      <c r="Y10" s="17"/>
      <c r="Z10" s="14" t="e">
        <f t="shared" si="11"/>
        <v>#N/A</v>
      </c>
      <c r="AA10" s="18"/>
      <c r="AB10" s="13"/>
      <c r="AC10" s="19"/>
      <c r="AD10" s="20"/>
      <c r="AE10" s="19"/>
      <c r="AF10" s="21"/>
      <c r="AG10" s="22" t="str">
        <f t="shared" si="5"/>
        <v>FALSE</v>
      </c>
      <c r="AH10" s="23" t="str">
        <f t="shared" si="6"/>
        <v xml:space="preserve">   -   </v>
      </c>
    </row>
    <row r="11" spans="1:34" ht="22.35" customHeight="1">
      <c r="A11" s="7" t="b">
        <v>0</v>
      </c>
      <c r="B11" s="7"/>
      <c r="C11" s="7" t="b">
        <v>0</v>
      </c>
      <c r="D11" s="7"/>
      <c r="E11" s="7" t="b">
        <v>0</v>
      </c>
      <c r="F11" s="8"/>
      <c r="G11" s="9"/>
      <c r="H11" s="10"/>
      <c r="I11" s="9"/>
      <c r="J11" s="9"/>
      <c r="K11" s="11" t="str">
        <f t="shared" ca="1" si="7"/>
        <v/>
      </c>
      <c r="L11" s="12"/>
      <c r="M11" s="12"/>
      <c r="N11" s="12"/>
      <c r="O11" s="9"/>
      <c r="P11" s="9"/>
      <c r="Q11" s="13" t="e">
        <f>VLOOKUP(O11, '[1]لیست محصولات اردیبهشت ۱۴۰۳'!B:C,2,0)</f>
        <v>#N/A</v>
      </c>
      <c r="R11" s="9"/>
      <c r="S11" s="12" t="e">
        <f>VLOOKUP(O11, '[1]لیست محصولات اردیبهشت ۱۴۰۳'!B:F,5,0)</f>
        <v>#N/A</v>
      </c>
      <c r="T11" s="14" t="e">
        <f>VLOOKUP(O11, '[1]لیست محصولات اردیبهشت ۱۴۰۳'!B:G,6,0)</f>
        <v>#N/A</v>
      </c>
      <c r="U11" s="15"/>
      <c r="V11" s="16">
        <f t="shared" si="8"/>
        <v>0</v>
      </c>
      <c r="W11" s="12">
        <f t="shared" si="9"/>
        <v>0</v>
      </c>
      <c r="X11" s="14" t="e">
        <f t="shared" si="10"/>
        <v>#N/A</v>
      </c>
      <c r="Y11" s="17"/>
      <c r="Z11" s="14" t="e">
        <f t="shared" si="11"/>
        <v>#N/A</v>
      </c>
      <c r="AA11" s="18"/>
      <c r="AB11" s="13"/>
      <c r="AC11" s="19"/>
      <c r="AD11" s="20"/>
      <c r="AE11" s="19"/>
      <c r="AF11" s="21"/>
      <c r="AG11" s="22" t="str">
        <f t="shared" si="5"/>
        <v>FALSE</v>
      </c>
      <c r="AH11" s="23" t="str">
        <f t="shared" si="6"/>
        <v xml:space="preserve">   -   </v>
      </c>
    </row>
    <row r="12" spans="1:34" ht="22.35" customHeight="1">
      <c r="A12" s="7" t="s">
        <v>29</v>
      </c>
      <c r="B12" s="7"/>
      <c r="C12" s="7" t="b">
        <v>0</v>
      </c>
      <c r="D12" s="7"/>
      <c r="E12" s="7" t="b">
        <v>0</v>
      </c>
      <c r="F12" s="8"/>
      <c r="G12" s="9"/>
      <c r="H12" s="10"/>
      <c r="I12" s="9"/>
      <c r="J12" s="9"/>
      <c r="K12" s="11" t="str">
        <f t="shared" ca="1" si="7"/>
        <v/>
      </c>
      <c r="L12" s="12"/>
      <c r="M12" s="12"/>
      <c r="N12" s="12"/>
      <c r="O12" s="9"/>
      <c r="P12" s="9"/>
      <c r="Q12" s="13" t="e">
        <f>VLOOKUP(O12, '[1]لیست محصولات اردیبهشت ۱۴۰۳'!B:C,2,0)</f>
        <v>#N/A</v>
      </c>
      <c r="R12" s="9"/>
      <c r="S12" s="12" t="e">
        <f>VLOOKUP(O12, '[1]لیست محصولات اردیبهشت ۱۴۰۳'!B:F,5,0)</f>
        <v>#N/A</v>
      </c>
      <c r="T12" s="14" t="e">
        <f>VLOOKUP(O12, '[1]لیست محصولات اردیبهشت ۱۴۰۳'!B:G,6,0)</f>
        <v>#N/A</v>
      </c>
      <c r="U12" s="15"/>
      <c r="V12" s="16">
        <f t="shared" si="8"/>
        <v>0</v>
      </c>
      <c r="W12" s="12">
        <f t="shared" si="9"/>
        <v>0</v>
      </c>
      <c r="X12" s="14" t="e">
        <f t="shared" si="10"/>
        <v>#N/A</v>
      </c>
      <c r="Y12" s="17"/>
      <c r="Z12" s="14" t="e">
        <f t="shared" si="11"/>
        <v>#N/A</v>
      </c>
      <c r="AA12" s="18"/>
      <c r="AB12" s="13"/>
      <c r="AC12" s="19"/>
      <c r="AD12" s="20"/>
      <c r="AE12" s="19"/>
      <c r="AF12" s="21"/>
      <c r="AG12" s="22" t="str">
        <f t="shared" si="5"/>
        <v>FALSE</v>
      </c>
      <c r="AH12" s="23" t="str">
        <f t="shared" si="6"/>
        <v xml:space="preserve">   -   </v>
      </c>
    </row>
    <row r="13" spans="1:34" ht="22.35" customHeight="1">
      <c r="A13" s="7" t="b">
        <v>0</v>
      </c>
      <c r="B13" s="7"/>
      <c r="C13" s="7" t="b">
        <v>0</v>
      </c>
      <c r="D13" s="7"/>
      <c r="E13" s="7" t="b">
        <v>0</v>
      </c>
      <c r="F13" s="8"/>
      <c r="G13" s="9"/>
      <c r="H13" s="10"/>
      <c r="I13" s="9"/>
      <c r="J13" s="9"/>
      <c r="K13" s="11" t="str">
        <f t="shared" ca="1" si="7"/>
        <v/>
      </c>
      <c r="L13" s="12"/>
      <c r="M13" s="12"/>
      <c r="N13" s="12"/>
      <c r="O13" s="9"/>
      <c r="P13" s="9"/>
      <c r="Q13" s="13" t="e">
        <f>VLOOKUP(O13, '[1]لیست محصولات اردیبهشت ۱۴۰۳'!B:C,2,0)</f>
        <v>#N/A</v>
      </c>
      <c r="R13" s="9"/>
      <c r="S13" s="12" t="e">
        <f>VLOOKUP(O13, '[1]لیست محصولات اردیبهشت ۱۴۰۳'!B:F,5,0)</f>
        <v>#N/A</v>
      </c>
      <c r="T13" s="14" t="e">
        <f>VLOOKUP(O13, '[1]لیست محصولات اردیبهشت ۱۴۰۳'!B:G,6,0)</f>
        <v>#N/A</v>
      </c>
      <c r="U13" s="26"/>
      <c r="V13" s="16">
        <f t="shared" si="8"/>
        <v>0</v>
      </c>
      <c r="W13" s="12">
        <f t="shared" si="9"/>
        <v>0</v>
      </c>
      <c r="X13" s="14" t="e">
        <f t="shared" si="10"/>
        <v>#N/A</v>
      </c>
      <c r="Y13" s="17"/>
      <c r="Z13" s="14" t="e">
        <f t="shared" si="11"/>
        <v>#N/A</v>
      </c>
      <c r="AA13" s="18"/>
      <c r="AB13" s="13"/>
      <c r="AC13" s="19"/>
      <c r="AD13" s="20"/>
      <c r="AE13" s="19"/>
      <c r="AF13" s="21"/>
      <c r="AG13" s="22" t="str">
        <f t="shared" si="5"/>
        <v>FALSE</v>
      </c>
      <c r="AH13" s="23" t="str">
        <f t="shared" si="6"/>
        <v xml:space="preserve">   -   </v>
      </c>
    </row>
    <row r="14" spans="1:34" ht="22.35" customHeight="1">
      <c r="A14" s="7" t="b">
        <v>0</v>
      </c>
      <c r="B14" s="7"/>
      <c r="C14" s="7" t="b">
        <v>0</v>
      </c>
      <c r="D14" s="7"/>
      <c r="E14" s="7"/>
      <c r="F14" s="8"/>
      <c r="G14" s="9"/>
      <c r="H14" s="10"/>
      <c r="I14" s="9"/>
      <c r="J14" s="9"/>
      <c r="K14" s="11" t="str">
        <f t="shared" ca="1" si="7"/>
        <v/>
      </c>
      <c r="L14" s="12"/>
      <c r="M14" s="12"/>
      <c r="N14" s="12"/>
      <c r="O14" s="9"/>
      <c r="P14" s="9"/>
      <c r="Q14" s="13" t="e">
        <f>VLOOKUP(O14, '[1]لیست محصولات اردیبهشت ۱۴۰۳'!B:C,2,0)</f>
        <v>#N/A</v>
      </c>
      <c r="R14" s="9"/>
      <c r="S14" s="12" t="e">
        <f>VLOOKUP(O14, '[1]لیست محصولات اردیبهشت ۱۴۰۳'!B:F,5,0)</f>
        <v>#N/A</v>
      </c>
      <c r="T14" s="14" t="e">
        <f>VLOOKUP(O14, '[1]لیست محصولات اردیبهشت ۱۴۰۳'!B:G,6,0)</f>
        <v>#N/A</v>
      </c>
      <c r="U14" s="15"/>
      <c r="V14" s="16">
        <f t="shared" si="8"/>
        <v>0</v>
      </c>
      <c r="W14" s="12">
        <f t="shared" si="9"/>
        <v>0</v>
      </c>
      <c r="X14" s="14" t="e">
        <f t="shared" si="10"/>
        <v>#N/A</v>
      </c>
      <c r="Y14" s="17"/>
      <c r="Z14" s="14" t="e">
        <f t="shared" si="11"/>
        <v>#N/A</v>
      </c>
      <c r="AA14" s="18"/>
      <c r="AB14" s="13"/>
      <c r="AC14" s="19"/>
      <c r="AD14" s="20"/>
      <c r="AE14" s="19"/>
      <c r="AF14" s="21"/>
      <c r="AG14" s="22" t="str">
        <f t="shared" si="5"/>
        <v>FALSE</v>
      </c>
      <c r="AH14" s="23" t="str">
        <f t="shared" si="6"/>
        <v xml:space="preserve">   -   </v>
      </c>
    </row>
    <row r="15" spans="1:34" ht="22.35" customHeight="1">
      <c r="A15" s="7"/>
      <c r="B15" s="7"/>
      <c r="C15" s="7"/>
      <c r="D15" s="7"/>
      <c r="E15" s="7"/>
      <c r="F15" s="8"/>
      <c r="G15" s="9"/>
      <c r="H15" s="10"/>
      <c r="I15" s="9"/>
      <c r="J15" s="9"/>
      <c r="K15" s="11" t="str">
        <f t="shared" ca="1" si="7"/>
        <v/>
      </c>
      <c r="L15" s="12"/>
      <c r="M15" s="12"/>
      <c r="N15" s="12"/>
      <c r="O15" s="9"/>
      <c r="P15" s="9"/>
      <c r="Q15" s="13" t="e">
        <f>VLOOKUP(O15, '[1]لیست محصولات اردیبهشت ۱۴۰۳'!B:C,2,0)</f>
        <v>#N/A</v>
      </c>
      <c r="R15" s="9"/>
      <c r="S15" s="12" t="e">
        <f>VLOOKUP(O15, '[1]لیست محصولات اردیبهشت ۱۴۰۳'!B:F,5,0)</f>
        <v>#N/A</v>
      </c>
      <c r="T15" s="14" t="e">
        <f>VLOOKUP(O15, '[1]لیست محصولات اردیبهشت ۱۴۰۳'!B:G,6,0)</f>
        <v>#N/A</v>
      </c>
      <c r="U15" s="15"/>
      <c r="V15" s="16">
        <f t="shared" si="8"/>
        <v>0</v>
      </c>
      <c r="W15" s="12">
        <f t="shared" si="9"/>
        <v>0</v>
      </c>
      <c r="X15" s="14" t="e">
        <f t="shared" si="10"/>
        <v>#N/A</v>
      </c>
      <c r="Y15" s="17"/>
      <c r="Z15" s="14" t="e">
        <f t="shared" si="11"/>
        <v>#N/A</v>
      </c>
      <c r="AA15" s="18"/>
      <c r="AB15" s="13"/>
      <c r="AC15" s="19"/>
      <c r="AD15" s="20"/>
      <c r="AE15" s="19"/>
      <c r="AF15" s="21"/>
      <c r="AG15" s="22" t="str">
        <f t="shared" si="5"/>
        <v>FALSE</v>
      </c>
      <c r="AH15" s="23" t="str">
        <f t="shared" si="6"/>
        <v xml:space="preserve">   -   </v>
      </c>
    </row>
    <row r="16" spans="1:34" ht="22.35" customHeight="1">
      <c r="A16" s="7"/>
      <c r="B16" s="7"/>
      <c r="C16" s="7"/>
      <c r="D16" s="7"/>
      <c r="E16" s="7"/>
      <c r="F16" s="8"/>
      <c r="G16" s="9"/>
      <c r="H16" s="10"/>
      <c r="I16" s="9"/>
      <c r="J16" s="9"/>
      <c r="K16" s="11" t="str">
        <f t="shared" ca="1" si="7"/>
        <v/>
      </c>
      <c r="L16" s="12"/>
      <c r="M16" s="12"/>
      <c r="N16" s="12"/>
      <c r="O16" s="9"/>
      <c r="P16" s="9"/>
      <c r="Q16" s="13" t="e">
        <f>VLOOKUP(O16, '[1]لیست محصولات اردیبهشت ۱۴۰۳'!B:C,2,0)</f>
        <v>#N/A</v>
      </c>
      <c r="R16" s="9"/>
      <c r="S16" s="12" t="e">
        <f>VLOOKUP(O16, '[1]لیست محصولات اردیبهشت ۱۴۰۳'!B:F,5,0)</f>
        <v>#N/A</v>
      </c>
      <c r="T16" s="14" t="e">
        <f>VLOOKUP(O16, '[1]لیست محصولات اردیبهشت ۱۴۰۳'!B:G,6,0)</f>
        <v>#N/A</v>
      </c>
      <c r="U16" s="15"/>
      <c r="V16" s="16">
        <f t="shared" si="8"/>
        <v>0</v>
      </c>
      <c r="W16" s="12">
        <f t="shared" si="9"/>
        <v>0</v>
      </c>
      <c r="X16" s="14" t="e">
        <f t="shared" si="10"/>
        <v>#N/A</v>
      </c>
      <c r="Y16" s="17"/>
      <c r="Z16" s="14" t="e">
        <f t="shared" si="11"/>
        <v>#N/A</v>
      </c>
      <c r="AA16" s="18"/>
      <c r="AB16" s="13"/>
      <c r="AC16" s="19"/>
      <c r="AD16" s="20"/>
      <c r="AE16" s="19"/>
      <c r="AF16" s="21"/>
      <c r="AG16" s="22" t="str">
        <f t="shared" si="5"/>
        <v>FALSE</v>
      </c>
      <c r="AH16" s="23" t="str">
        <f t="shared" si="6"/>
        <v xml:space="preserve">   -   </v>
      </c>
    </row>
    <row r="17" spans="1:34" ht="22.35" customHeight="1">
      <c r="A17" s="7"/>
      <c r="B17" s="7"/>
      <c r="C17" s="7"/>
      <c r="D17" s="7"/>
      <c r="E17" s="7"/>
      <c r="F17" s="8"/>
      <c r="G17" s="9"/>
      <c r="H17" s="10"/>
      <c r="I17" s="9"/>
      <c r="J17" s="9"/>
      <c r="K17" s="11" t="str">
        <f t="shared" ca="1" si="7"/>
        <v/>
      </c>
      <c r="L17" s="12"/>
      <c r="M17" s="12"/>
      <c r="N17" s="12"/>
      <c r="O17" s="9"/>
      <c r="P17" s="9"/>
      <c r="Q17" s="13" t="e">
        <f>VLOOKUP(O17, '[1]لیست محصولات اردیبهشت ۱۴۰۳'!B:C,2,0)</f>
        <v>#N/A</v>
      </c>
      <c r="R17" s="9"/>
      <c r="S17" s="12" t="e">
        <f>VLOOKUP(O17, '[1]لیست محصولات اردیبهشت ۱۴۰۳'!B:F,5,0)</f>
        <v>#N/A</v>
      </c>
      <c r="T17" s="14" t="e">
        <f>VLOOKUP(O17, '[1]لیست محصولات اردیبهشت ۱۴۰۳'!B:G,6,0)</f>
        <v>#N/A</v>
      </c>
      <c r="U17" s="15"/>
      <c r="V17" s="16">
        <f t="shared" si="8"/>
        <v>0</v>
      </c>
      <c r="W17" s="12">
        <f t="shared" si="9"/>
        <v>0</v>
      </c>
      <c r="X17" s="14" t="e">
        <f t="shared" si="10"/>
        <v>#N/A</v>
      </c>
      <c r="Y17" s="17"/>
      <c r="Z17" s="14" t="e">
        <f t="shared" si="11"/>
        <v>#N/A</v>
      </c>
      <c r="AA17" s="18"/>
      <c r="AB17" s="13"/>
      <c r="AC17" s="19"/>
      <c r="AD17" s="20"/>
      <c r="AE17" s="19"/>
      <c r="AF17" s="21"/>
      <c r="AG17" s="22" t="str">
        <f t="shared" si="5"/>
        <v>FALSE</v>
      </c>
      <c r="AH17" s="23" t="str">
        <f t="shared" si="6"/>
        <v xml:space="preserve">   -   </v>
      </c>
    </row>
    <row r="18" spans="1:34" ht="22.35" customHeight="1">
      <c r="A18" s="7"/>
      <c r="B18" s="7"/>
      <c r="C18" s="7"/>
      <c r="D18" s="7"/>
      <c r="E18" s="7"/>
      <c r="F18" s="8"/>
      <c r="G18" s="9"/>
      <c r="H18" s="10"/>
      <c r="I18" s="9"/>
      <c r="J18" s="9"/>
      <c r="K18" s="11" t="str">
        <f t="shared" ca="1" si="7"/>
        <v/>
      </c>
      <c r="L18" s="12"/>
      <c r="M18" s="12"/>
      <c r="N18" s="12"/>
      <c r="O18" s="9"/>
      <c r="P18" s="9"/>
      <c r="Q18" s="13" t="e">
        <f>VLOOKUP(O18, '[1]لیست محصولات اردیبهشت ۱۴۰۳'!B:C,2,0)</f>
        <v>#N/A</v>
      </c>
      <c r="R18" s="9"/>
      <c r="S18" s="12" t="e">
        <f>VLOOKUP(O18, '[1]لیست محصولات اردیبهشت ۱۴۰۳'!B:F,5,0)</f>
        <v>#N/A</v>
      </c>
      <c r="T18" s="14" t="e">
        <f>VLOOKUP(O18, '[1]لیست محصولات اردیبهشت ۱۴۰۳'!B:G,6,0)</f>
        <v>#N/A</v>
      </c>
      <c r="U18" s="15"/>
      <c r="V18" s="16">
        <f t="shared" si="8"/>
        <v>0</v>
      </c>
      <c r="W18" s="12">
        <f t="shared" si="9"/>
        <v>0</v>
      </c>
      <c r="X18" s="14" t="e">
        <f t="shared" si="10"/>
        <v>#N/A</v>
      </c>
      <c r="Y18" s="17"/>
      <c r="Z18" s="14" t="e">
        <f t="shared" si="11"/>
        <v>#N/A</v>
      </c>
      <c r="AA18" s="18"/>
      <c r="AB18" s="13"/>
      <c r="AC18" s="19"/>
      <c r="AD18" s="20"/>
      <c r="AE18" s="19"/>
      <c r="AF18" s="21"/>
      <c r="AG18" s="22" t="str">
        <f t="shared" si="5"/>
        <v>FALSE</v>
      </c>
      <c r="AH18" s="23" t="str">
        <f t="shared" si="6"/>
        <v xml:space="preserve">   -   </v>
      </c>
    </row>
    <row r="19" spans="1:34" ht="22.35" customHeight="1">
      <c r="A19" s="7"/>
      <c r="B19" s="7"/>
      <c r="C19" s="7"/>
      <c r="D19" s="7"/>
      <c r="E19" s="7"/>
      <c r="F19" s="8"/>
      <c r="G19" s="9"/>
      <c r="H19" s="10"/>
      <c r="I19" s="9"/>
      <c r="J19" s="9"/>
      <c r="K19" s="11" t="str">
        <f t="shared" ca="1" si="7"/>
        <v/>
      </c>
      <c r="L19" s="12"/>
      <c r="M19" s="12"/>
      <c r="N19" s="12"/>
      <c r="O19" s="9"/>
      <c r="P19" s="9"/>
      <c r="Q19" s="13" t="e">
        <f>VLOOKUP(O19, '[1]لیست محصولات اردیبهشت ۱۴۰۳'!B:C,2,0)</f>
        <v>#N/A</v>
      </c>
      <c r="R19" s="9"/>
      <c r="S19" s="12" t="e">
        <f>VLOOKUP(O19, '[1]لیست محصولات اردیبهشت ۱۴۰۳'!B:F,5,0)</f>
        <v>#N/A</v>
      </c>
      <c r="T19" s="14" t="e">
        <f>VLOOKUP(O19, '[1]لیست محصولات اردیبهشت ۱۴۰۳'!B:G,6,0)</f>
        <v>#N/A</v>
      </c>
      <c r="U19" s="15"/>
      <c r="V19" s="16">
        <f t="shared" si="8"/>
        <v>0</v>
      </c>
      <c r="W19" s="12">
        <f t="shared" si="9"/>
        <v>0</v>
      </c>
      <c r="X19" s="14" t="e">
        <f t="shared" si="10"/>
        <v>#N/A</v>
      </c>
      <c r="Y19" s="17"/>
      <c r="Z19" s="14" t="e">
        <f t="shared" si="11"/>
        <v>#N/A</v>
      </c>
      <c r="AA19" s="18"/>
      <c r="AB19" s="13"/>
      <c r="AC19" s="19"/>
      <c r="AD19" s="20"/>
      <c r="AE19" s="19"/>
      <c r="AF19" s="21"/>
      <c r="AG19" s="22" t="str">
        <f t="shared" si="5"/>
        <v>FALSE</v>
      </c>
      <c r="AH19" s="23" t="str">
        <f t="shared" si="6"/>
        <v xml:space="preserve">   -   </v>
      </c>
    </row>
    <row r="20" spans="1:34" ht="22.35" customHeight="1">
      <c r="A20" s="7"/>
      <c r="B20" s="7"/>
      <c r="C20" s="7" t="b">
        <v>0</v>
      </c>
      <c r="D20" s="7"/>
      <c r="E20" s="7"/>
      <c r="F20" s="8"/>
      <c r="G20" s="9"/>
      <c r="H20" s="10"/>
      <c r="I20" s="9"/>
      <c r="J20" s="9"/>
      <c r="K20" s="11" t="str">
        <f t="shared" ca="1" si="7"/>
        <v/>
      </c>
      <c r="L20" s="12"/>
      <c r="M20" s="12"/>
      <c r="N20" s="12"/>
      <c r="O20" s="9"/>
      <c r="P20" s="9"/>
      <c r="Q20" s="13" t="e">
        <f>VLOOKUP(O20, '[1]لیست محصولات اردیبهشت ۱۴۰۳'!B:C,2,0)</f>
        <v>#N/A</v>
      </c>
      <c r="R20" s="9"/>
      <c r="S20" s="12" t="e">
        <f>VLOOKUP(O20, '[1]لیست محصولات اردیبهشت ۱۴۰۳'!B:F,5,0)</f>
        <v>#N/A</v>
      </c>
      <c r="T20" s="14" t="e">
        <f>VLOOKUP(O20, '[1]لیست محصولات اردیبهشت ۱۴۰۳'!B:G,6,0)</f>
        <v>#N/A</v>
      </c>
      <c r="U20" s="15"/>
      <c r="V20" s="16">
        <f t="shared" si="8"/>
        <v>0</v>
      </c>
      <c r="W20" s="12">
        <f t="shared" si="9"/>
        <v>0</v>
      </c>
      <c r="X20" s="14" t="e">
        <f t="shared" si="10"/>
        <v>#N/A</v>
      </c>
      <c r="Y20" s="17"/>
      <c r="Z20" s="14" t="e">
        <f t="shared" si="11"/>
        <v>#N/A</v>
      </c>
      <c r="AA20" s="18"/>
      <c r="AB20" s="13"/>
      <c r="AC20" s="19"/>
      <c r="AD20" s="20"/>
      <c r="AE20" s="19"/>
      <c r="AF20" s="21"/>
      <c r="AG20" s="22" t="str">
        <f t="shared" si="5"/>
        <v>FALSE</v>
      </c>
      <c r="AH20" s="23" t="str">
        <f t="shared" si="6"/>
        <v xml:space="preserve">   -   </v>
      </c>
    </row>
    <row r="21" spans="1:34" ht="22.35" customHeight="1">
      <c r="A21" s="7"/>
      <c r="B21" s="7"/>
      <c r="C21" s="7" t="b">
        <v>0</v>
      </c>
      <c r="D21" s="7"/>
      <c r="E21" s="7"/>
      <c r="F21" s="8"/>
      <c r="G21" s="9"/>
      <c r="H21" s="10"/>
      <c r="I21" s="9"/>
      <c r="J21" s="9"/>
      <c r="K21" s="11" t="str">
        <f t="shared" ca="1" si="7"/>
        <v/>
      </c>
      <c r="L21" s="12"/>
      <c r="M21" s="12"/>
      <c r="N21" s="12"/>
      <c r="O21" s="9"/>
      <c r="P21" s="9"/>
      <c r="Q21" s="13" t="e">
        <f>VLOOKUP(O21, '[1]لیست محصولات اردیبهشت ۱۴۰۳'!B:C,2,0)</f>
        <v>#N/A</v>
      </c>
      <c r="R21" s="9"/>
      <c r="S21" s="12" t="e">
        <f>VLOOKUP(O21, '[1]لیست محصولات اردیبهشت ۱۴۰۳'!B:F,5,0)</f>
        <v>#N/A</v>
      </c>
      <c r="T21" s="14" t="e">
        <f>VLOOKUP(O21, '[1]لیست محصولات اردیبهشت ۱۴۰۳'!B:G,6,0)</f>
        <v>#N/A</v>
      </c>
      <c r="U21" s="15"/>
      <c r="V21" s="16">
        <f t="shared" si="8"/>
        <v>0</v>
      </c>
      <c r="W21" s="12">
        <f t="shared" si="9"/>
        <v>0</v>
      </c>
      <c r="X21" s="14" t="e">
        <f t="shared" si="10"/>
        <v>#N/A</v>
      </c>
      <c r="Y21" s="17"/>
      <c r="Z21" s="14" t="e">
        <f t="shared" si="11"/>
        <v>#N/A</v>
      </c>
      <c r="AA21" s="18"/>
      <c r="AB21" s="13"/>
      <c r="AC21" s="19"/>
      <c r="AD21" s="20"/>
      <c r="AE21" s="19"/>
      <c r="AF21" s="21"/>
      <c r="AG21" s="22" t="str">
        <f t="shared" si="5"/>
        <v>FALSE</v>
      </c>
      <c r="AH21" s="23" t="str">
        <f t="shared" si="6"/>
        <v xml:space="preserve">   -   </v>
      </c>
    </row>
    <row r="22" spans="1:34" ht="22.35" customHeight="1">
      <c r="A22" s="7" t="b">
        <v>0</v>
      </c>
      <c r="B22" s="7"/>
      <c r="C22" s="7" t="b">
        <v>0</v>
      </c>
      <c r="D22" s="7"/>
      <c r="E22" s="7"/>
      <c r="F22" s="8"/>
      <c r="G22" s="9"/>
      <c r="H22" s="10"/>
      <c r="I22" s="9"/>
      <c r="J22" s="9"/>
      <c r="K22" s="11" t="str">
        <f t="shared" ca="1" si="7"/>
        <v/>
      </c>
      <c r="L22" s="12"/>
      <c r="M22" s="12"/>
      <c r="N22" s="12"/>
      <c r="O22" s="9"/>
      <c r="P22" s="9"/>
      <c r="Q22" s="13" t="e">
        <f>VLOOKUP(O22, '[1]لیست محصولات اردیبهشت ۱۴۰۳'!B:C,2,0)</f>
        <v>#N/A</v>
      </c>
      <c r="R22" s="9"/>
      <c r="S22" s="12" t="e">
        <f>VLOOKUP(O22, '[1]لیست محصولات اردیبهشت ۱۴۰۳'!B:F,5,0)</f>
        <v>#N/A</v>
      </c>
      <c r="T22" s="14" t="e">
        <f>VLOOKUP(O22, '[1]لیست محصولات اردیبهشت ۱۴۰۳'!B:G,6,0)</f>
        <v>#N/A</v>
      </c>
      <c r="U22" s="15"/>
      <c r="V22" s="16">
        <f t="shared" si="8"/>
        <v>0</v>
      </c>
      <c r="W22" s="12">
        <f t="shared" si="9"/>
        <v>0</v>
      </c>
      <c r="X22" s="14" t="e">
        <f t="shared" si="10"/>
        <v>#N/A</v>
      </c>
      <c r="Y22" s="17"/>
      <c r="Z22" s="14" t="e">
        <f t="shared" si="11"/>
        <v>#N/A</v>
      </c>
      <c r="AA22" s="18"/>
      <c r="AB22" s="13"/>
      <c r="AC22" s="19"/>
      <c r="AD22" s="20"/>
      <c r="AE22" s="19"/>
      <c r="AF22" s="21"/>
      <c r="AG22" s="22" t="str">
        <f t="shared" si="5"/>
        <v>FALSE</v>
      </c>
      <c r="AH22" s="23" t="str">
        <f t="shared" si="6"/>
        <v xml:space="preserve">   -   </v>
      </c>
    </row>
    <row r="23" spans="1:34" ht="22.35" customHeight="1">
      <c r="A23" s="7"/>
      <c r="B23" s="7"/>
      <c r="C23" s="7" t="b">
        <v>0</v>
      </c>
      <c r="D23" s="7"/>
      <c r="E23" s="7"/>
      <c r="F23" s="8"/>
      <c r="G23" s="9"/>
      <c r="H23" s="10"/>
      <c r="I23" s="9"/>
      <c r="J23" s="9"/>
      <c r="K23" s="11" t="str">
        <f t="shared" ca="1" si="7"/>
        <v/>
      </c>
      <c r="L23" s="12"/>
      <c r="M23" s="12"/>
      <c r="N23" s="12"/>
      <c r="O23" s="9"/>
      <c r="P23" s="9"/>
      <c r="Q23" s="13" t="e">
        <f>VLOOKUP(O23, '[1]لیست محصولات اردیبهشت ۱۴۰۳'!B:C,2,0)</f>
        <v>#N/A</v>
      </c>
      <c r="R23" s="9"/>
      <c r="S23" s="12" t="e">
        <f>VLOOKUP(O23, '[1]لیست محصولات اردیبهشت ۱۴۰۳'!B:F,5,0)</f>
        <v>#N/A</v>
      </c>
      <c r="T23" s="14" t="e">
        <f>VLOOKUP(O23, '[1]لیست محصولات اردیبهشت ۱۴۰۳'!B:G,6,0)</f>
        <v>#N/A</v>
      </c>
      <c r="U23" s="15"/>
      <c r="V23" s="16">
        <f t="shared" si="8"/>
        <v>0</v>
      </c>
      <c r="W23" s="12">
        <f t="shared" si="9"/>
        <v>0</v>
      </c>
      <c r="X23" s="14" t="e">
        <f t="shared" si="10"/>
        <v>#N/A</v>
      </c>
      <c r="Y23" s="17"/>
      <c r="Z23" s="14" t="e">
        <f t="shared" si="11"/>
        <v>#N/A</v>
      </c>
      <c r="AA23" s="18"/>
      <c r="AB23" s="13"/>
      <c r="AC23" s="19"/>
      <c r="AD23" s="20"/>
      <c r="AE23" s="19"/>
      <c r="AF23" s="21"/>
      <c r="AG23" s="22" t="str">
        <f t="shared" si="5"/>
        <v>FALSE</v>
      </c>
      <c r="AH23" s="23" t="str">
        <f t="shared" si="6"/>
        <v xml:space="preserve">   -   </v>
      </c>
    </row>
    <row r="24" spans="1:34" ht="22.35" customHeight="1">
      <c r="A24" s="7"/>
      <c r="B24" s="7"/>
      <c r="C24" s="7" t="b">
        <v>0</v>
      </c>
      <c r="D24" s="7"/>
      <c r="E24" s="7"/>
      <c r="F24" s="8"/>
      <c r="G24" s="9"/>
      <c r="H24" s="10"/>
      <c r="I24" s="9"/>
      <c r="J24" s="9"/>
      <c r="K24" s="11" t="str">
        <f t="shared" ca="1" si="7"/>
        <v/>
      </c>
      <c r="L24" s="12"/>
      <c r="M24" s="12"/>
      <c r="N24" s="12"/>
      <c r="O24" s="9"/>
      <c r="P24" s="9"/>
      <c r="Q24" s="13" t="e">
        <f>VLOOKUP(O24, '[1]لیست محصولات اردیبهشت ۱۴۰۳'!B:C,2,0)</f>
        <v>#N/A</v>
      </c>
      <c r="R24" s="9"/>
      <c r="S24" s="12" t="e">
        <f>VLOOKUP(O24, '[1]لیست محصولات اردیبهشت ۱۴۰۳'!B:F,5,0)</f>
        <v>#N/A</v>
      </c>
      <c r="T24" s="14" t="e">
        <f>VLOOKUP(O24, '[1]لیست محصولات اردیبهشت ۱۴۰۳'!B:G,6,0)</f>
        <v>#N/A</v>
      </c>
      <c r="U24" s="15"/>
      <c r="V24" s="16">
        <f t="shared" si="8"/>
        <v>0</v>
      </c>
      <c r="W24" s="12">
        <f t="shared" si="9"/>
        <v>0</v>
      </c>
      <c r="X24" s="14" t="e">
        <f t="shared" si="10"/>
        <v>#N/A</v>
      </c>
      <c r="Y24" s="17"/>
      <c r="Z24" s="14" t="e">
        <f t="shared" si="11"/>
        <v>#N/A</v>
      </c>
      <c r="AA24" s="18"/>
      <c r="AB24" s="13"/>
      <c r="AC24" s="19"/>
      <c r="AD24" s="20"/>
      <c r="AE24" s="19"/>
      <c r="AF24" s="21"/>
      <c r="AG24" s="22" t="str">
        <f t="shared" si="5"/>
        <v>FALSE</v>
      </c>
      <c r="AH24" s="23" t="str">
        <f t="shared" si="6"/>
        <v xml:space="preserve">   -   </v>
      </c>
    </row>
    <row r="25" spans="1:34" ht="22.35" customHeight="1">
      <c r="A25" s="7"/>
      <c r="B25" s="7"/>
      <c r="C25" s="7" t="b">
        <v>0</v>
      </c>
      <c r="D25" s="7"/>
      <c r="E25" s="7"/>
      <c r="F25" s="8"/>
      <c r="G25" s="9"/>
      <c r="H25" s="10"/>
      <c r="I25" s="9"/>
      <c r="J25" s="9"/>
      <c r="K25" s="11" t="str">
        <f t="shared" ca="1" si="7"/>
        <v/>
      </c>
      <c r="L25" s="12"/>
      <c r="M25" s="12"/>
      <c r="N25" s="12"/>
      <c r="O25" s="9"/>
      <c r="P25" s="9"/>
      <c r="Q25" s="13" t="e">
        <f>VLOOKUP(O25, '[1]لیست محصولات اردیبهشت ۱۴۰۳'!B:C,2,0)</f>
        <v>#N/A</v>
      </c>
      <c r="R25" s="9"/>
      <c r="S25" s="12" t="e">
        <f>VLOOKUP(O25, '[1]لیست محصولات اردیبهشت ۱۴۰۳'!B:F,5,0)</f>
        <v>#N/A</v>
      </c>
      <c r="T25" s="14" t="e">
        <f>VLOOKUP(O25, '[1]لیست محصولات اردیبهشت ۱۴۰۳'!B:G,6,0)</f>
        <v>#N/A</v>
      </c>
      <c r="U25" s="15"/>
      <c r="V25" s="16">
        <f t="shared" si="8"/>
        <v>0</v>
      </c>
      <c r="W25" s="12">
        <f t="shared" si="9"/>
        <v>0</v>
      </c>
      <c r="X25" s="14" t="e">
        <f t="shared" si="10"/>
        <v>#N/A</v>
      </c>
      <c r="Y25" s="17"/>
      <c r="Z25" s="14" t="e">
        <f t="shared" si="11"/>
        <v>#N/A</v>
      </c>
      <c r="AA25" s="18"/>
      <c r="AB25" s="13"/>
      <c r="AC25" s="19"/>
      <c r="AD25" s="20"/>
      <c r="AE25" s="19"/>
      <c r="AF25" s="21"/>
      <c r="AG25" s="22" t="str">
        <f t="shared" si="5"/>
        <v>FALSE</v>
      </c>
      <c r="AH25" s="23" t="str">
        <f t="shared" si="6"/>
        <v xml:space="preserve">   -   </v>
      </c>
    </row>
    <row r="26" spans="1:34" ht="22.35" customHeight="1">
      <c r="A26" s="7"/>
      <c r="B26" s="7"/>
      <c r="C26" s="7"/>
      <c r="D26" s="7"/>
      <c r="E26" s="7"/>
      <c r="F26" s="8"/>
      <c r="G26" s="9"/>
      <c r="H26" s="10"/>
      <c r="I26" s="9"/>
      <c r="J26" s="9"/>
      <c r="K26" s="11" t="str">
        <f t="shared" ca="1" si="7"/>
        <v/>
      </c>
      <c r="L26" s="12"/>
      <c r="M26" s="12"/>
      <c r="N26" s="12"/>
      <c r="O26" s="9"/>
      <c r="P26" s="9"/>
      <c r="Q26" s="13" t="e">
        <f>VLOOKUP(O26, '[1]لیست محصولات اردیبهشت ۱۴۰۳'!B:C,2,0)</f>
        <v>#N/A</v>
      </c>
      <c r="R26" s="9"/>
      <c r="S26" s="12" t="e">
        <f>VLOOKUP(O26, '[1]لیست محصولات اردیبهشت ۱۴۰۳'!B:F,5,0)</f>
        <v>#N/A</v>
      </c>
      <c r="T26" s="14" t="e">
        <f>VLOOKUP(O26, '[1]لیست محصولات اردیبهشت ۱۴۰۳'!B:G,6,0)</f>
        <v>#N/A</v>
      </c>
      <c r="U26" s="15"/>
      <c r="V26" s="16">
        <f t="shared" si="8"/>
        <v>0</v>
      </c>
      <c r="W26" s="12">
        <f t="shared" si="9"/>
        <v>0</v>
      </c>
      <c r="X26" s="14" t="e">
        <f t="shared" si="10"/>
        <v>#N/A</v>
      </c>
      <c r="Y26" s="17"/>
      <c r="Z26" s="14" t="e">
        <f t="shared" si="11"/>
        <v>#N/A</v>
      </c>
      <c r="AA26" s="18"/>
      <c r="AB26" s="13"/>
      <c r="AC26" s="19"/>
      <c r="AD26" s="20"/>
      <c r="AE26" s="19"/>
      <c r="AF26" s="21"/>
      <c r="AG26" s="22" t="str">
        <f t="shared" si="5"/>
        <v>FALSE</v>
      </c>
      <c r="AH26" s="23" t="str">
        <f t="shared" si="6"/>
        <v xml:space="preserve">   -   </v>
      </c>
    </row>
    <row r="27" spans="1:34" ht="22.35" customHeight="1">
      <c r="A27" s="7"/>
      <c r="B27" s="7"/>
      <c r="C27" s="7" t="b">
        <v>0</v>
      </c>
      <c r="D27" s="7"/>
      <c r="E27" s="7"/>
      <c r="F27" s="8"/>
      <c r="G27" s="9"/>
      <c r="H27" s="10"/>
      <c r="I27" s="9"/>
      <c r="J27" s="9"/>
      <c r="K27" s="11" t="str">
        <f t="shared" ca="1" si="7"/>
        <v/>
      </c>
      <c r="L27" s="12"/>
      <c r="M27" s="12"/>
      <c r="N27" s="12"/>
      <c r="O27" s="9"/>
      <c r="P27" s="9"/>
      <c r="Q27" s="13" t="e">
        <f>VLOOKUP(O27, '[1]لیست محصولات اردیبهشت ۱۴۰۳'!B:C,2,0)</f>
        <v>#N/A</v>
      </c>
      <c r="R27" s="9"/>
      <c r="S27" s="12" t="e">
        <f>VLOOKUP(O27, '[1]لیست محصولات اردیبهشت ۱۴۰۳'!B:F,5,0)</f>
        <v>#N/A</v>
      </c>
      <c r="T27" s="14" t="e">
        <f>VLOOKUP(O27, '[1]لیست محصولات اردیبهشت ۱۴۰۳'!B:G,6,0)</f>
        <v>#N/A</v>
      </c>
      <c r="U27" s="15"/>
      <c r="V27" s="16">
        <f t="shared" si="8"/>
        <v>0</v>
      </c>
      <c r="W27" s="12">
        <f t="shared" si="9"/>
        <v>0</v>
      </c>
      <c r="X27" s="14" t="e">
        <f t="shared" si="10"/>
        <v>#N/A</v>
      </c>
      <c r="Y27" s="17"/>
      <c r="Z27" s="14" t="e">
        <f t="shared" si="11"/>
        <v>#N/A</v>
      </c>
      <c r="AA27" s="18"/>
      <c r="AB27" s="13"/>
      <c r="AC27" s="19"/>
      <c r="AD27" s="20"/>
      <c r="AE27" s="19"/>
      <c r="AF27" s="21"/>
      <c r="AG27" s="22" t="str">
        <f t="shared" si="5"/>
        <v>FALSE</v>
      </c>
      <c r="AH27" s="23" t="str">
        <f t="shared" si="6"/>
        <v xml:space="preserve">   -   </v>
      </c>
    </row>
    <row r="28" spans="1:34" ht="22.35" customHeight="1">
      <c r="A28" s="7"/>
      <c r="B28" s="7"/>
      <c r="C28" s="7" t="b">
        <v>0</v>
      </c>
      <c r="D28" s="7"/>
      <c r="E28" s="7"/>
      <c r="F28" s="8"/>
      <c r="G28" s="9"/>
      <c r="H28" s="10"/>
      <c r="I28" s="9"/>
      <c r="J28" s="9"/>
      <c r="K28" s="11" t="str">
        <f t="shared" ca="1" si="7"/>
        <v/>
      </c>
      <c r="L28" s="12"/>
      <c r="M28" s="12"/>
      <c r="N28" s="12"/>
      <c r="O28" s="9"/>
      <c r="P28" s="9"/>
      <c r="Q28" s="13" t="e">
        <f>VLOOKUP(O28, '[1]لیست محصولات اردیبهشت ۱۴۰۳'!B:C,2,0)</f>
        <v>#N/A</v>
      </c>
      <c r="R28" s="9"/>
      <c r="S28" s="12" t="e">
        <f>VLOOKUP(O28, '[1]لیست محصولات اردیبهشت ۱۴۰۳'!B:F,5,0)</f>
        <v>#N/A</v>
      </c>
      <c r="T28" s="14" t="e">
        <f>VLOOKUP(O28, '[1]لیست محصولات اردیبهشت ۱۴۰۳'!B:G,6,0)</f>
        <v>#N/A</v>
      </c>
      <c r="U28" s="15"/>
      <c r="V28" s="16">
        <f t="shared" si="8"/>
        <v>0</v>
      </c>
      <c r="W28" s="12">
        <f t="shared" si="9"/>
        <v>0</v>
      </c>
      <c r="X28" s="14" t="e">
        <f t="shared" si="10"/>
        <v>#N/A</v>
      </c>
      <c r="Y28" s="17"/>
      <c r="Z28" s="14" t="e">
        <f t="shared" si="11"/>
        <v>#N/A</v>
      </c>
      <c r="AA28" s="18"/>
      <c r="AB28" s="13"/>
      <c r="AC28" s="19"/>
      <c r="AD28" s="20"/>
      <c r="AE28" s="19"/>
      <c r="AF28" s="21"/>
      <c r="AG28" s="22" t="str">
        <f t="shared" si="5"/>
        <v>FALSE</v>
      </c>
      <c r="AH28" s="23" t="str">
        <f t="shared" si="6"/>
        <v xml:space="preserve">   -   </v>
      </c>
    </row>
    <row r="29" spans="1:34" ht="22.35" customHeight="1">
      <c r="A29" s="7"/>
      <c r="B29" s="7"/>
      <c r="C29" s="7" t="b">
        <v>0</v>
      </c>
      <c r="D29" s="7"/>
      <c r="E29" s="7"/>
      <c r="F29" s="8"/>
      <c r="G29" s="9"/>
      <c r="H29" s="10"/>
      <c r="I29" s="9"/>
      <c r="J29" s="9"/>
      <c r="K29" s="11" t="str">
        <f t="shared" ca="1" si="7"/>
        <v/>
      </c>
      <c r="L29" s="12"/>
      <c r="M29" s="12"/>
      <c r="N29" s="12"/>
      <c r="O29" s="9"/>
      <c r="P29" s="9"/>
      <c r="Q29" s="13" t="e">
        <f>VLOOKUP(O29, '[1]لیست محصولات اردیبهشت ۱۴۰۳'!B:C,2,0)</f>
        <v>#N/A</v>
      </c>
      <c r="R29" s="9"/>
      <c r="S29" s="12" t="e">
        <f>VLOOKUP(O29, '[1]لیست محصولات اردیبهشت ۱۴۰۳'!B:F,5,0)</f>
        <v>#N/A</v>
      </c>
      <c r="T29" s="14" t="e">
        <f>VLOOKUP(O29, '[1]لیست محصولات اردیبهشت ۱۴۰۳'!B:G,6,0)</f>
        <v>#N/A</v>
      </c>
      <c r="U29" s="15"/>
      <c r="V29" s="16">
        <f t="shared" si="8"/>
        <v>0</v>
      </c>
      <c r="W29" s="12">
        <f t="shared" si="9"/>
        <v>0</v>
      </c>
      <c r="X29" s="14" t="e">
        <f t="shared" si="10"/>
        <v>#N/A</v>
      </c>
      <c r="Y29" s="17"/>
      <c r="Z29" s="14" t="e">
        <f t="shared" si="11"/>
        <v>#N/A</v>
      </c>
      <c r="AA29" s="18"/>
      <c r="AB29" s="13"/>
      <c r="AC29" s="19"/>
      <c r="AD29" s="20"/>
      <c r="AE29" s="19"/>
      <c r="AF29" s="21"/>
      <c r="AG29" s="22" t="str">
        <f t="shared" si="5"/>
        <v>FALSE</v>
      </c>
      <c r="AH29" s="23" t="str">
        <f t="shared" si="6"/>
        <v xml:space="preserve">   -   </v>
      </c>
    </row>
    <row r="30" spans="1:34" ht="22.35" customHeight="1">
      <c r="A30" s="7"/>
      <c r="B30" s="7"/>
      <c r="C30" s="7" t="b">
        <v>0</v>
      </c>
      <c r="D30" s="7"/>
      <c r="E30" s="7" t="b">
        <v>0</v>
      </c>
      <c r="F30" s="8"/>
      <c r="G30" s="9"/>
      <c r="H30" s="10"/>
      <c r="I30" s="9"/>
      <c r="J30" s="9"/>
      <c r="K30" s="11" t="str">
        <f t="shared" ca="1" si="7"/>
        <v/>
      </c>
      <c r="L30" s="12"/>
      <c r="M30" s="12"/>
      <c r="N30" s="12"/>
      <c r="O30" s="9"/>
      <c r="P30" s="9"/>
      <c r="Q30" s="13" t="e">
        <f>VLOOKUP(O30, '[1]لیست محصولات اردیبهشت ۱۴۰۳'!B:C,2,0)</f>
        <v>#N/A</v>
      </c>
      <c r="R30" s="9"/>
      <c r="S30" s="12" t="e">
        <f>VLOOKUP(O30, '[1]لیست محصولات اردیبهشت ۱۴۰۳'!B:F,5,0)</f>
        <v>#N/A</v>
      </c>
      <c r="T30" s="14" t="e">
        <f>VLOOKUP(O30, '[1]لیست محصولات اردیبهشت ۱۴۰۳'!B:G,6,0)</f>
        <v>#N/A</v>
      </c>
      <c r="U30" s="15"/>
      <c r="V30" s="16">
        <f t="shared" si="8"/>
        <v>0</v>
      </c>
      <c r="W30" s="12">
        <f t="shared" si="9"/>
        <v>0</v>
      </c>
      <c r="X30" s="14" t="e">
        <f t="shared" si="10"/>
        <v>#N/A</v>
      </c>
      <c r="Y30" s="17"/>
      <c r="Z30" s="14" t="e">
        <f t="shared" si="11"/>
        <v>#N/A</v>
      </c>
      <c r="AA30" s="18"/>
      <c r="AB30" s="13"/>
      <c r="AC30" s="19"/>
      <c r="AD30" s="20"/>
      <c r="AE30" s="19"/>
      <c r="AF30" s="21"/>
      <c r="AG30" s="22" t="str">
        <f t="shared" si="5"/>
        <v>FALSE</v>
      </c>
      <c r="AH30" s="23" t="str">
        <f t="shared" si="6"/>
        <v xml:space="preserve">   -   </v>
      </c>
    </row>
    <row r="31" spans="1:34" ht="22.35" customHeight="1">
      <c r="A31" s="7" t="b">
        <v>0</v>
      </c>
      <c r="B31" s="7"/>
      <c r="C31" s="7" t="b">
        <v>0</v>
      </c>
      <c r="D31" s="7"/>
      <c r="E31" s="7" t="b">
        <v>0</v>
      </c>
      <c r="F31" s="8"/>
      <c r="G31" s="9"/>
      <c r="H31" s="10"/>
      <c r="I31" s="9"/>
      <c r="J31" s="9"/>
      <c r="K31" s="11" t="str">
        <f t="shared" ca="1" si="7"/>
        <v/>
      </c>
      <c r="L31" s="12"/>
      <c r="M31" s="12"/>
      <c r="N31" s="12"/>
      <c r="O31" s="9"/>
      <c r="P31" s="9"/>
      <c r="Q31" s="13" t="e">
        <f>VLOOKUP(O31, '[1]لیست محصولات اردیبهشت ۱۴۰۳'!B:C,2,0)</f>
        <v>#N/A</v>
      </c>
      <c r="R31" s="9"/>
      <c r="S31" s="12" t="e">
        <f>VLOOKUP(O31, '[1]لیست محصولات اردیبهشت ۱۴۰۳'!B:F,5,0)</f>
        <v>#N/A</v>
      </c>
      <c r="T31" s="14" t="e">
        <f>VLOOKUP(O31, '[1]لیست محصولات اردیبهشت ۱۴۰۳'!B:G,6,0)</f>
        <v>#N/A</v>
      </c>
      <c r="U31" s="15"/>
      <c r="V31" s="16">
        <f t="shared" si="8"/>
        <v>0</v>
      </c>
      <c r="W31" s="12">
        <f t="shared" si="9"/>
        <v>0</v>
      </c>
      <c r="X31" s="14" t="e">
        <f t="shared" si="10"/>
        <v>#N/A</v>
      </c>
      <c r="Y31" s="17"/>
      <c r="Z31" s="14" t="e">
        <f t="shared" si="11"/>
        <v>#N/A</v>
      </c>
      <c r="AA31" s="18"/>
      <c r="AB31" s="13"/>
      <c r="AC31" s="19"/>
      <c r="AD31" s="20"/>
      <c r="AE31" s="19"/>
      <c r="AF31" s="21"/>
      <c r="AG31" s="22" t="str">
        <f t="shared" si="5"/>
        <v>FALSE</v>
      </c>
      <c r="AH31" s="23" t="str">
        <f t="shared" si="6"/>
        <v xml:space="preserve">   -   </v>
      </c>
    </row>
    <row r="32" spans="1:34" ht="22.35" customHeight="1">
      <c r="A32" s="7"/>
      <c r="B32" s="7"/>
      <c r="C32" s="7"/>
      <c r="D32" s="7"/>
      <c r="E32" s="7"/>
      <c r="F32" s="8"/>
      <c r="G32" s="9"/>
      <c r="H32" s="10"/>
      <c r="I32" s="9"/>
      <c r="J32" s="9"/>
      <c r="K32" s="11" t="str">
        <f t="shared" ca="1" si="7"/>
        <v/>
      </c>
      <c r="L32" s="12"/>
      <c r="M32" s="12"/>
      <c r="N32" s="12"/>
      <c r="O32" s="9"/>
      <c r="P32" s="9"/>
      <c r="Q32" s="13" t="e">
        <f>VLOOKUP(O32, '[1]لیست محصولات اردیبهشت ۱۴۰۳'!B:C,2,0)</f>
        <v>#N/A</v>
      </c>
      <c r="R32" s="9"/>
      <c r="S32" s="12" t="e">
        <f>VLOOKUP(O32, '[1]لیست محصولات اردیبهشت ۱۴۰۳'!B:F,5,0)</f>
        <v>#N/A</v>
      </c>
      <c r="T32" s="14" t="e">
        <f>VLOOKUP(O32, '[1]لیست محصولات اردیبهشت ۱۴۰۳'!B:G,6,0)</f>
        <v>#N/A</v>
      </c>
      <c r="U32" s="15"/>
      <c r="V32" s="16">
        <f t="shared" si="8"/>
        <v>0</v>
      </c>
      <c r="W32" s="12">
        <f t="shared" si="9"/>
        <v>0</v>
      </c>
      <c r="X32" s="14" t="e">
        <f t="shared" si="10"/>
        <v>#N/A</v>
      </c>
      <c r="Y32" s="17"/>
      <c r="Z32" s="14" t="e">
        <f t="shared" si="11"/>
        <v>#N/A</v>
      </c>
      <c r="AA32" s="18"/>
      <c r="AB32" s="13"/>
      <c r="AC32" s="19"/>
      <c r="AD32" s="20"/>
      <c r="AE32" s="19"/>
      <c r="AF32" s="21"/>
      <c r="AG32" s="22" t="str">
        <f t="shared" si="5"/>
        <v>FALSE</v>
      </c>
      <c r="AH32" s="23" t="str">
        <f t="shared" si="6"/>
        <v xml:space="preserve">   -   </v>
      </c>
    </row>
    <row r="33" spans="1:34" ht="22.35" customHeight="1">
      <c r="A33" s="7"/>
      <c r="B33" s="7"/>
      <c r="C33" s="7"/>
      <c r="D33" s="7"/>
      <c r="E33" s="7"/>
      <c r="F33" s="8"/>
      <c r="G33" s="9"/>
      <c r="H33" s="10"/>
      <c r="I33" s="9"/>
      <c r="J33" s="9"/>
      <c r="K33" s="11" t="str">
        <f t="shared" ca="1" si="7"/>
        <v/>
      </c>
      <c r="L33" s="12"/>
      <c r="M33" s="12"/>
      <c r="N33" s="12"/>
      <c r="O33" s="9"/>
      <c r="P33" s="9"/>
      <c r="Q33" s="13" t="e">
        <f>VLOOKUP(O33, '[1]لیست محصولات اردیبهشت ۱۴۰۳'!B:C,2,0)</f>
        <v>#N/A</v>
      </c>
      <c r="R33" s="9"/>
      <c r="S33" s="12" t="e">
        <f>VLOOKUP(O33, '[1]لیست محصولات اردیبهشت ۱۴۰۳'!B:F,5,0)</f>
        <v>#N/A</v>
      </c>
      <c r="T33" s="14" t="e">
        <f>VLOOKUP(O33, '[1]لیست محصولات اردیبهشت ۱۴۰۳'!B:G,6,0)</f>
        <v>#N/A</v>
      </c>
      <c r="U33" s="15"/>
      <c r="V33" s="16">
        <f t="shared" si="8"/>
        <v>0</v>
      </c>
      <c r="W33" s="12">
        <f t="shared" si="9"/>
        <v>0</v>
      </c>
      <c r="X33" s="14" t="e">
        <f t="shared" si="10"/>
        <v>#N/A</v>
      </c>
      <c r="Y33" s="17"/>
      <c r="Z33" s="14" t="e">
        <f t="shared" si="11"/>
        <v>#N/A</v>
      </c>
      <c r="AA33" s="18"/>
      <c r="AB33" s="13"/>
      <c r="AC33" s="19"/>
      <c r="AD33" s="20"/>
      <c r="AE33" s="19"/>
      <c r="AF33" s="21"/>
      <c r="AG33" s="22" t="str">
        <f t="shared" si="5"/>
        <v>FALSE</v>
      </c>
      <c r="AH33" s="23" t="str">
        <f t="shared" si="6"/>
        <v xml:space="preserve">   -   </v>
      </c>
    </row>
    <row r="34" spans="1:34" ht="22.35" customHeight="1">
      <c r="A34" s="7"/>
      <c r="B34" s="7"/>
      <c r="C34" s="7"/>
      <c r="D34" s="7"/>
      <c r="E34" s="7"/>
      <c r="F34" s="8"/>
      <c r="G34" s="9"/>
      <c r="H34" s="10"/>
      <c r="I34" s="9"/>
      <c r="J34" s="9"/>
      <c r="K34" s="11" t="str">
        <f t="shared" ca="1" si="7"/>
        <v/>
      </c>
      <c r="L34" s="12"/>
      <c r="M34" s="12"/>
      <c r="N34" s="12"/>
      <c r="O34" s="9"/>
      <c r="P34" s="9"/>
      <c r="Q34" s="13" t="e">
        <f>VLOOKUP(O34, '[1]لیست محصولات اردیبهشت ۱۴۰۳'!B:C,2,0)</f>
        <v>#N/A</v>
      </c>
      <c r="R34" s="9"/>
      <c r="S34" s="12" t="e">
        <f>VLOOKUP(O34, '[1]لیست محصولات اردیبهشت ۱۴۰۳'!B:F,5,0)</f>
        <v>#N/A</v>
      </c>
      <c r="T34" s="14" t="e">
        <f>VLOOKUP(O34, '[1]لیست محصولات اردیبهشت ۱۴۰۳'!B:G,6,0)</f>
        <v>#N/A</v>
      </c>
      <c r="U34" s="15"/>
      <c r="V34" s="16">
        <f t="shared" si="8"/>
        <v>0</v>
      </c>
      <c r="W34" s="12">
        <f t="shared" si="9"/>
        <v>0</v>
      </c>
      <c r="X34" s="14" t="e">
        <f t="shared" si="10"/>
        <v>#N/A</v>
      </c>
      <c r="Y34" s="17"/>
      <c r="Z34" s="14" t="e">
        <f t="shared" si="11"/>
        <v>#N/A</v>
      </c>
      <c r="AA34" s="18"/>
      <c r="AB34" s="13"/>
      <c r="AC34" s="19"/>
      <c r="AD34" s="20"/>
      <c r="AE34" s="19"/>
      <c r="AF34" s="21"/>
      <c r="AG34" s="22" t="str">
        <f t="shared" si="5"/>
        <v>FALSE</v>
      </c>
      <c r="AH34" s="23" t="str">
        <f t="shared" si="6"/>
        <v xml:space="preserve">   -   </v>
      </c>
    </row>
    <row r="35" spans="1:34" ht="22.35" customHeight="1">
      <c r="A35" s="7"/>
      <c r="B35" s="7"/>
      <c r="C35" s="7"/>
      <c r="D35" s="7"/>
      <c r="E35" s="7"/>
      <c r="F35" s="8"/>
      <c r="G35" s="9"/>
      <c r="H35" s="10"/>
      <c r="I35" s="9"/>
      <c r="J35" s="9"/>
      <c r="K35" s="11" t="str">
        <f t="shared" ca="1" si="7"/>
        <v/>
      </c>
      <c r="L35" s="12"/>
      <c r="M35" s="12"/>
      <c r="N35" s="12"/>
      <c r="O35" s="9"/>
      <c r="P35" s="9"/>
      <c r="Q35" s="13" t="e">
        <f>VLOOKUP(O35, '[1]لیست محصولات اردیبهشت ۱۴۰۳'!B:C,2,0)</f>
        <v>#N/A</v>
      </c>
      <c r="R35" s="9"/>
      <c r="S35" s="12" t="e">
        <f>VLOOKUP(O35, '[1]لیست محصولات اردیبهشت ۱۴۰۳'!B:F,5,0)</f>
        <v>#N/A</v>
      </c>
      <c r="T35" s="14" t="e">
        <f>VLOOKUP(O35, '[1]لیست محصولات اردیبهشت ۱۴۰۳'!B:G,6,0)</f>
        <v>#N/A</v>
      </c>
      <c r="U35" s="15"/>
      <c r="V35" s="16">
        <f t="shared" si="8"/>
        <v>0</v>
      </c>
      <c r="W35" s="12">
        <f t="shared" si="9"/>
        <v>0</v>
      </c>
      <c r="X35" s="14" t="e">
        <f t="shared" si="10"/>
        <v>#N/A</v>
      </c>
      <c r="Y35" s="17"/>
      <c r="Z35" s="14" t="e">
        <f t="shared" si="11"/>
        <v>#N/A</v>
      </c>
      <c r="AA35" s="18"/>
      <c r="AB35" s="13"/>
      <c r="AC35" s="19"/>
      <c r="AD35" s="20"/>
      <c r="AE35" s="19"/>
      <c r="AF35" s="21"/>
      <c r="AG35" s="22" t="str">
        <f t="shared" si="5"/>
        <v>FALSE</v>
      </c>
      <c r="AH35" s="23" t="str">
        <f t="shared" si="6"/>
        <v xml:space="preserve">   -   </v>
      </c>
    </row>
    <row r="36" spans="1:34" ht="22.35" customHeight="1">
      <c r="A36" s="7"/>
      <c r="B36" s="7"/>
      <c r="C36" s="7"/>
      <c r="D36" s="7"/>
      <c r="E36" s="7"/>
      <c r="F36" s="8"/>
      <c r="G36" s="9"/>
      <c r="H36" s="10"/>
      <c r="I36" s="9"/>
      <c r="J36" s="9"/>
      <c r="K36" s="11" t="str">
        <f t="shared" ca="1" si="7"/>
        <v/>
      </c>
      <c r="L36" s="12"/>
      <c r="M36" s="12"/>
      <c r="N36" s="12"/>
      <c r="O36" s="9"/>
      <c r="P36" s="9"/>
      <c r="Q36" s="13" t="e">
        <f>VLOOKUP(O36, '[1]لیست محصولات اردیبهشت ۱۴۰۳'!B:C,2,0)</f>
        <v>#N/A</v>
      </c>
      <c r="R36" s="9"/>
      <c r="S36" s="12" t="e">
        <f>VLOOKUP(O36, '[1]لیست محصولات اردیبهشت ۱۴۰۳'!B:F,5,0)</f>
        <v>#N/A</v>
      </c>
      <c r="T36" s="14" t="e">
        <f>VLOOKUP(O36, '[1]لیست محصولات اردیبهشت ۱۴۰۳'!B:G,6,0)</f>
        <v>#N/A</v>
      </c>
      <c r="U36" s="15"/>
      <c r="V36" s="16">
        <f t="shared" si="8"/>
        <v>0</v>
      </c>
      <c r="W36" s="12">
        <f t="shared" si="9"/>
        <v>0</v>
      </c>
      <c r="X36" s="14" t="e">
        <f t="shared" si="10"/>
        <v>#N/A</v>
      </c>
      <c r="Y36" s="17"/>
      <c r="Z36" s="14" t="e">
        <f t="shared" si="11"/>
        <v>#N/A</v>
      </c>
      <c r="AA36" s="18"/>
      <c r="AB36" s="13"/>
      <c r="AC36" s="19"/>
      <c r="AD36" s="20"/>
      <c r="AE36" s="19"/>
      <c r="AF36" s="21"/>
      <c r="AG36" s="22" t="str">
        <f t="shared" si="5"/>
        <v>FALSE</v>
      </c>
      <c r="AH36" s="23" t="str">
        <f t="shared" si="6"/>
        <v xml:space="preserve">   -   </v>
      </c>
    </row>
    <row r="37" spans="1:34" ht="22.35" customHeight="1">
      <c r="A37" s="7"/>
      <c r="B37" s="7"/>
      <c r="C37" s="7"/>
      <c r="D37" s="7"/>
      <c r="E37" s="7"/>
      <c r="F37" s="8"/>
      <c r="G37" s="9"/>
      <c r="H37" s="10"/>
      <c r="I37" s="9"/>
      <c r="J37" s="9"/>
      <c r="K37" s="11" t="str">
        <f t="shared" ca="1" si="7"/>
        <v/>
      </c>
      <c r="L37" s="12"/>
      <c r="M37" s="12"/>
      <c r="N37" s="12"/>
      <c r="O37" s="9"/>
      <c r="P37" s="9"/>
      <c r="Q37" s="13" t="e">
        <f>VLOOKUP(O37, '[1]لیست محصولات اردیبهشت ۱۴۰۳'!B:C,2,0)</f>
        <v>#N/A</v>
      </c>
      <c r="R37" s="9"/>
      <c r="S37" s="12" t="e">
        <f>VLOOKUP(O37, '[1]لیست محصولات اردیبهشت ۱۴۰۳'!B:F,5,0)</f>
        <v>#N/A</v>
      </c>
      <c r="T37" s="14" t="e">
        <f>VLOOKUP(O37, '[1]لیست محصولات اردیبهشت ۱۴۰۳'!B:G,6,0)</f>
        <v>#N/A</v>
      </c>
      <c r="U37" s="15"/>
      <c r="V37" s="16">
        <f t="shared" si="8"/>
        <v>0</v>
      </c>
      <c r="W37" s="12">
        <f t="shared" si="9"/>
        <v>0</v>
      </c>
      <c r="X37" s="14" t="e">
        <f t="shared" si="10"/>
        <v>#N/A</v>
      </c>
      <c r="Y37" s="17"/>
      <c r="Z37" s="14" t="e">
        <f t="shared" si="11"/>
        <v>#N/A</v>
      </c>
      <c r="AA37" s="18"/>
      <c r="AB37" s="13"/>
      <c r="AC37" s="19"/>
      <c r="AD37" s="20"/>
      <c r="AE37" s="19"/>
      <c r="AF37" s="21"/>
      <c r="AG37" s="22" t="str">
        <f t="shared" si="5"/>
        <v>FALSE</v>
      </c>
      <c r="AH37" s="23" t="str">
        <f t="shared" si="6"/>
        <v xml:space="preserve">   -   </v>
      </c>
    </row>
    <row r="38" spans="1:34" ht="22.35" customHeight="1">
      <c r="A38" s="7"/>
      <c r="B38" s="7"/>
      <c r="C38" s="7"/>
      <c r="D38" s="7"/>
      <c r="E38" s="7"/>
      <c r="F38" s="8"/>
      <c r="G38" s="9"/>
      <c r="H38" s="10"/>
      <c r="I38" s="9"/>
      <c r="J38" s="9"/>
      <c r="K38" s="11" t="str">
        <f t="shared" ca="1" si="7"/>
        <v/>
      </c>
      <c r="L38" s="12"/>
      <c r="M38" s="12"/>
      <c r="N38" s="12"/>
      <c r="O38" s="9"/>
      <c r="P38" s="9"/>
      <c r="Q38" s="13" t="e">
        <f>VLOOKUP(O38, '[1]لیست محصولات اردیبهشت ۱۴۰۳'!B:C,2,0)</f>
        <v>#N/A</v>
      </c>
      <c r="R38" s="9"/>
      <c r="S38" s="12" t="e">
        <f>VLOOKUP(O38, '[1]لیست محصولات اردیبهشت ۱۴۰۳'!B:F,5,0)</f>
        <v>#N/A</v>
      </c>
      <c r="T38" s="14" t="e">
        <f>VLOOKUP(O38, '[1]لیست محصولات اردیبهشت ۱۴۰۳'!B:G,6,0)</f>
        <v>#N/A</v>
      </c>
      <c r="U38" s="15"/>
      <c r="V38" s="16">
        <f t="shared" si="8"/>
        <v>0</v>
      </c>
      <c r="W38" s="12">
        <f t="shared" si="9"/>
        <v>0</v>
      </c>
      <c r="X38" s="14" t="e">
        <f t="shared" si="10"/>
        <v>#N/A</v>
      </c>
      <c r="Y38" s="17"/>
      <c r="Z38" s="14" t="e">
        <f t="shared" si="11"/>
        <v>#N/A</v>
      </c>
      <c r="AA38" s="18"/>
      <c r="AB38" s="13"/>
      <c r="AC38" s="19"/>
      <c r="AD38" s="20"/>
      <c r="AE38" s="19"/>
      <c r="AF38" s="21"/>
      <c r="AG38" s="22" t="str">
        <f t="shared" si="5"/>
        <v>FALSE</v>
      </c>
      <c r="AH38" s="23" t="str">
        <f t="shared" si="6"/>
        <v xml:space="preserve">   -   </v>
      </c>
    </row>
    <row r="39" spans="1:34" ht="22.35" customHeight="1">
      <c r="A39" s="7"/>
      <c r="B39" s="7"/>
      <c r="C39" s="7"/>
      <c r="D39" s="7"/>
      <c r="E39" s="7"/>
      <c r="F39" s="8"/>
      <c r="G39" s="9"/>
      <c r="H39" s="10"/>
      <c r="I39" s="9"/>
      <c r="J39" s="9"/>
      <c r="K39" s="11" t="str">
        <f t="shared" ca="1" si="7"/>
        <v/>
      </c>
      <c r="L39" s="12"/>
      <c r="M39" s="12"/>
      <c r="N39" s="12"/>
      <c r="O39" s="9"/>
      <c r="P39" s="9"/>
      <c r="Q39" s="13" t="e">
        <f>VLOOKUP(O39, '[1]لیست محصولات اردیبهشت ۱۴۰۳'!B:C,2,0)</f>
        <v>#N/A</v>
      </c>
      <c r="R39" s="9"/>
      <c r="S39" s="12" t="e">
        <f>VLOOKUP(O39, '[1]لیست محصولات اردیبهشت ۱۴۰۳'!B:F,5,0)</f>
        <v>#N/A</v>
      </c>
      <c r="T39" s="14" t="e">
        <f>VLOOKUP(O39, '[1]لیست محصولات اردیبهشت ۱۴۰۳'!B:G,6,0)</f>
        <v>#N/A</v>
      </c>
      <c r="U39" s="15"/>
      <c r="V39" s="16">
        <f t="shared" si="8"/>
        <v>0</v>
      </c>
      <c r="W39" s="12">
        <f t="shared" si="9"/>
        <v>0</v>
      </c>
      <c r="X39" s="14" t="e">
        <f t="shared" si="10"/>
        <v>#N/A</v>
      </c>
      <c r="Y39" s="17"/>
      <c r="Z39" s="14" t="e">
        <f t="shared" si="11"/>
        <v>#N/A</v>
      </c>
      <c r="AA39" s="18"/>
      <c r="AB39" s="13"/>
      <c r="AC39" s="19"/>
      <c r="AD39" s="20"/>
      <c r="AE39" s="19"/>
      <c r="AF39" s="21"/>
      <c r="AG39" s="22" t="str">
        <f t="shared" si="5"/>
        <v>FALSE</v>
      </c>
      <c r="AH39" s="23" t="str">
        <f t="shared" si="6"/>
        <v xml:space="preserve">   -   </v>
      </c>
    </row>
    <row r="40" spans="1:34" ht="22.35" customHeight="1">
      <c r="A40" s="7"/>
      <c r="B40" s="7"/>
      <c r="C40" s="7"/>
      <c r="D40" s="7"/>
      <c r="E40" s="7"/>
      <c r="F40" s="8"/>
      <c r="G40" s="9"/>
      <c r="H40" s="10"/>
      <c r="I40" s="9"/>
      <c r="J40" s="9"/>
      <c r="K40" s="11" t="str">
        <f t="shared" ca="1" si="7"/>
        <v/>
      </c>
      <c r="L40" s="12"/>
      <c r="M40" s="12"/>
      <c r="N40" s="12"/>
      <c r="O40" s="9"/>
      <c r="P40" s="9"/>
      <c r="Q40" s="13" t="e">
        <f>VLOOKUP(O40, '[1]لیست محصولات اردیبهشت ۱۴۰۳'!B:C,2,0)</f>
        <v>#N/A</v>
      </c>
      <c r="R40" s="9"/>
      <c r="S40" s="12" t="e">
        <f>VLOOKUP(O40, '[1]لیست محصولات اردیبهشت ۱۴۰۳'!B:F,5,0)</f>
        <v>#N/A</v>
      </c>
      <c r="T40" s="14" t="e">
        <f>VLOOKUP(O40, '[1]لیست محصولات اردیبهشت ۱۴۰۳'!B:G,6,0)</f>
        <v>#N/A</v>
      </c>
      <c r="U40" s="15"/>
      <c r="V40" s="16">
        <f t="shared" si="8"/>
        <v>0</v>
      </c>
      <c r="W40" s="12">
        <f t="shared" si="9"/>
        <v>0</v>
      </c>
      <c r="X40" s="14" t="e">
        <f t="shared" si="10"/>
        <v>#N/A</v>
      </c>
      <c r="Y40" s="17"/>
      <c r="Z40" s="14" t="e">
        <f t="shared" si="11"/>
        <v>#N/A</v>
      </c>
      <c r="AA40" s="18"/>
      <c r="AB40" s="13"/>
      <c r="AC40" s="19"/>
      <c r="AD40" s="20"/>
      <c r="AE40" s="19"/>
      <c r="AF40" s="21"/>
      <c r="AG40" s="22" t="str">
        <f t="shared" si="5"/>
        <v>FALSE</v>
      </c>
      <c r="AH40" s="23" t="str">
        <f t="shared" si="6"/>
        <v xml:space="preserve">   -   </v>
      </c>
    </row>
    <row r="41" spans="1:34" ht="22.35" customHeight="1">
      <c r="A41" s="7"/>
      <c r="B41" s="7"/>
      <c r="C41" s="7"/>
      <c r="D41" s="7"/>
      <c r="E41" s="7"/>
      <c r="F41" s="8"/>
      <c r="G41" s="9"/>
      <c r="H41" s="10"/>
      <c r="I41" s="9"/>
      <c r="J41" s="9"/>
      <c r="K41" s="11" t="str">
        <f t="shared" ca="1" si="7"/>
        <v/>
      </c>
      <c r="L41" s="12"/>
      <c r="M41" s="12"/>
      <c r="N41" s="12"/>
      <c r="O41" s="9"/>
      <c r="P41" s="9"/>
      <c r="Q41" s="13" t="e">
        <f>VLOOKUP(O41, '[1]لیست محصولات اردیبهشت ۱۴۰۳'!B:C,2,0)</f>
        <v>#N/A</v>
      </c>
      <c r="R41" s="9"/>
      <c r="S41" s="12" t="e">
        <f>VLOOKUP(O41, '[1]لیست محصولات اردیبهشت ۱۴۰۳'!B:F,5,0)</f>
        <v>#N/A</v>
      </c>
      <c r="T41" s="14" t="e">
        <f>VLOOKUP(O41, '[1]لیست محصولات اردیبهشت ۱۴۰۳'!B:G,6,0)</f>
        <v>#N/A</v>
      </c>
      <c r="U41" s="15"/>
      <c r="V41" s="16">
        <f t="shared" si="8"/>
        <v>0</v>
      </c>
      <c r="W41" s="12">
        <f t="shared" si="9"/>
        <v>0</v>
      </c>
      <c r="X41" s="14" t="e">
        <f t="shared" si="10"/>
        <v>#N/A</v>
      </c>
      <c r="Y41" s="17"/>
      <c r="Z41" s="14" t="e">
        <f t="shared" si="11"/>
        <v>#N/A</v>
      </c>
      <c r="AA41" s="18"/>
      <c r="AB41" s="13"/>
      <c r="AC41" s="19"/>
      <c r="AD41" s="20"/>
      <c r="AE41" s="19"/>
      <c r="AF41" s="21"/>
      <c r="AG41" s="22" t="str">
        <f t="shared" si="5"/>
        <v>FALSE</v>
      </c>
      <c r="AH41" s="23" t="str">
        <f t="shared" si="6"/>
        <v xml:space="preserve">   -   </v>
      </c>
    </row>
    <row r="42" spans="1:34" ht="22.35" customHeight="1">
      <c r="A42" s="7"/>
      <c r="B42" s="7"/>
      <c r="C42" s="7"/>
      <c r="D42" s="7"/>
      <c r="E42" s="7"/>
      <c r="F42" s="8"/>
      <c r="G42" s="9"/>
      <c r="H42" s="10"/>
      <c r="I42" s="9"/>
      <c r="J42" s="9"/>
      <c r="K42" s="11" t="str">
        <f t="shared" ca="1" si="7"/>
        <v/>
      </c>
      <c r="L42" s="12"/>
      <c r="M42" s="12"/>
      <c r="N42" s="12"/>
      <c r="O42" s="9"/>
      <c r="P42" s="9"/>
      <c r="Q42" s="13" t="e">
        <f>VLOOKUP(O42, '[1]لیست محصولات اردیبهشت ۱۴۰۳'!B:C,2,0)</f>
        <v>#N/A</v>
      </c>
      <c r="R42" s="9"/>
      <c r="S42" s="12" t="e">
        <f>VLOOKUP(O42, '[1]لیست محصولات اردیبهشت ۱۴۰۳'!B:F,5,0)</f>
        <v>#N/A</v>
      </c>
      <c r="T42" s="14" t="e">
        <f>VLOOKUP(O42, '[1]لیست محصولات اردیبهشت ۱۴۰۳'!B:G,6,0)</f>
        <v>#N/A</v>
      </c>
      <c r="U42" s="15"/>
      <c r="V42" s="16">
        <f t="shared" si="8"/>
        <v>0</v>
      </c>
      <c r="W42" s="12">
        <f t="shared" si="9"/>
        <v>0</v>
      </c>
      <c r="X42" s="14" t="e">
        <f t="shared" si="10"/>
        <v>#N/A</v>
      </c>
      <c r="Y42" s="17"/>
      <c r="Z42" s="14" t="e">
        <f t="shared" si="11"/>
        <v>#N/A</v>
      </c>
      <c r="AA42" s="18"/>
      <c r="AB42" s="13"/>
      <c r="AC42" s="19"/>
      <c r="AD42" s="20"/>
      <c r="AE42" s="19"/>
      <c r="AF42" s="21"/>
      <c r="AG42" s="22" t="str">
        <f t="shared" si="5"/>
        <v>FALSE</v>
      </c>
      <c r="AH42" s="23" t="str">
        <f t="shared" si="6"/>
        <v xml:space="preserve">   -   </v>
      </c>
    </row>
    <row r="43" spans="1:34" ht="22.35" customHeight="1">
      <c r="A43" s="7"/>
      <c r="B43" s="7"/>
      <c r="C43" s="7"/>
      <c r="D43" s="7"/>
      <c r="E43" s="7"/>
      <c r="F43" s="8"/>
      <c r="G43" s="9"/>
      <c r="H43" s="10"/>
      <c r="I43" s="9"/>
      <c r="J43" s="9"/>
      <c r="K43" s="11" t="str">
        <f t="shared" ca="1" si="7"/>
        <v/>
      </c>
      <c r="L43" s="12"/>
      <c r="M43" s="12"/>
      <c r="N43" s="12"/>
      <c r="O43" s="9"/>
      <c r="P43" s="9"/>
      <c r="Q43" s="13" t="e">
        <f>VLOOKUP(O43, '[1]لیست محصولات اردیبهشت ۱۴۰۳'!B:C,2,0)</f>
        <v>#N/A</v>
      </c>
      <c r="R43" s="9"/>
      <c r="S43" s="12" t="e">
        <f>VLOOKUP(O43, '[1]لیست محصولات اردیبهشت ۱۴۰۳'!B:F,5,0)</f>
        <v>#N/A</v>
      </c>
      <c r="T43" s="14" t="e">
        <f>VLOOKUP(O43, '[1]لیست محصولات اردیبهشت ۱۴۰۳'!B:G,6,0)</f>
        <v>#N/A</v>
      </c>
      <c r="U43" s="15"/>
      <c r="V43" s="16">
        <f t="shared" si="8"/>
        <v>0</v>
      </c>
      <c r="W43" s="12">
        <f t="shared" si="9"/>
        <v>0</v>
      </c>
      <c r="X43" s="14" t="e">
        <f t="shared" si="10"/>
        <v>#N/A</v>
      </c>
      <c r="Y43" s="17"/>
      <c r="Z43" s="14" t="e">
        <f t="shared" si="11"/>
        <v>#N/A</v>
      </c>
      <c r="AA43" s="18"/>
      <c r="AB43" s="13"/>
      <c r="AC43" s="19"/>
      <c r="AD43" s="20"/>
      <c r="AE43" s="19"/>
      <c r="AF43" s="21"/>
      <c r="AG43" s="22" t="str">
        <f t="shared" si="5"/>
        <v>FALSE</v>
      </c>
      <c r="AH43" s="23" t="str">
        <f t="shared" si="6"/>
        <v xml:space="preserve">   -   </v>
      </c>
    </row>
    <row r="44" spans="1:34" ht="22.35" customHeight="1">
      <c r="A44" s="7"/>
      <c r="B44" s="7"/>
      <c r="C44" s="7"/>
      <c r="D44" s="7"/>
      <c r="E44" s="7"/>
      <c r="F44" s="8"/>
      <c r="G44" s="9"/>
      <c r="H44" s="10"/>
      <c r="I44" s="9"/>
      <c r="J44" s="9"/>
      <c r="K44" s="11" t="str">
        <f t="shared" ca="1" si="7"/>
        <v/>
      </c>
      <c r="L44" s="12"/>
      <c r="M44" s="12"/>
      <c r="N44" s="12"/>
      <c r="O44" s="9"/>
      <c r="P44" s="9"/>
      <c r="Q44" s="13" t="e">
        <f>VLOOKUP(O44, '[1]لیست محصولات اردیبهشت ۱۴۰۳'!B:C,2,0)</f>
        <v>#N/A</v>
      </c>
      <c r="R44" s="9"/>
      <c r="S44" s="12" t="e">
        <f>VLOOKUP(O44, '[1]لیست محصولات اردیبهشت ۱۴۰۳'!B:F,5,0)</f>
        <v>#N/A</v>
      </c>
      <c r="T44" s="14" t="e">
        <f>VLOOKUP(O44, '[1]لیست محصولات اردیبهشت ۱۴۰۳'!B:G,6,0)</f>
        <v>#N/A</v>
      </c>
      <c r="U44" s="15"/>
      <c r="V44" s="16">
        <f t="shared" si="8"/>
        <v>0</v>
      </c>
      <c r="W44" s="12">
        <f t="shared" si="9"/>
        <v>0</v>
      </c>
      <c r="X44" s="14" t="e">
        <f t="shared" si="10"/>
        <v>#N/A</v>
      </c>
      <c r="Y44" s="17"/>
      <c r="Z44" s="14" t="e">
        <f t="shared" si="11"/>
        <v>#N/A</v>
      </c>
      <c r="AA44" s="18"/>
      <c r="AB44" s="13"/>
      <c r="AC44" s="19"/>
      <c r="AD44" s="20"/>
      <c r="AE44" s="19"/>
      <c r="AF44" s="21"/>
      <c r="AG44" s="22" t="str">
        <f t="shared" si="5"/>
        <v>FALSE</v>
      </c>
      <c r="AH44" s="23" t="str">
        <f t="shared" si="6"/>
        <v xml:space="preserve">   -   </v>
      </c>
    </row>
    <row r="45" spans="1:34" ht="22.35" customHeight="1">
      <c r="A45" s="7"/>
      <c r="B45" s="7"/>
      <c r="C45" s="7"/>
      <c r="D45" s="7"/>
      <c r="E45" s="7"/>
      <c r="F45" s="8"/>
      <c r="G45" s="9"/>
      <c r="H45" s="10"/>
      <c r="I45" s="9"/>
      <c r="J45" s="9"/>
      <c r="K45" s="11" t="str">
        <f t="shared" ca="1" si="7"/>
        <v/>
      </c>
      <c r="L45" s="12"/>
      <c r="M45" s="12"/>
      <c r="N45" s="12"/>
      <c r="O45" s="9"/>
      <c r="P45" s="9"/>
      <c r="Q45" s="13" t="e">
        <f>VLOOKUP(O45, '[1]لیست محصولات اردیبهشت ۱۴۰۳'!B:C,2,0)</f>
        <v>#N/A</v>
      </c>
      <c r="R45" s="9"/>
      <c r="S45" s="12" t="e">
        <f>VLOOKUP(O45, '[1]لیست محصولات اردیبهشت ۱۴۰۳'!B:F,5,0)</f>
        <v>#N/A</v>
      </c>
      <c r="T45" s="14" t="e">
        <f>VLOOKUP(O45, '[1]لیست محصولات اردیبهشت ۱۴۰۳'!B:G,6,0)</f>
        <v>#N/A</v>
      </c>
      <c r="U45" s="26"/>
      <c r="V45" s="16">
        <f t="shared" si="8"/>
        <v>0</v>
      </c>
      <c r="W45" s="12">
        <f t="shared" si="9"/>
        <v>0</v>
      </c>
      <c r="X45" s="14" t="e">
        <f t="shared" si="10"/>
        <v>#N/A</v>
      </c>
      <c r="Y45" s="17"/>
      <c r="Z45" s="14" t="e">
        <f t="shared" si="11"/>
        <v>#N/A</v>
      </c>
      <c r="AA45" s="18"/>
      <c r="AB45" s="13"/>
      <c r="AC45" s="19"/>
      <c r="AD45" s="20"/>
      <c r="AE45" s="19"/>
      <c r="AF45" s="21"/>
      <c r="AG45" s="22" t="str">
        <f t="shared" si="5"/>
        <v>FALSE</v>
      </c>
      <c r="AH45" s="23" t="str">
        <f t="shared" si="6"/>
        <v xml:space="preserve">   -   </v>
      </c>
    </row>
    <row r="46" spans="1:34" ht="22.35" customHeight="1">
      <c r="A46" s="7"/>
      <c r="B46" s="7"/>
      <c r="C46" s="7"/>
      <c r="D46" s="7"/>
      <c r="E46" s="7"/>
      <c r="F46" s="8"/>
      <c r="G46" s="9"/>
      <c r="H46" s="10"/>
      <c r="I46" s="9"/>
      <c r="J46" s="9"/>
      <c r="K46" s="11" t="str">
        <f t="shared" ca="1" si="7"/>
        <v/>
      </c>
      <c r="L46" s="12"/>
      <c r="M46" s="12"/>
      <c r="N46" s="12"/>
      <c r="O46" s="9"/>
      <c r="P46" s="9"/>
      <c r="Q46" s="13" t="e">
        <f>VLOOKUP(O46, '[1]لیست محصولات اردیبهشت ۱۴۰۳'!B:C,2,0)</f>
        <v>#N/A</v>
      </c>
      <c r="R46" s="9"/>
      <c r="S46" s="12" t="e">
        <f>VLOOKUP(O46, '[1]لیست محصولات اردیبهشت ۱۴۰۳'!B:F,5,0)</f>
        <v>#N/A</v>
      </c>
      <c r="T46" s="14" t="e">
        <f>VLOOKUP(O46, '[1]لیست محصولات اردیبهشت ۱۴۰۳'!B:G,6,0)</f>
        <v>#N/A</v>
      </c>
      <c r="U46" s="26"/>
      <c r="V46" s="16">
        <f t="shared" si="8"/>
        <v>0</v>
      </c>
      <c r="W46" s="12">
        <f t="shared" si="9"/>
        <v>0</v>
      </c>
      <c r="X46" s="14" t="e">
        <f t="shared" si="10"/>
        <v>#N/A</v>
      </c>
      <c r="Y46" s="17"/>
      <c r="Z46" s="14" t="e">
        <f t="shared" si="11"/>
        <v>#N/A</v>
      </c>
      <c r="AA46" s="18"/>
      <c r="AB46" s="13"/>
      <c r="AC46" s="19"/>
      <c r="AD46" s="20"/>
      <c r="AE46" s="19"/>
      <c r="AF46" s="21"/>
      <c r="AG46" s="22" t="str">
        <f t="shared" si="5"/>
        <v>FALSE</v>
      </c>
      <c r="AH46" s="23" t="str">
        <f t="shared" si="6"/>
        <v xml:space="preserve">   -   </v>
      </c>
    </row>
    <row r="47" spans="1:34" ht="22.35" customHeight="1">
      <c r="A47" s="7"/>
      <c r="B47" s="7"/>
      <c r="C47" s="7"/>
      <c r="D47" s="7"/>
      <c r="E47" s="7"/>
      <c r="F47" s="8"/>
      <c r="G47" s="9"/>
      <c r="H47" s="10"/>
      <c r="I47" s="9"/>
      <c r="J47" s="9"/>
      <c r="K47" s="11" t="str">
        <f t="shared" ca="1" si="7"/>
        <v/>
      </c>
      <c r="L47" s="12"/>
      <c r="M47" s="12"/>
      <c r="N47" s="12"/>
      <c r="O47" s="9"/>
      <c r="P47" s="9"/>
      <c r="Q47" s="13" t="e">
        <f>VLOOKUP(O47, '[1]لیست محصولات اردیبهشت ۱۴۰۳'!B:C,2,0)</f>
        <v>#N/A</v>
      </c>
      <c r="R47" s="9"/>
      <c r="S47" s="12" t="e">
        <f>VLOOKUP(O47, '[1]لیست محصولات اردیبهشت ۱۴۰۳'!B:F,5,0)</f>
        <v>#N/A</v>
      </c>
      <c r="T47" s="14" t="e">
        <f>VLOOKUP(O47, '[1]لیست محصولات اردیبهشت ۱۴۰۳'!B:G,6,0)</f>
        <v>#N/A</v>
      </c>
      <c r="U47" s="15"/>
      <c r="V47" s="16">
        <f t="shared" si="8"/>
        <v>0</v>
      </c>
      <c r="W47" s="12">
        <f t="shared" si="9"/>
        <v>0</v>
      </c>
      <c r="X47" s="14" t="e">
        <f t="shared" si="10"/>
        <v>#N/A</v>
      </c>
      <c r="Y47" s="17"/>
      <c r="Z47" s="14" t="e">
        <f t="shared" si="11"/>
        <v>#N/A</v>
      </c>
      <c r="AA47" s="18"/>
      <c r="AB47" s="13"/>
      <c r="AC47" s="19"/>
      <c r="AD47" s="20"/>
      <c r="AE47" s="19"/>
      <c r="AF47" s="21"/>
      <c r="AG47" s="22" t="str">
        <f t="shared" si="5"/>
        <v>FALSE</v>
      </c>
      <c r="AH47" s="23" t="str">
        <f t="shared" si="6"/>
        <v xml:space="preserve">   -   </v>
      </c>
    </row>
    <row r="48" spans="1:34" ht="22.35" customHeight="1">
      <c r="A48" s="7" t="b">
        <v>0</v>
      </c>
      <c r="B48" s="7"/>
      <c r="C48" s="7"/>
      <c r="D48" s="7"/>
      <c r="E48" s="7"/>
      <c r="F48" s="8"/>
      <c r="G48" s="9"/>
      <c r="H48" s="10"/>
      <c r="I48" s="9"/>
      <c r="J48" s="9"/>
      <c r="K48" s="11" t="str">
        <f t="shared" ca="1" si="7"/>
        <v/>
      </c>
      <c r="L48" s="12"/>
      <c r="M48" s="12"/>
      <c r="N48" s="12"/>
      <c r="O48" s="9"/>
      <c r="P48" s="9"/>
      <c r="Q48" s="13" t="e">
        <f>VLOOKUP(O48, '[1]لیست محصولات اردیبهشت ۱۴۰۳'!B:C,2,0)</f>
        <v>#N/A</v>
      </c>
      <c r="R48" s="9"/>
      <c r="S48" s="12" t="e">
        <f>VLOOKUP(O48, '[1]لیست محصولات اردیبهشت ۱۴۰۳'!B:F,5,0)</f>
        <v>#N/A</v>
      </c>
      <c r="T48" s="14" t="e">
        <f>VLOOKUP(O48, '[1]لیست محصولات اردیبهشت ۱۴۰۳'!B:G,6,0)</f>
        <v>#N/A</v>
      </c>
      <c r="U48" s="15"/>
      <c r="V48" s="16">
        <f t="shared" si="8"/>
        <v>0</v>
      </c>
      <c r="W48" s="12">
        <f t="shared" si="9"/>
        <v>0</v>
      </c>
      <c r="X48" s="14" t="e">
        <f t="shared" si="10"/>
        <v>#N/A</v>
      </c>
      <c r="Y48" s="17"/>
      <c r="Z48" s="14" t="e">
        <f t="shared" si="11"/>
        <v>#N/A</v>
      </c>
      <c r="AA48" s="18"/>
      <c r="AB48" s="13"/>
      <c r="AC48" s="19"/>
      <c r="AD48" s="20"/>
      <c r="AE48" s="19"/>
      <c r="AF48" s="21"/>
      <c r="AG48" s="22" t="str">
        <f t="shared" si="5"/>
        <v>FALSE</v>
      </c>
      <c r="AH48" s="23" t="str">
        <f t="shared" si="6"/>
        <v xml:space="preserve">   -   </v>
      </c>
    </row>
    <row r="49" spans="1:34" ht="22.35" customHeight="1">
      <c r="A49" s="7"/>
      <c r="B49" s="7"/>
      <c r="C49" s="7"/>
      <c r="D49" s="7"/>
      <c r="E49" s="7" t="b">
        <v>0</v>
      </c>
      <c r="F49" s="8"/>
      <c r="G49" s="9"/>
      <c r="H49" s="10"/>
      <c r="I49" s="9"/>
      <c r="J49" s="9"/>
      <c r="K49" s="11" t="str">
        <f t="shared" ca="1" si="7"/>
        <v/>
      </c>
      <c r="L49" s="12"/>
      <c r="M49" s="12"/>
      <c r="N49" s="12"/>
      <c r="O49" s="9"/>
      <c r="P49" s="9"/>
      <c r="Q49" s="13" t="e">
        <f>VLOOKUP(O49, '[1]لیست محصولات اردیبهشت ۱۴۰۳'!B:C,2,0)</f>
        <v>#N/A</v>
      </c>
      <c r="R49" s="9"/>
      <c r="S49" s="12" t="e">
        <f>VLOOKUP(O49, '[1]لیست محصولات اردیبهشت ۱۴۰۳'!B:F,5,0)</f>
        <v>#N/A</v>
      </c>
      <c r="T49" s="14" t="e">
        <f>VLOOKUP(O49, '[1]لیست محصولات اردیبهشت ۱۴۰۳'!B:G,6,0)</f>
        <v>#N/A</v>
      </c>
      <c r="U49" s="15"/>
      <c r="V49" s="16">
        <f t="shared" si="8"/>
        <v>0</v>
      </c>
      <c r="W49" s="12">
        <f t="shared" si="9"/>
        <v>0</v>
      </c>
      <c r="X49" s="14" t="e">
        <f t="shared" si="10"/>
        <v>#N/A</v>
      </c>
      <c r="Y49" s="17"/>
      <c r="Z49" s="14" t="e">
        <f t="shared" si="11"/>
        <v>#N/A</v>
      </c>
      <c r="AA49" s="18"/>
      <c r="AB49" s="13"/>
      <c r="AC49" s="19"/>
      <c r="AD49" s="20"/>
      <c r="AE49" s="19"/>
      <c r="AF49" s="21"/>
      <c r="AG49" s="22" t="str">
        <f t="shared" si="5"/>
        <v>FALSE</v>
      </c>
      <c r="AH49" s="23" t="str">
        <f t="shared" si="6"/>
        <v xml:space="preserve">   -   </v>
      </c>
    </row>
    <row r="50" spans="1:34" ht="22.35" customHeight="1">
      <c r="A50" s="7"/>
      <c r="B50" s="7"/>
      <c r="C50" s="7" t="b">
        <v>0</v>
      </c>
      <c r="D50" s="7"/>
      <c r="E50" s="7"/>
      <c r="F50" s="8"/>
      <c r="G50" s="9"/>
      <c r="H50" s="10"/>
      <c r="I50" s="9"/>
      <c r="J50" s="9"/>
      <c r="K50" s="11" t="str">
        <f t="shared" ca="1" si="7"/>
        <v/>
      </c>
      <c r="L50" s="12"/>
      <c r="M50" s="12"/>
      <c r="N50" s="12"/>
      <c r="O50" s="9"/>
      <c r="P50" s="9"/>
      <c r="Q50" s="13" t="e">
        <f>VLOOKUP(O50, '[1]لیست محصولات اردیبهشت ۱۴۰۳'!B:C,2,0)</f>
        <v>#N/A</v>
      </c>
      <c r="R50" s="9"/>
      <c r="S50" s="12" t="e">
        <f>VLOOKUP(O50, '[1]لیست محصولات اردیبهشت ۱۴۰۳'!B:F,5,0)</f>
        <v>#N/A</v>
      </c>
      <c r="T50" s="14" t="e">
        <f>VLOOKUP(O50, '[1]لیست محصولات اردیبهشت ۱۴۰۳'!B:G,6,0)</f>
        <v>#N/A</v>
      </c>
      <c r="U50" s="26"/>
      <c r="V50" s="16">
        <f t="shared" si="8"/>
        <v>0</v>
      </c>
      <c r="W50" s="12">
        <f t="shared" si="9"/>
        <v>0</v>
      </c>
      <c r="X50" s="14" t="e">
        <f t="shared" si="10"/>
        <v>#N/A</v>
      </c>
      <c r="Y50" s="17"/>
      <c r="Z50" s="14" t="e">
        <f t="shared" si="11"/>
        <v>#N/A</v>
      </c>
      <c r="AA50" s="18"/>
      <c r="AB50" s="13"/>
      <c r="AC50" s="19"/>
      <c r="AD50" s="20"/>
      <c r="AE50" s="19"/>
      <c r="AF50" s="21"/>
      <c r="AG50" s="22" t="str">
        <f t="shared" si="5"/>
        <v>FALSE</v>
      </c>
      <c r="AH50" s="23" t="str">
        <f t="shared" si="6"/>
        <v xml:space="preserve">   -   </v>
      </c>
    </row>
    <row r="51" spans="1:34" ht="22.35" customHeight="1">
      <c r="A51" s="7" t="b">
        <v>0</v>
      </c>
      <c r="B51" s="7"/>
      <c r="C51" s="7" t="b">
        <v>0</v>
      </c>
      <c r="D51" s="7"/>
      <c r="E51" s="7" t="b">
        <v>0</v>
      </c>
      <c r="F51" s="8"/>
      <c r="G51" s="9"/>
      <c r="H51" s="10"/>
      <c r="I51" s="9"/>
      <c r="J51" s="9"/>
      <c r="K51" s="11" t="str">
        <f t="shared" ca="1" si="7"/>
        <v/>
      </c>
      <c r="L51" s="12"/>
      <c r="M51" s="12"/>
      <c r="N51" s="12"/>
      <c r="O51" s="9"/>
      <c r="P51" s="9"/>
      <c r="Q51" s="13" t="e">
        <f>VLOOKUP(O51, '[1]لیست محصولات اردیبهشت ۱۴۰۳'!B:C,2,0)</f>
        <v>#N/A</v>
      </c>
      <c r="R51" s="9"/>
      <c r="S51" s="12" t="e">
        <f>VLOOKUP(O51, '[1]لیست محصولات اردیبهشت ۱۴۰۳'!B:F,5,0)</f>
        <v>#N/A</v>
      </c>
      <c r="T51" s="14" t="e">
        <f>VLOOKUP(O51, '[1]لیست محصولات اردیبهشت ۱۴۰۳'!B:G,6,0)</f>
        <v>#N/A</v>
      </c>
      <c r="U51" s="15"/>
      <c r="V51" s="16">
        <f t="shared" si="8"/>
        <v>0</v>
      </c>
      <c r="W51" s="12">
        <f t="shared" si="9"/>
        <v>0</v>
      </c>
      <c r="X51" s="14" t="e">
        <f t="shared" si="10"/>
        <v>#N/A</v>
      </c>
      <c r="Y51" s="17"/>
      <c r="Z51" s="14" t="e">
        <f t="shared" si="11"/>
        <v>#N/A</v>
      </c>
      <c r="AA51" s="18"/>
      <c r="AB51" s="13"/>
      <c r="AC51" s="19"/>
      <c r="AD51" s="20"/>
      <c r="AE51" s="19"/>
      <c r="AF51" s="21"/>
      <c r="AG51" s="22" t="str">
        <f t="shared" si="5"/>
        <v>FALSE</v>
      </c>
      <c r="AH51" s="23" t="str">
        <f t="shared" si="6"/>
        <v xml:space="preserve">   -   </v>
      </c>
    </row>
    <row r="52" spans="1:34" ht="22.35" customHeight="1">
      <c r="A52" s="7"/>
      <c r="B52" s="7"/>
      <c r="C52" s="7"/>
      <c r="D52" s="7"/>
      <c r="E52" s="7"/>
      <c r="F52" s="8"/>
      <c r="G52" s="9"/>
      <c r="H52" s="10"/>
      <c r="I52" s="9"/>
      <c r="J52" s="9"/>
      <c r="K52" s="11" t="str">
        <f t="shared" ca="1" si="7"/>
        <v/>
      </c>
      <c r="L52" s="12"/>
      <c r="M52" s="12"/>
      <c r="N52" s="12"/>
      <c r="O52" s="9"/>
      <c r="P52" s="9"/>
      <c r="Q52" s="13" t="e">
        <f>VLOOKUP(O52, '[1]لیست محصولات اردیبهشت ۱۴۰۳'!B:C,2,0)</f>
        <v>#N/A</v>
      </c>
      <c r="R52" s="9"/>
      <c r="S52" s="12" t="e">
        <f>VLOOKUP(O52, '[1]لیست محصولات اردیبهشت ۱۴۰۳'!B:F,5,0)</f>
        <v>#N/A</v>
      </c>
      <c r="T52" s="14" t="e">
        <f>VLOOKUP(O52, '[1]لیست محصولات اردیبهشت ۱۴۰۳'!B:G,6,0)</f>
        <v>#N/A</v>
      </c>
      <c r="U52" s="15"/>
      <c r="V52" s="16">
        <f t="shared" si="8"/>
        <v>0</v>
      </c>
      <c r="W52" s="12">
        <f t="shared" si="9"/>
        <v>0</v>
      </c>
      <c r="X52" s="14" t="e">
        <f t="shared" si="10"/>
        <v>#N/A</v>
      </c>
      <c r="Y52" s="17"/>
      <c r="Z52" s="14" t="e">
        <f t="shared" si="11"/>
        <v>#N/A</v>
      </c>
      <c r="AA52" s="18"/>
      <c r="AB52" s="13"/>
      <c r="AC52" s="19"/>
      <c r="AD52" s="20"/>
      <c r="AE52" s="19"/>
      <c r="AF52" s="21"/>
      <c r="AG52" s="22" t="str">
        <f t="shared" si="5"/>
        <v>FALSE</v>
      </c>
      <c r="AH52" s="23" t="str">
        <f t="shared" si="6"/>
        <v xml:space="preserve">   -   </v>
      </c>
    </row>
    <row r="53" spans="1:34" ht="22.35" customHeight="1">
      <c r="A53" s="7"/>
      <c r="B53" s="7"/>
      <c r="C53" s="7"/>
      <c r="D53" s="7"/>
      <c r="E53" s="7"/>
      <c r="F53" s="8"/>
      <c r="G53" s="9"/>
      <c r="H53" s="10"/>
      <c r="I53" s="9"/>
      <c r="J53" s="9"/>
      <c r="K53" s="11" t="str">
        <f t="shared" ca="1" si="7"/>
        <v/>
      </c>
      <c r="L53" s="12"/>
      <c r="M53" s="12"/>
      <c r="N53" s="12"/>
      <c r="O53" s="9"/>
      <c r="P53" s="9"/>
      <c r="Q53" s="13" t="e">
        <f>VLOOKUP(O53, '[1]لیست محصولات اردیبهشت ۱۴۰۳'!B:C,2,0)</f>
        <v>#N/A</v>
      </c>
      <c r="R53" s="9"/>
      <c r="S53" s="12" t="e">
        <f>VLOOKUP(O53, '[1]لیست محصولات اردیبهشت ۱۴۰۳'!B:F,5,0)</f>
        <v>#N/A</v>
      </c>
      <c r="T53" s="14" t="e">
        <f>VLOOKUP(O53, '[1]لیست محصولات اردیبهشت ۱۴۰۳'!B:G,6,0)</f>
        <v>#N/A</v>
      </c>
      <c r="U53" s="15"/>
      <c r="V53" s="16">
        <f t="shared" si="8"/>
        <v>0</v>
      </c>
      <c r="W53" s="12">
        <f t="shared" si="9"/>
        <v>0</v>
      </c>
      <c r="X53" s="14" t="e">
        <f t="shared" si="10"/>
        <v>#N/A</v>
      </c>
      <c r="Y53" s="17"/>
      <c r="Z53" s="14" t="e">
        <f t="shared" si="11"/>
        <v>#N/A</v>
      </c>
      <c r="AA53" s="18"/>
      <c r="AB53" s="13"/>
      <c r="AC53" s="19"/>
      <c r="AD53" s="20"/>
      <c r="AE53" s="19"/>
      <c r="AF53" s="21"/>
      <c r="AG53" s="22" t="str">
        <f t="shared" si="5"/>
        <v>FALSE</v>
      </c>
      <c r="AH53" s="23" t="str">
        <f t="shared" si="6"/>
        <v xml:space="preserve">   -   </v>
      </c>
    </row>
    <row r="54" spans="1:34" ht="22.35" customHeight="1">
      <c r="A54" s="7"/>
      <c r="B54" s="7"/>
      <c r="C54" s="7"/>
      <c r="D54" s="7"/>
      <c r="E54" s="7"/>
      <c r="F54" s="8"/>
      <c r="G54" s="9"/>
      <c r="H54" s="10"/>
      <c r="I54" s="9"/>
      <c r="J54" s="9"/>
      <c r="K54" s="11" t="str">
        <f t="shared" ca="1" si="7"/>
        <v/>
      </c>
      <c r="L54" s="12"/>
      <c r="M54" s="12"/>
      <c r="N54" s="12"/>
      <c r="O54" s="9"/>
      <c r="P54" s="9"/>
      <c r="Q54" s="13" t="e">
        <f>VLOOKUP(O54, '[1]لیست محصولات اردیبهشت ۱۴۰۳'!B:C,2,0)</f>
        <v>#N/A</v>
      </c>
      <c r="R54" s="9"/>
      <c r="S54" s="12" t="e">
        <f>VLOOKUP(O54, '[1]لیست محصولات اردیبهشت ۱۴۰۳'!B:F,5,0)</f>
        <v>#N/A</v>
      </c>
      <c r="T54" s="14" t="e">
        <f>VLOOKUP(O54, '[1]لیست محصولات اردیبهشت ۱۴۰۳'!B:G,6,0)</f>
        <v>#N/A</v>
      </c>
      <c r="U54" s="15"/>
      <c r="V54" s="16">
        <f t="shared" si="8"/>
        <v>0</v>
      </c>
      <c r="W54" s="12">
        <f t="shared" si="9"/>
        <v>0</v>
      </c>
      <c r="X54" s="14" t="e">
        <f t="shared" si="10"/>
        <v>#N/A</v>
      </c>
      <c r="Y54" s="17"/>
      <c r="Z54" s="14" t="e">
        <f t="shared" si="11"/>
        <v>#N/A</v>
      </c>
      <c r="AA54" s="18"/>
      <c r="AB54" s="13"/>
      <c r="AC54" s="19"/>
      <c r="AD54" s="20"/>
      <c r="AE54" s="19"/>
      <c r="AF54" s="21"/>
      <c r="AG54" s="22" t="str">
        <f t="shared" si="5"/>
        <v>FALSE</v>
      </c>
      <c r="AH54" s="23" t="str">
        <f t="shared" si="6"/>
        <v xml:space="preserve">   -   </v>
      </c>
    </row>
    <row r="55" spans="1:34" ht="22.35" customHeight="1">
      <c r="A55" s="7"/>
      <c r="B55" s="7"/>
      <c r="C55" s="7"/>
      <c r="D55" s="7"/>
      <c r="E55" s="7"/>
      <c r="F55" s="8"/>
      <c r="G55" s="9"/>
      <c r="H55" s="10"/>
      <c r="I55" s="9"/>
      <c r="J55" s="9"/>
      <c r="K55" s="11" t="str">
        <f t="shared" ca="1" si="7"/>
        <v/>
      </c>
      <c r="L55" s="12"/>
      <c r="M55" s="12"/>
      <c r="N55" s="12"/>
      <c r="O55" s="9"/>
      <c r="P55" s="9"/>
      <c r="Q55" s="13" t="e">
        <f>VLOOKUP(O55, '[1]لیست محصولات اردیبهشت ۱۴۰۳'!B:C,2,0)</f>
        <v>#N/A</v>
      </c>
      <c r="R55" s="9"/>
      <c r="S55" s="12" t="e">
        <f>VLOOKUP(O55, '[1]لیست محصولات اردیبهشت ۱۴۰۳'!B:F,5,0)</f>
        <v>#N/A</v>
      </c>
      <c r="T55" s="14" t="e">
        <f>VLOOKUP(O55, '[1]لیست محصولات اردیبهشت ۱۴۰۳'!B:G,6,0)</f>
        <v>#N/A</v>
      </c>
      <c r="U55" s="26"/>
      <c r="V55" s="16">
        <f t="shared" si="8"/>
        <v>0</v>
      </c>
      <c r="W55" s="12">
        <f t="shared" si="9"/>
        <v>0</v>
      </c>
      <c r="X55" s="14" t="e">
        <f t="shared" si="10"/>
        <v>#N/A</v>
      </c>
      <c r="Y55" s="17"/>
      <c r="Z55" s="14" t="e">
        <f t="shared" si="11"/>
        <v>#N/A</v>
      </c>
      <c r="AA55" s="18"/>
      <c r="AB55" s="13"/>
      <c r="AC55" s="19"/>
      <c r="AD55" s="20"/>
      <c r="AE55" s="19"/>
      <c r="AF55" s="21"/>
      <c r="AG55" s="22" t="str">
        <f t="shared" si="5"/>
        <v>FALSE</v>
      </c>
      <c r="AH55" s="23" t="str">
        <f t="shared" si="6"/>
        <v xml:space="preserve">   -   </v>
      </c>
    </row>
    <row r="56" spans="1:34" ht="22.35" customHeight="1">
      <c r="A56" s="7"/>
      <c r="B56" s="7"/>
      <c r="C56" s="7"/>
      <c r="D56" s="7"/>
      <c r="E56" s="7"/>
      <c r="F56" s="8"/>
      <c r="G56" s="9"/>
      <c r="H56" s="10"/>
      <c r="I56" s="9"/>
      <c r="J56" s="9"/>
      <c r="K56" s="11" t="str">
        <f t="shared" ca="1" si="7"/>
        <v/>
      </c>
      <c r="L56" s="12"/>
      <c r="M56" s="12"/>
      <c r="N56" s="12"/>
      <c r="O56" s="9"/>
      <c r="P56" s="9"/>
      <c r="Q56" s="13" t="e">
        <f>VLOOKUP(O56, '[1]لیست محصولات اردیبهشت ۱۴۰۳'!B:C,2,0)</f>
        <v>#N/A</v>
      </c>
      <c r="R56" s="9"/>
      <c r="S56" s="12" t="e">
        <f>VLOOKUP(O56, '[1]لیست محصولات اردیبهشت ۱۴۰۳'!B:F,5,0)</f>
        <v>#N/A</v>
      </c>
      <c r="T56" s="14" t="e">
        <f>VLOOKUP(O56, '[1]لیست محصولات اردیبهشت ۱۴۰۳'!B:G,6,0)</f>
        <v>#N/A</v>
      </c>
      <c r="U56" s="15"/>
      <c r="V56" s="16">
        <f t="shared" si="8"/>
        <v>0</v>
      </c>
      <c r="W56" s="12">
        <f t="shared" si="9"/>
        <v>0</v>
      </c>
      <c r="X56" s="14" t="e">
        <f t="shared" si="10"/>
        <v>#N/A</v>
      </c>
      <c r="Y56" s="17"/>
      <c r="Z56" s="14" t="e">
        <f t="shared" si="11"/>
        <v>#N/A</v>
      </c>
      <c r="AA56" s="18"/>
      <c r="AB56" s="13"/>
      <c r="AC56" s="19"/>
      <c r="AD56" s="20"/>
      <c r="AE56" s="19"/>
      <c r="AF56" s="21"/>
      <c r="AG56" s="22" t="str">
        <f t="shared" si="5"/>
        <v>FALSE</v>
      </c>
      <c r="AH56" s="23" t="str">
        <f t="shared" si="6"/>
        <v xml:space="preserve">   -   </v>
      </c>
    </row>
    <row r="57" spans="1:34" ht="22.35" customHeight="1">
      <c r="A57" s="7"/>
      <c r="B57" s="7"/>
      <c r="C57" s="7"/>
      <c r="D57" s="7"/>
      <c r="E57" s="7"/>
      <c r="F57" s="8"/>
      <c r="G57" s="9"/>
      <c r="H57" s="10"/>
      <c r="I57" s="9"/>
      <c r="J57" s="9"/>
      <c r="K57" s="11" t="str">
        <f t="shared" ca="1" si="7"/>
        <v/>
      </c>
      <c r="L57" s="12"/>
      <c r="M57" s="12"/>
      <c r="N57" s="12"/>
      <c r="O57" s="9"/>
      <c r="P57" s="9"/>
      <c r="Q57" s="13" t="e">
        <f>VLOOKUP(O57, '[1]لیست محصولات اردیبهشت ۱۴۰۳'!B:C,2,0)</f>
        <v>#N/A</v>
      </c>
      <c r="R57" s="9"/>
      <c r="S57" s="12" t="e">
        <f>VLOOKUP(O57, '[1]لیست محصولات اردیبهشت ۱۴۰۳'!B:F,5,0)</f>
        <v>#N/A</v>
      </c>
      <c r="T57" s="14" t="e">
        <f>VLOOKUP(O57, '[1]لیست محصولات اردیبهشت ۱۴۰۳'!B:G,6,0)</f>
        <v>#N/A</v>
      </c>
      <c r="U57" s="15"/>
      <c r="V57" s="16">
        <f t="shared" si="8"/>
        <v>0</v>
      </c>
      <c r="W57" s="12">
        <f t="shared" si="9"/>
        <v>0</v>
      </c>
      <c r="X57" s="14" t="e">
        <f t="shared" si="10"/>
        <v>#N/A</v>
      </c>
      <c r="Y57" s="17"/>
      <c r="Z57" s="14" t="e">
        <f t="shared" si="11"/>
        <v>#N/A</v>
      </c>
      <c r="AA57" s="18"/>
      <c r="AB57" s="13"/>
      <c r="AC57" s="19"/>
      <c r="AD57" s="20"/>
      <c r="AE57" s="19"/>
      <c r="AF57" s="21"/>
      <c r="AG57" s="22" t="str">
        <f t="shared" si="5"/>
        <v>FALSE</v>
      </c>
      <c r="AH57" s="23" t="str">
        <f t="shared" si="6"/>
        <v xml:space="preserve">   -   </v>
      </c>
    </row>
    <row r="58" spans="1:34" ht="22.35" customHeight="1">
      <c r="A58" s="7"/>
      <c r="B58" s="7"/>
      <c r="C58" s="7"/>
      <c r="D58" s="7"/>
      <c r="E58" s="7"/>
      <c r="F58" s="8"/>
      <c r="G58" s="9"/>
      <c r="H58" s="10"/>
      <c r="I58" s="9"/>
      <c r="J58" s="9"/>
      <c r="K58" s="11" t="str">
        <f t="shared" ca="1" si="7"/>
        <v/>
      </c>
      <c r="L58" s="12"/>
      <c r="M58" s="12"/>
      <c r="N58" s="12"/>
      <c r="O58" s="9"/>
      <c r="P58" s="9"/>
      <c r="Q58" s="13" t="e">
        <f>VLOOKUP(O58, '[1]لیست محصولات اردیبهشت ۱۴۰۳'!B:C,2,0)</f>
        <v>#N/A</v>
      </c>
      <c r="R58" s="9"/>
      <c r="S58" s="12" t="e">
        <f>VLOOKUP(O58, '[1]لیست محصولات اردیبهشت ۱۴۰۳'!B:F,5,0)</f>
        <v>#N/A</v>
      </c>
      <c r="T58" s="14" t="e">
        <f>VLOOKUP(O58, '[1]لیست محصولات اردیبهشت ۱۴۰۳'!B:G,6,0)</f>
        <v>#N/A</v>
      </c>
      <c r="U58" s="15"/>
      <c r="V58" s="16">
        <f t="shared" si="8"/>
        <v>0</v>
      </c>
      <c r="W58" s="12">
        <f t="shared" si="9"/>
        <v>0</v>
      </c>
      <c r="X58" s="14" t="e">
        <f t="shared" si="10"/>
        <v>#N/A</v>
      </c>
      <c r="Y58" s="17"/>
      <c r="Z58" s="14" t="e">
        <f t="shared" si="11"/>
        <v>#N/A</v>
      </c>
      <c r="AA58" s="18"/>
      <c r="AB58" s="13"/>
      <c r="AC58" s="19"/>
      <c r="AD58" s="20"/>
      <c r="AE58" s="19"/>
      <c r="AF58" s="21"/>
      <c r="AG58" s="22" t="str">
        <f t="shared" si="5"/>
        <v>FALSE</v>
      </c>
      <c r="AH58" s="23" t="str">
        <f t="shared" si="6"/>
        <v xml:space="preserve">   -   </v>
      </c>
    </row>
    <row r="59" spans="1:34" ht="22.35" customHeight="1">
      <c r="A59" s="7"/>
      <c r="B59" s="7"/>
      <c r="C59" s="7"/>
      <c r="D59" s="7"/>
      <c r="E59" s="7"/>
      <c r="F59" s="8"/>
      <c r="G59" s="9"/>
      <c r="H59" s="10"/>
      <c r="I59" s="9"/>
      <c r="J59" s="9"/>
      <c r="K59" s="11" t="str">
        <f t="shared" ca="1" si="7"/>
        <v/>
      </c>
      <c r="L59" s="12"/>
      <c r="M59" s="12"/>
      <c r="N59" s="12"/>
      <c r="O59" s="9"/>
      <c r="P59" s="9"/>
      <c r="Q59" s="13" t="e">
        <f>VLOOKUP(O59, '[1]لیست محصولات اردیبهشت ۱۴۰۳'!B:C,2,0)</f>
        <v>#N/A</v>
      </c>
      <c r="R59" s="9"/>
      <c r="S59" s="12" t="e">
        <f>VLOOKUP(O59, '[1]لیست محصولات اردیبهشت ۱۴۰۳'!B:F,5,0)</f>
        <v>#N/A</v>
      </c>
      <c r="T59" s="14" t="e">
        <f>VLOOKUP(O59, '[1]لیست محصولات اردیبهشت ۱۴۰۳'!B:G,6,0)</f>
        <v>#N/A</v>
      </c>
      <c r="U59" s="15"/>
      <c r="V59" s="16">
        <f t="shared" si="8"/>
        <v>0</v>
      </c>
      <c r="W59" s="12">
        <f t="shared" si="9"/>
        <v>0</v>
      </c>
      <c r="X59" s="14" t="e">
        <f t="shared" si="10"/>
        <v>#N/A</v>
      </c>
      <c r="Y59" s="17"/>
      <c r="Z59" s="14" t="e">
        <f t="shared" si="11"/>
        <v>#N/A</v>
      </c>
      <c r="AA59" s="18"/>
      <c r="AB59" s="13"/>
      <c r="AC59" s="19"/>
      <c r="AD59" s="20"/>
      <c r="AE59" s="19"/>
      <c r="AF59" s="21"/>
      <c r="AG59" s="22" t="str">
        <f t="shared" si="5"/>
        <v>FALSE</v>
      </c>
      <c r="AH59" s="23" t="str">
        <f t="shared" si="6"/>
        <v xml:space="preserve">   -   </v>
      </c>
    </row>
    <row r="60" spans="1:34" ht="22.35" customHeight="1">
      <c r="A60" s="7"/>
      <c r="B60" s="7"/>
      <c r="C60" s="7" t="b">
        <v>0</v>
      </c>
      <c r="D60" s="7"/>
      <c r="E60" s="7"/>
      <c r="F60" s="8"/>
      <c r="G60" s="9"/>
      <c r="H60" s="10"/>
      <c r="I60" s="9"/>
      <c r="J60" s="9"/>
      <c r="K60" s="11" t="str">
        <f t="shared" ca="1" si="7"/>
        <v/>
      </c>
      <c r="L60" s="12"/>
      <c r="M60" s="12"/>
      <c r="N60" s="12"/>
      <c r="O60" s="9"/>
      <c r="P60" s="9"/>
      <c r="Q60" s="13" t="e">
        <f>VLOOKUP(O60, '[1]لیست محصولات اردیبهشت ۱۴۰۳'!B:C,2,0)</f>
        <v>#N/A</v>
      </c>
      <c r="R60" s="9"/>
      <c r="S60" s="12" t="e">
        <f>VLOOKUP(O60, '[1]لیست محصولات اردیبهشت ۱۴۰۳'!B:F,5,0)</f>
        <v>#N/A</v>
      </c>
      <c r="T60" s="14" t="e">
        <f>VLOOKUP(O60, '[1]لیست محصولات اردیبهشت ۱۴۰۳'!B:G,6,0)</f>
        <v>#N/A</v>
      </c>
      <c r="U60" s="15"/>
      <c r="V60" s="16">
        <f t="shared" si="8"/>
        <v>0</v>
      </c>
      <c r="W60" s="12">
        <f t="shared" si="9"/>
        <v>0</v>
      </c>
      <c r="X60" s="14" t="e">
        <f t="shared" si="10"/>
        <v>#N/A</v>
      </c>
      <c r="Y60" s="17"/>
      <c r="Z60" s="14" t="e">
        <f t="shared" si="11"/>
        <v>#N/A</v>
      </c>
      <c r="AA60" s="18"/>
      <c r="AB60" s="13"/>
      <c r="AC60" s="19"/>
      <c r="AD60" s="20"/>
      <c r="AE60" s="19"/>
      <c r="AF60" s="21"/>
      <c r="AG60" s="22" t="str">
        <f t="shared" si="5"/>
        <v>FALSE</v>
      </c>
      <c r="AH60" s="23" t="str">
        <f t="shared" si="6"/>
        <v xml:space="preserve">   -   </v>
      </c>
    </row>
    <row r="61" spans="1:34" ht="22.35" customHeight="1">
      <c r="A61" s="7"/>
      <c r="B61" s="7"/>
      <c r="C61" s="7"/>
      <c r="D61" s="7"/>
      <c r="E61" s="7"/>
      <c r="F61" s="8"/>
      <c r="G61" s="9"/>
      <c r="H61" s="10"/>
      <c r="I61" s="9"/>
      <c r="J61" s="9"/>
      <c r="K61" s="11" t="str">
        <f t="shared" ca="1" si="7"/>
        <v/>
      </c>
      <c r="L61" s="12"/>
      <c r="M61" s="12"/>
      <c r="N61" s="12"/>
      <c r="O61" s="9"/>
      <c r="P61" s="9"/>
      <c r="Q61" s="13" t="e">
        <f>VLOOKUP(O61, '[1]لیست محصولات اردیبهشت ۱۴۰۳'!B:C,2,0)</f>
        <v>#N/A</v>
      </c>
      <c r="R61" s="9"/>
      <c r="S61" s="12" t="e">
        <f>VLOOKUP(O61, '[1]لیست محصولات اردیبهشت ۱۴۰۳'!B:F,5,0)</f>
        <v>#N/A</v>
      </c>
      <c r="T61" s="14" t="e">
        <f>VLOOKUP(O61, '[1]لیست محصولات اردیبهشت ۱۴۰۳'!B:G,6,0)</f>
        <v>#N/A</v>
      </c>
      <c r="U61" s="15"/>
      <c r="V61" s="16">
        <f t="shared" si="8"/>
        <v>0</v>
      </c>
      <c r="W61" s="12">
        <f t="shared" si="9"/>
        <v>0</v>
      </c>
      <c r="X61" s="14" t="e">
        <f t="shared" si="10"/>
        <v>#N/A</v>
      </c>
      <c r="Y61" s="17"/>
      <c r="Z61" s="14" t="e">
        <f t="shared" si="11"/>
        <v>#N/A</v>
      </c>
      <c r="AA61" s="18"/>
      <c r="AB61" s="13"/>
      <c r="AC61" s="19"/>
      <c r="AD61" s="20"/>
      <c r="AE61" s="19"/>
      <c r="AF61" s="21"/>
      <c r="AG61" s="22" t="str">
        <f t="shared" si="5"/>
        <v>FALSE</v>
      </c>
      <c r="AH61" s="23" t="str">
        <f t="shared" si="6"/>
        <v xml:space="preserve">   -   </v>
      </c>
    </row>
    <row r="62" spans="1:34" ht="22.35" customHeight="1">
      <c r="A62" s="7"/>
      <c r="B62" s="7"/>
      <c r="C62" s="7"/>
      <c r="D62" s="7"/>
      <c r="E62" s="7"/>
      <c r="F62" s="8"/>
      <c r="G62" s="9"/>
      <c r="H62" s="10"/>
      <c r="I62" s="9"/>
      <c r="J62" s="9"/>
      <c r="K62" s="11" t="str">
        <f t="shared" ca="1" si="7"/>
        <v/>
      </c>
      <c r="L62" s="12"/>
      <c r="M62" s="12"/>
      <c r="N62" s="12"/>
      <c r="O62" s="9"/>
      <c r="P62" s="9"/>
      <c r="Q62" s="13" t="e">
        <f>VLOOKUP(O62, '[1]لیست محصولات اردیبهشت ۱۴۰۳'!B:C,2,0)</f>
        <v>#N/A</v>
      </c>
      <c r="R62" s="9"/>
      <c r="S62" s="12" t="e">
        <f>VLOOKUP(O62, '[1]لیست محصولات اردیبهشت ۱۴۰۳'!B:F,5,0)</f>
        <v>#N/A</v>
      </c>
      <c r="T62" s="14" t="e">
        <f>VLOOKUP(O62, '[1]لیست محصولات اردیبهشت ۱۴۰۳'!B:G,6,0)</f>
        <v>#N/A</v>
      </c>
      <c r="U62" s="15"/>
      <c r="V62" s="16">
        <f t="shared" si="8"/>
        <v>0</v>
      </c>
      <c r="W62" s="12">
        <f t="shared" si="9"/>
        <v>0</v>
      </c>
      <c r="X62" s="14" t="e">
        <f t="shared" si="10"/>
        <v>#N/A</v>
      </c>
      <c r="Y62" s="17"/>
      <c r="Z62" s="14" t="e">
        <f t="shared" si="11"/>
        <v>#N/A</v>
      </c>
      <c r="AA62" s="18"/>
      <c r="AB62" s="13"/>
      <c r="AC62" s="19"/>
      <c r="AD62" s="20"/>
      <c r="AE62" s="19"/>
      <c r="AF62" s="21"/>
      <c r="AG62" s="22" t="str">
        <f t="shared" si="5"/>
        <v>FALSE</v>
      </c>
      <c r="AH62" s="23" t="str">
        <f t="shared" si="6"/>
        <v xml:space="preserve">   -   </v>
      </c>
    </row>
    <row r="63" spans="1:34" ht="22.35" customHeight="1">
      <c r="A63" s="7"/>
      <c r="B63" s="7"/>
      <c r="C63" s="7"/>
      <c r="D63" s="7"/>
      <c r="E63" s="7"/>
      <c r="F63" s="8"/>
      <c r="G63" s="9"/>
      <c r="H63" s="10"/>
      <c r="I63" s="9"/>
      <c r="J63" s="9"/>
      <c r="K63" s="11" t="str">
        <f t="shared" ca="1" si="7"/>
        <v/>
      </c>
      <c r="L63" s="12"/>
      <c r="M63" s="12"/>
      <c r="N63" s="12"/>
      <c r="O63" s="9"/>
      <c r="P63" s="9"/>
      <c r="Q63" s="13" t="e">
        <f>VLOOKUP(O63, '[1]لیست محصولات اردیبهشت ۱۴۰۳'!B:C,2,0)</f>
        <v>#N/A</v>
      </c>
      <c r="R63" s="9"/>
      <c r="S63" s="12" t="e">
        <f>VLOOKUP(O63, '[1]لیست محصولات اردیبهشت ۱۴۰۳'!B:F,5,0)</f>
        <v>#N/A</v>
      </c>
      <c r="T63" s="14" t="e">
        <f>VLOOKUP(O63, '[1]لیست محصولات اردیبهشت ۱۴۰۳'!B:G,6,0)</f>
        <v>#N/A</v>
      </c>
      <c r="U63" s="15"/>
      <c r="V63" s="16">
        <f t="shared" si="8"/>
        <v>0</v>
      </c>
      <c r="W63" s="12">
        <f t="shared" si="9"/>
        <v>0</v>
      </c>
      <c r="X63" s="14" t="e">
        <f t="shared" si="10"/>
        <v>#N/A</v>
      </c>
      <c r="Y63" s="17"/>
      <c r="Z63" s="14" t="e">
        <f t="shared" si="11"/>
        <v>#N/A</v>
      </c>
      <c r="AA63" s="18"/>
      <c r="AB63" s="13"/>
      <c r="AC63" s="19"/>
      <c r="AD63" s="20"/>
      <c r="AE63" s="19"/>
      <c r="AF63" s="21"/>
      <c r="AG63" s="22" t="str">
        <f t="shared" si="5"/>
        <v>FALSE</v>
      </c>
      <c r="AH63" s="23" t="str">
        <f t="shared" si="6"/>
        <v xml:space="preserve">   -   </v>
      </c>
    </row>
    <row r="64" spans="1:34" ht="22.35" customHeight="1">
      <c r="A64" s="7"/>
      <c r="B64" s="7"/>
      <c r="C64" s="7"/>
      <c r="D64" s="7"/>
      <c r="E64" s="7"/>
      <c r="F64" s="8"/>
      <c r="G64" s="9"/>
      <c r="H64" s="10"/>
      <c r="I64" s="9"/>
      <c r="J64" s="9"/>
      <c r="K64" s="11" t="str">
        <f t="shared" ca="1" si="7"/>
        <v/>
      </c>
      <c r="L64" s="12"/>
      <c r="M64" s="12"/>
      <c r="N64" s="12"/>
      <c r="O64" s="9"/>
      <c r="P64" s="9"/>
      <c r="Q64" s="13" t="e">
        <f>VLOOKUP(O64, '[1]لیست محصولات اردیبهشت ۱۴۰۳'!B:C,2,0)</f>
        <v>#N/A</v>
      </c>
      <c r="R64" s="9"/>
      <c r="S64" s="12" t="e">
        <f>VLOOKUP(O64, '[1]لیست محصولات اردیبهشت ۱۴۰۳'!B:F,5,0)</f>
        <v>#N/A</v>
      </c>
      <c r="T64" s="14" t="e">
        <f>VLOOKUP(O64, '[1]لیست محصولات اردیبهشت ۱۴۰۳'!B:G,6,0)</f>
        <v>#N/A</v>
      </c>
      <c r="U64" s="15"/>
      <c r="V64" s="16">
        <f t="shared" si="8"/>
        <v>0</v>
      </c>
      <c r="W64" s="12">
        <f t="shared" si="9"/>
        <v>0</v>
      </c>
      <c r="X64" s="14" t="e">
        <f t="shared" si="10"/>
        <v>#N/A</v>
      </c>
      <c r="Y64" s="17"/>
      <c r="Z64" s="14" t="e">
        <f t="shared" si="11"/>
        <v>#N/A</v>
      </c>
      <c r="AA64" s="18"/>
      <c r="AB64" s="13"/>
      <c r="AC64" s="19"/>
      <c r="AD64" s="20"/>
      <c r="AE64" s="19"/>
      <c r="AF64" s="21"/>
      <c r="AG64" s="22" t="str">
        <f t="shared" si="5"/>
        <v>FALSE</v>
      </c>
      <c r="AH64" s="23" t="str">
        <f t="shared" si="6"/>
        <v xml:space="preserve">   -   </v>
      </c>
    </row>
    <row r="65" spans="1:34" ht="22.35" customHeight="1">
      <c r="A65" s="7"/>
      <c r="B65" s="7"/>
      <c r="C65" s="7"/>
      <c r="D65" s="7"/>
      <c r="E65" s="7"/>
      <c r="F65" s="8"/>
      <c r="G65" s="9"/>
      <c r="H65" s="10"/>
      <c r="I65" s="9"/>
      <c r="J65" s="9"/>
      <c r="K65" s="11" t="str">
        <f t="shared" ca="1" si="7"/>
        <v/>
      </c>
      <c r="L65" s="12"/>
      <c r="M65" s="12"/>
      <c r="N65" s="12"/>
      <c r="O65" s="9"/>
      <c r="P65" s="9"/>
      <c r="Q65" s="13" t="e">
        <f>VLOOKUP(O65, '[1]لیست محصولات اردیبهشت ۱۴۰۳'!B:C,2,0)</f>
        <v>#N/A</v>
      </c>
      <c r="R65" s="9"/>
      <c r="S65" s="12" t="e">
        <f>VLOOKUP(O65, '[1]لیست محصولات اردیبهشت ۱۴۰۳'!B:F,5,0)</f>
        <v>#N/A</v>
      </c>
      <c r="T65" s="14" t="e">
        <f>VLOOKUP(O65, '[1]لیست محصولات اردیبهشت ۱۴۰۳'!B:G,6,0)</f>
        <v>#N/A</v>
      </c>
      <c r="U65" s="26"/>
      <c r="V65" s="16">
        <f t="shared" si="8"/>
        <v>0</v>
      </c>
      <c r="W65" s="12">
        <f t="shared" si="9"/>
        <v>0</v>
      </c>
      <c r="X65" s="14" t="e">
        <f t="shared" si="10"/>
        <v>#N/A</v>
      </c>
      <c r="Y65" s="17"/>
      <c r="Z65" s="14" t="e">
        <f t="shared" si="11"/>
        <v>#N/A</v>
      </c>
      <c r="AA65" s="18"/>
      <c r="AB65" s="13"/>
      <c r="AC65" s="19"/>
      <c r="AD65" s="20"/>
      <c r="AE65" s="19"/>
      <c r="AF65" s="21"/>
      <c r="AG65" s="22" t="str">
        <f t="shared" si="5"/>
        <v>FALSE</v>
      </c>
      <c r="AH65" s="23" t="str">
        <f t="shared" si="6"/>
        <v xml:space="preserve">   -   </v>
      </c>
    </row>
    <row r="66" spans="1:34" ht="22.35" customHeight="1">
      <c r="A66" s="7"/>
      <c r="B66" s="7"/>
      <c r="C66" s="7"/>
      <c r="D66" s="7"/>
      <c r="E66" s="7"/>
      <c r="F66" s="8"/>
      <c r="G66" s="9"/>
      <c r="H66" s="10"/>
      <c r="I66" s="9"/>
      <c r="J66" s="9"/>
      <c r="K66" s="11" t="str">
        <f t="shared" ref="K66:K87" ca="1" si="12">IF(C66, TODAY(), "" )</f>
        <v/>
      </c>
      <c r="L66" s="12"/>
      <c r="M66" s="12"/>
      <c r="N66" s="12"/>
      <c r="O66" s="9"/>
      <c r="P66" s="9"/>
      <c r="Q66" s="13" t="e">
        <f>VLOOKUP(O66, '[1]لیست محصولات اردیبهشت ۱۴۰۳'!B:C,2,0)</f>
        <v>#N/A</v>
      </c>
      <c r="R66" s="9"/>
      <c r="S66" s="12" t="e">
        <f>VLOOKUP(O66, '[1]لیست محصولات اردیبهشت ۱۴۰۳'!B:F,5,0)</f>
        <v>#N/A</v>
      </c>
      <c r="T66" s="14" t="e">
        <f>VLOOKUP(O66, '[1]لیست محصولات اردیبهشت ۱۴۰۳'!B:G,6,0)</f>
        <v>#N/A</v>
      </c>
      <c r="U66" s="15"/>
      <c r="V66" s="16">
        <f t="shared" ref="V66:V129" si="13">IF(C66, P66, U66 )</f>
        <v>0</v>
      </c>
      <c r="W66" s="12">
        <f t="shared" ref="W66:W200" si="14">P66-V66</f>
        <v>0</v>
      </c>
      <c r="X66" s="14" t="e">
        <f t="shared" ref="X66:X200" si="15">P66*T66</f>
        <v>#N/A</v>
      </c>
      <c r="Y66" s="17"/>
      <c r="Z66" s="14" t="e">
        <f t="shared" ref="Z66:Z200" si="16">X66-Y66</f>
        <v>#N/A</v>
      </c>
      <c r="AA66" s="18"/>
      <c r="AB66" s="13"/>
      <c r="AC66" s="19"/>
      <c r="AD66" s="20"/>
      <c r="AE66" s="19"/>
      <c r="AF66" s="21"/>
      <c r="AG66" s="22" t="str">
        <f t="shared" ref="AG66:AG87" si="17">IF(V66=P66, "FALSE", "TRUE" )</f>
        <v>FALSE</v>
      </c>
      <c r="AH66" s="23" t="str">
        <f t="shared" si="6"/>
        <v xml:space="preserve">   -   </v>
      </c>
    </row>
    <row r="67" spans="1:34" ht="22.35" customHeight="1">
      <c r="A67" s="7"/>
      <c r="B67" s="7"/>
      <c r="C67" s="7"/>
      <c r="D67" s="7"/>
      <c r="E67" s="7"/>
      <c r="F67" s="8"/>
      <c r="G67" s="9"/>
      <c r="H67" s="10"/>
      <c r="I67" s="9"/>
      <c r="J67" s="9"/>
      <c r="K67" s="11" t="str">
        <f t="shared" ca="1" si="12"/>
        <v/>
      </c>
      <c r="L67" s="12"/>
      <c r="M67" s="12"/>
      <c r="N67" s="12"/>
      <c r="O67" s="9"/>
      <c r="P67" s="9"/>
      <c r="Q67" s="13" t="e">
        <f>VLOOKUP(O67, '[1]لیست محصولات اردیبهشت ۱۴۰۳'!B:C,2,0)</f>
        <v>#N/A</v>
      </c>
      <c r="R67" s="9"/>
      <c r="S67" s="12" t="e">
        <f>VLOOKUP(O67, '[1]لیست محصولات اردیبهشت ۱۴۰۳'!B:F,5,0)</f>
        <v>#N/A</v>
      </c>
      <c r="T67" s="14" t="e">
        <f>VLOOKUP(O67, '[1]لیست محصولات اردیبهشت ۱۴۰۳'!B:G,6,0)</f>
        <v>#N/A</v>
      </c>
      <c r="U67" s="15"/>
      <c r="V67" s="16">
        <f t="shared" si="13"/>
        <v>0</v>
      </c>
      <c r="W67" s="12">
        <f t="shared" si="14"/>
        <v>0</v>
      </c>
      <c r="X67" s="14" t="e">
        <f t="shared" si="15"/>
        <v>#N/A</v>
      </c>
      <c r="Y67" s="17"/>
      <c r="Z67" s="14" t="e">
        <f t="shared" si="16"/>
        <v>#N/A</v>
      </c>
      <c r="AA67" s="18"/>
      <c r="AB67" s="13"/>
      <c r="AC67" s="19"/>
      <c r="AD67" s="20"/>
      <c r="AE67" s="19"/>
      <c r="AF67" s="21"/>
      <c r="AG67" s="22" t="str">
        <f t="shared" si="17"/>
        <v>FALSE</v>
      </c>
      <c r="AH67" s="23" t="str">
        <f t="shared" si="6"/>
        <v xml:space="preserve">   -   </v>
      </c>
    </row>
    <row r="68" spans="1:34" ht="22.35" customHeight="1">
      <c r="A68" s="7"/>
      <c r="B68" s="7"/>
      <c r="C68" s="7"/>
      <c r="D68" s="7"/>
      <c r="E68" s="7"/>
      <c r="F68" s="8"/>
      <c r="G68" s="9"/>
      <c r="H68" s="10"/>
      <c r="I68" s="9"/>
      <c r="J68" s="9"/>
      <c r="K68" s="11" t="str">
        <f t="shared" ca="1" si="12"/>
        <v/>
      </c>
      <c r="L68" s="12"/>
      <c r="M68" s="12"/>
      <c r="N68" s="12"/>
      <c r="O68" s="9"/>
      <c r="P68" s="9"/>
      <c r="Q68" s="13" t="e">
        <f>VLOOKUP(O68, '[1]لیست محصولات اردیبهشت ۱۴۰۳'!B:C,2,0)</f>
        <v>#N/A</v>
      </c>
      <c r="R68" s="9"/>
      <c r="S68" s="12" t="e">
        <f>VLOOKUP(O68, '[1]لیست محصولات اردیبهشت ۱۴۰۳'!B:F,5,0)</f>
        <v>#N/A</v>
      </c>
      <c r="T68" s="14" t="e">
        <f>VLOOKUP(O68, '[1]لیست محصولات اردیبهشت ۱۴۰۳'!B:G,6,0)</f>
        <v>#N/A</v>
      </c>
      <c r="U68" s="15"/>
      <c r="V68" s="16">
        <f t="shared" si="13"/>
        <v>0</v>
      </c>
      <c r="W68" s="12">
        <f t="shared" si="14"/>
        <v>0</v>
      </c>
      <c r="X68" s="14" t="e">
        <f t="shared" si="15"/>
        <v>#N/A</v>
      </c>
      <c r="Y68" s="17"/>
      <c r="Z68" s="14" t="e">
        <f t="shared" si="16"/>
        <v>#N/A</v>
      </c>
      <c r="AA68" s="18"/>
      <c r="AB68" s="13"/>
      <c r="AC68" s="19"/>
      <c r="AD68" s="20"/>
      <c r="AE68" s="19"/>
      <c r="AF68" s="21"/>
      <c r="AG68" s="22" t="str">
        <f t="shared" si="17"/>
        <v>FALSE</v>
      </c>
      <c r="AH68" s="23" t="str">
        <f t="shared" ref="AH68:AH131" si="18">AA68&amp;" "&amp;AB68&amp;" "&amp;N68&amp;" - "&amp;L68&amp;" "&amp;M68&amp;" "&amp;AC68</f>
        <v xml:space="preserve">   -   </v>
      </c>
    </row>
    <row r="69" spans="1:34" ht="22.35" customHeight="1">
      <c r="A69" s="7"/>
      <c r="B69" s="7"/>
      <c r="C69" s="7"/>
      <c r="D69" s="7"/>
      <c r="E69" s="7"/>
      <c r="F69" s="8"/>
      <c r="G69" s="9"/>
      <c r="H69" s="10"/>
      <c r="I69" s="9"/>
      <c r="J69" s="9"/>
      <c r="K69" s="11" t="str">
        <f t="shared" ca="1" si="12"/>
        <v/>
      </c>
      <c r="L69" s="12"/>
      <c r="M69" s="12"/>
      <c r="N69" s="12"/>
      <c r="O69" s="9"/>
      <c r="P69" s="9"/>
      <c r="Q69" s="13" t="e">
        <f>VLOOKUP(O69, '[1]لیست محصولات اردیبهشت ۱۴۰۳'!B:C,2,0)</f>
        <v>#N/A</v>
      </c>
      <c r="R69" s="9"/>
      <c r="S69" s="12" t="e">
        <f>VLOOKUP(O69, '[1]لیست محصولات اردیبهشت ۱۴۰۳'!B:F,5,0)</f>
        <v>#N/A</v>
      </c>
      <c r="T69" s="14" t="e">
        <f>VLOOKUP(O69, '[1]لیست محصولات اردیبهشت ۱۴۰۳'!B:G,6,0)</f>
        <v>#N/A</v>
      </c>
      <c r="U69" s="15"/>
      <c r="V69" s="16">
        <f t="shared" si="13"/>
        <v>0</v>
      </c>
      <c r="W69" s="12">
        <f t="shared" si="14"/>
        <v>0</v>
      </c>
      <c r="X69" s="14" t="e">
        <f t="shared" si="15"/>
        <v>#N/A</v>
      </c>
      <c r="Y69" s="17"/>
      <c r="Z69" s="14" t="e">
        <f t="shared" si="16"/>
        <v>#N/A</v>
      </c>
      <c r="AA69" s="18"/>
      <c r="AB69" s="13"/>
      <c r="AC69" s="19"/>
      <c r="AD69" s="20"/>
      <c r="AE69" s="19"/>
      <c r="AF69" s="21"/>
      <c r="AG69" s="22" t="str">
        <f t="shared" si="17"/>
        <v>FALSE</v>
      </c>
      <c r="AH69" s="23" t="str">
        <f t="shared" si="18"/>
        <v xml:space="preserve">   -   </v>
      </c>
    </row>
    <row r="70" spans="1:34" ht="22.35" customHeight="1">
      <c r="A70" s="7"/>
      <c r="B70" s="7"/>
      <c r="C70" s="7"/>
      <c r="D70" s="7"/>
      <c r="E70" s="7" t="b">
        <v>0</v>
      </c>
      <c r="F70" s="8"/>
      <c r="G70" s="9"/>
      <c r="H70" s="10"/>
      <c r="I70" s="9"/>
      <c r="J70" s="9"/>
      <c r="K70" s="11" t="str">
        <f t="shared" ca="1" si="12"/>
        <v/>
      </c>
      <c r="L70" s="12"/>
      <c r="M70" s="12"/>
      <c r="N70" s="12"/>
      <c r="O70" s="9"/>
      <c r="P70" s="9"/>
      <c r="Q70" s="13" t="e">
        <f>VLOOKUP(O70, '[1]لیست محصولات اردیبهشت ۱۴۰۳'!B:C,2,0)</f>
        <v>#N/A</v>
      </c>
      <c r="R70" s="9"/>
      <c r="S70" s="12" t="e">
        <f>VLOOKUP(O70, '[1]لیست محصولات اردیبهشت ۱۴۰۳'!B:F,5,0)</f>
        <v>#N/A</v>
      </c>
      <c r="T70" s="14" t="e">
        <f>VLOOKUP(O70, '[1]لیست محصولات اردیبهشت ۱۴۰۳'!B:G,6,0)</f>
        <v>#N/A</v>
      </c>
      <c r="U70" s="15"/>
      <c r="V70" s="16">
        <f t="shared" si="13"/>
        <v>0</v>
      </c>
      <c r="W70" s="12">
        <f t="shared" si="14"/>
        <v>0</v>
      </c>
      <c r="X70" s="14" t="e">
        <f t="shared" si="15"/>
        <v>#N/A</v>
      </c>
      <c r="Y70" s="17"/>
      <c r="Z70" s="14" t="e">
        <f t="shared" si="16"/>
        <v>#N/A</v>
      </c>
      <c r="AA70" s="18"/>
      <c r="AB70" s="13"/>
      <c r="AC70" s="19"/>
      <c r="AD70" s="20"/>
      <c r="AE70" s="19"/>
      <c r="AF70" s="21"/>
      <c r="AG70" s="22" t="str">
        <f t="shared" si="17"/>
        <v>FALSE</v>
      </c>
      <c r="AH70" s="23" t="str">
        <f t="shared" si="18"/>
        <v xml:space="preserve">   -   </v>
      </c>
    </row>
    <row r="71" spans="1:34" ht="22.35" customHeight="1">
      <c r="A71" s="7"/>
      <c r="B71" s="7"/>
      <c r="C71" s="7"/>
      <c r="D71" s="7"/>
      <c r="E71" s="7"/>
      <c r="F71" s="8"/>
      <c r="G71" s="9"/>
      <c r="H71" s="10"/>
      <c r="I71" s="9"/>
      <c r="J71" s="9"/>
      <c r="K71" s="11" t="str">
        <f t="shared" ca="1" si="12"/>
        <v/>
      </c>
      <c r="L71" s="12"/>
      <c r="M71" s="12"/>
      <c r="N71" s="12"/>
      <c r="O71" s="9"/>
      <c r="P71" s="9"/>
      <c r="Q71" s="13" t="e">
        <f>VLOOKUP(O71, '[1]لیست محصولات اردیبهشت ۱۴۰۳'!B:C,2,0)</f>
        <v>#N/A</v>
      </c>
      <c r="R71" s="9"/>
      <c r="S71" s="12" t="e">
        <f>VLOOKUP(O71, '[1]لیست محصولات اردیبهشت ۱۴۰۳'!B:F,5,0)</f>
        <v>#N/A</v>
      </c>
      <c r="T71" s="14" t="e">
        <f>VLOOKUP(O71, '[1]لیست محصولات اردیبهشت ۱۴۰۳'!B:G,6,0)</f>
        <v>#N/A</v>
      </c>
      <c r="U71" s="15"/>
      <c r="V71" s="16">
        <f t="shared" si="13"/>
        <v>0</v>
      </c>
      <c r="W71" s="12">
        <f t="shared" si="14"/>
        <v>0</v>
      </c>
      <c r="X71" s="14" t="e">
        <f t="shared" si="15"/>
        <v>#N/A</v>
      </c>
      <c r="Y71" s="17"/>
      <c r="Z71" s="14" t="e">
        <f t="shared" si="16"/>
        <v>#N/A</v>
      </c>
      <c r="AA71" s="18"/>
      <c r="AB71" s="13"/>
      <c r="AC71" s="19"/>
      <c r="AD71" s="20"/>
      <c r="AE71" s="19"/>
      <c r="AF71" s="21"/>
      <c r="AG71" s="22" t="str">
        <f t="shared" si="17"/>
        <v>FALSE</v>
      </c>
      <c r="AH71" s="23" t="str">
        <f t="shared" si="18"/>
        <v xml:space="preserve">   -   </v>
      </c>
    </row>
    <row r="72" spans="1:34" ht="22.35" customHeight="1">
      <c r="A72" s="7"/>
      <c r="B72" s="7"/>
      <c r="C72" s="7"/>
      <c r="D72" s="7"/>
      <c r="E72" s="7"/>
      <c r="F72" s="8"/>
      <c r="G72" s="9"/>
      <c r="H72" s="10"/>
      <c r="I72" s="9"/>
      <c r="J72" s="9"/>
      <c r="K72" s="11" t="str">
        <f t="shared" ca="1" si="12"/>
        <v/>
      </c>
      <c r="L72" s="12"/>
      <c r="M72" s="12"/>
      <c r="N72" s="12"/>
      <c r="O72" s="9"/>
      <c r="P72" s="9"/>
      <c r="Q72" s="13" t="e">
        <f>VLOOKUP(O72, '[1]لیست محصولات اردیبهشت ۱۴۰۳'!B:C,2,0)</f>
        <v>#N/A</v>
      </c>
      <c r="R72" s="9"/>
      <c r="S72" s="12" t="e">
        <f>VLOOKUP(O72, '[1]لیست محصولات اردیبهشت ۱۴۰۳'!B:F,5,0)</f>
        <v>#N/A</v>
      </c>
      <c r="T72" s="14" t="e">
        <f>VLOOKUP(O72, '[1]لیست محصولات اردیبهشت ۱۴۰۳'!B:G,6,0)</f>
        <v>#N/A</v>
      </c>
      <c r="U72" s="15"/>
      <c r="V72" s="16">
        <f t="shared" si="13"/>
        <v>0</v>
      </c>
      <c r="W72" s="12">
        <f t="shared" si="14"/>
        <v>0</v>
      </c>
      <c r="X72" s="14" t="e">
        <f t="shared" si="15"/>
        <v>#N/A</v>
      </c>
      <c r="Y72" s="17"/>
      <c r="Z72" s="14" t="e">
        <f t="shared" si="16"/>
        <v>#N/A</v>
      </c>
      <c r="AA72" s="18"/>
      <c r="AB72" s="13"/>
      <c r="AC72" s="19"/>
      <c r="AD72" s="20"/>
      <c r="AE72" s="19"/>
      <c r="AF72" s="21"/>
      <c r="AG72" s="22" t="str">
        <f t="shared" si="17"/>
        <v>FALSE</v>
      </c>
      <c r="AH72" s="23" t="str">
        <f t="shared" si="18"/>
        <v xml:space="preserve">   -   </v>
      </c>
    </row>
    <row r="73" spans="1:34" ht="22.35" customHeight="1">
      <c r="A73" s="7"/>
      <c r="B73" s="7"/>
      <c r="C73" s="7"/>
      <c r="D73" s="7"/>
      <c r="E73" s="7"/>
      <c r="F73" s="8"/>
      <c r="G73" s="9"/>
      <c r="H73" s="10"/>
      <c r="I73" s="9"/>
      <c r="J73" s="9"/>
      <c r="K73" s="11" t="str">
        <f t="shared" ca="1" si="12"/>
        <v/>
      </c>
      <c r="L73" s="12"/>
      <c r="M73" s="12"/>
      <c r="N73" s="12"/>
      <c r="O73" s="9"/>
      <c r="P73" s="9"/>
      <c r="Q73" s="13" t="e">
        <f>VLOOKUP(O73, '[1]لیست محصولات اردیبهشت ۱۴۰۳'!B:C,2,0)</f>
        <v>#N/A</v>
      </c>
      <c r="R73" s="9"/>
      <c r="S73" s="12" t="e">
        <f>VLOOKUP(O73, '[1]لیست محصولات اردیبهشت ۱۴۰۳'!B:F,5,0)</f>
        <v>#N/A</v>
      </c>
      <c r="T73" s="14" t="e">
        <f>VLOOKUP(O73, '[1]لیست محصولات اردیبهشت ۱۴۰۳'!B:G,6,0)</f>
        <v>#N/A</v>
      </c>
      <c r="U73" s="15"/>
      <c r="V73" s="16">
        <f t="shared" si="13"/>
        <v>0</v>
      </c>
      <c r="W73" s="12">
        <f t="shared" si="14"/>
        <v>0</v>
      </c>
      <c r="X73" s="14" t="e">
        <f t="shared" si="15"/>
        <v>#N/A</v>
      </c>
      <c r="Y73" s="17"/>
      <c r="Z73" s="14" t="e">
        <f t="shared" si="16"/>
        <v>#N/A</v>
      </c>
      <c r="AA73" s="18"/>
      <c r="AB73" s="13"/>
      <c r="AC73" s="19"/>
      <c r="AD73" s="20"/>
      <c r="AE73" s="19"/>
      <c r="AF73" s="21"/>
      <c r="AG73" s="22" t="str">
        <f t="shared" si="17"/>
        <v>FALSE</v>
      </c>
      <c r="AH73" s="23" t="str">
        <f t="shared" si="18"/>
        <v xml:space="preserve">   -   </v>
      </c>
    </row>
    <row r="74" spans="1:34" ht="22.35" customHeight="1">
      <c r="A74" s="7"/>
      <c r="B74" s="7"/>
      <c r="C74" s="7"/>
      <c r="D74" s="7"/>
      <c r="E74" s="7"/>
      <c r="F74" s="8"/>
      <c r="G74" s="9"/>
      <c r="H74" s="10"/>
      <c r="I74" s="9"/>
      <c r="J74" s="9"/>
      <c r="K74" s="11" t="str">
        <f t="shared" ca="1" si="12"/>
        <v/>
      </c>
      <c r="L74" s="12"/>
      <c r="M74" s="12"/>
      <c r="N74" s="12"/>
      <c r="O74" s="9"/>
      <c r="P74" s="9"/>
      <c r="Q74" s="13" t="e">
        <f>VLOOKUP(O74, '[1]لیست محصولات اردیبهشت ۱۴۰۳'!B:C,2,0)</f>
        <v>#N/A</v>
      </c>
      <c r="R74" s="9"/>
      <c r="S74" s="12" t="e">
        <f>VLOOKUP(O74, '[1]لیست محصولات اردیبهشت ۱۴۰۳'!B:F,5,0)</f>
        <v>#N/A</v>
      </c>
      <c r="T74" s="14" t="e">
        <f>VLOOKUP(O74, '[1]لیست محصولات اردیبهشت ۱۴۰۳'!B:G,6,0)</f>
        <v>#N/A</v>
      </c>
      <c r="U74" s="15"/>
      <c r="V74" s="16">
        <f t="shared" si="13"/>
        <v>0</v>
      </c>
      <c r="W74" s="12">
        <f t="shared" si="14"/>
        <v>0</v>
      </c>
      <c r="X74" s="14" t="e">
        <f t="shared" si="15"/>
        <v>#N/A</v>
      </c>
      <c r="Y74" s="17"/>
      <c r="Z74" s="14" t="e">
        <f t="shared" si="16"/>
        <v>#N/A</v>
      </c>
      <c r="AA74" s="18"/>
      <c r="AB74" s="13"/>
      <c r="AC74" s="19"/>
      <c r="AD74" s="20"/>
      <c r="AE74" s="19"/>
      <c r="AF74" s="21"/>
      <c r="AG74" s="22" t="str">
        <f t="shared" si="17"/>
        <v>FALSE</v>
      </c>
      <c r="AH74" s="23" t="str">
        <f t="shared" si="18"/>
        <v xml:space="preserve">   -   </v>
      </c>
    </row>
    <row r="75" spans="1:34" ht="22.35" customHeight="1">
      <c r="A75" s="7" t="b">
        <v>0</v>
      </c>
      <c r="B75" s="7"/>
      <c r="C75" s="7" t="b">
        <v>0</v>
      </c>
      <c r="D75" s="7"/>
      <c r="E75" s="7"/>
      <c r="F75" s="8"/>
      <c r="G75" s="9"/>
      <c r="H75" s="10"/>
      <c r="I75" s="9"/>
      <c r="J75" s="9"/>
      <c r="K75" s="11" t="str">
        <f t="shared" ca="1" si="12"/>
        <v/>
      </c>
      <c r="L75" s="12"/>
      <c r="M75" s="12"/>
      <c r="N75" s="12"/>
      <c r="O75" s="9"/>
      <c r="P75" s="9"/>
      <c r="Q75" s="13" t="e">
        <f>VLOOKUP(O75, '[1]لیست محصولات اردیبهشت ۱۴۰۳'!B:C,2,0)</f>
        <v>#N/A</v>
      </c>
      <c r="R75" s="9"/>
      <c r="S75" s="12" t="e">
        <f>VLOOKUP(O75, '[1]لیست محصولات اردیبهشت ۱۴۰۳'!B:F,5,0)</f>
        <v>#N/A</v>
      </c>
      <c r="T75" s="14" t="e">
        <f>VLOOKUP(O75, '[1]لیست محصولات اردیبهشت ۱۴۰۳'!B:G,6,0)</f>
        <v>#N/A</v>
      </c>
      <c r="U75" s="15"/>
      <c r="V75" s="16">
        <f t="shared" si="13"/>
        <v>0</v>
      </c>
      <c r="W75" s="12">
        <f t="shared" si="14"/>
        <v>0</v>
      </c>
      <c r="X75" s="14" t="e">
        <f t="shared" si="15"/>
        <v>#N/A</v>
      </c>
      <c r="Y75" s="17"/>
      <c r="Z75" s="14" t="e">
        <f t="shared" si="16"/>
        <v>#N/A</v>
      </c>
      <c r="AA75" s="18"/>
      <c r="AB75" s="13"/>
      <c r="AC75" s="19"/>
      <c r="AD75" s="20"/>
      <c r="AE75" s="19"/>
      <c r="AF75" s="21"/>
      <c r="AG75" s="22" t="str">
        <f t="shared" si="17"/>
        <v>FALSE</v>
      </c>
      <c r="AH75" s="23" t="str">
        <f t="shared" si="18"/>
        <v xml:space="preserve">   -   </v>
      </c>
    </row>
    <row r="76" spans="1:34" ht="22.35" customHeight="1">
      <c r="A76" s="7"/>
      <c r="B76" s="7"/>
      <c r="C76" s="7"/>
      <c r="D76" s="7"/>
      <c r="E76" s="7"/>
      <c r="F76" s="8"/>
      <c r="G76" s="9"/>
      <c r="H76" s="10"/>
      <c r="I76" s="9"/>
      <c r="J76" s="9"/>
      <c r="K76" s="11" t="str">
        <f t="shared" ca="1" si="12"/>
        <v/>
      </c>
      <c r="L76" s="12"/>
      <c r="M76" s="12"/>
      <c r="N76" s="12"/>
      <c r="O76" s="9"/>
      <c r="P76" s="9"/>
      <c r="Q76" s="13" t="e">
        <f>VLOOKUP(O76, '[1]لیست محصولات اردیبهشت ۱۴۰۳'!B:C,2,0)</f>
        <v>#N/A</v>
      </c>
      <c r="R76" s="9"/>
      <c r="S76" s="12" t="e">
        <f>VLOOKUP(O76, '[1]لیست محصولات اردیبهشت ۱۴۰۳'!B:F,5,0)</f>
        <v>#N/A</v>
      </c>
      <c r="T76" s="14" t="e">
        <f>VLOOKUP(O76, '[1]لیست محصولات اردیبهشت ۱۴۰۳'!B:G,6,0)</f>
        <v>#N/A</v>
      </c>
      <c r="U76" s="15"/>
      <c r="V76" s="16">
        <f t="shared" si="13"/>
        <v>0</v>
      </c>
      <c r="W76" s="12">
        <f t="shared" si="14"/>
        <v>0</v>
      </c>
      <c r="X76" s="14" t="e">
        <f t="shared" si="15"/>
        <v>#N/A</v>
      </c>
      <c r="Y76" s="17"/>
      <c r="Z76" s="14" t="e">
        <f t="shared" si="16"/>
        <v>#N/A</v>
      </c>
      <c r="AA76" s="18"/>
      <c r="AB76" s="13"/>
      <c r="AC76" s="19"/>
      <c r="AD76" s="20"/>
      <c r="AE76" s="19"/>
      <c r="AF76" s="21"/>
      <c r="AG76" s="22" t="str">
        <f t="shared" si="17"/>
        <v>FALSE</v>
      </c>
      <c r="AH76" s="23" t="str">
        <f t="shared" si="18"/>
        <v xml:space="preserve">   -   </v>
      </c>
    </row>
    <row r="77" spans="1:34" ht="22.35" customHeight="1">
      <c r="A77" s="7"/>
      <c r="B77" s="7"/>
      <c r="C77" s="7"/>
      <c r="D77" s="7"/>
      <c r="E77" s="7"/>
      <c r="F77" s="8"/>
      <c r="G77" s="9"/>
      <c r="H77" s="10"/>
      <c r="I77" s="9"/>
      <c r="J77" s="9"/>
      <c r="K77" s="11" t="str">
        <f t="shared" ca="1" si="12"/>
        <v/>
      </c>
      <c r="L77" s="12"/>
      <c r="M77" s="12"/>
      <c r="N77" s="12"/>
      <c r="O77" s="9"/>
      <c r="P77" s="9"/>
      <c r="Q77" s="13" t="e">
        <f>VLOOKUP(O77, '[1]لیست محصولات اردیبهشت ۱۴۰۳'!B:C,2,0)</f>
        <v>#N/A</v>
      </c>
      <c r="R77" s="9"/>
      <c r="S77" s="12" t="e">
        <f>VLOOKUP(O77, '[1]لیست محصولات اردیبهشت ۱۴۰۳'!B:F,5,0)</f>
        <v>#N/A</v>
      </c>
      <c r="T77" s="14" t="e">
        <f>VLOOKUP(O77, '[1]لیست محصولات اردیبهشت ۱۴۰۳'!B:G,6,0)</f>
        <v>#N/A</v>
      </c>
      <c r="U77" s="15"/>
      <c r="V77" s="16">
        <f t="shared" si="13"/>
        <v>0</v>
      </c>
      <c r="W77" s="12">
        <f t="shared" si="14"/>
        <v>0</v>
      </c>
      <c r="X77" s="14" t="e">
        <f t="shared" si="15"/>
        <v>#N/A</v>
      </c>
      <c r="Y77" s="17"/>
      <c r="Z77" s="14" t="e">
        <f t="shared" si="16"/>
        <v>#N/A</v>
      </c>
      <c r="AA77" s="18"/>
      <c r="AB77" s="13"/>
      <c r="AC77" s="19"/>
      <c r="AD77" s="20"/>
      <c r="AE77" s="19"/>
      <c r="AF77" s="21"/>
      <c r="AG77" s="22" t="str">
        <f t="shared" si="17"/>
        <v>FALSE</v>
      </c>
      <c r="AH77" s="23" t="str">
        <f t="shared" si="18"/>
        <v xml:space="preserve">   -   </v>
      </c>
    </row>
    <row r="78" spans="1:34" ht="22.35" customHeight="1">
      <c r="A78" s="7"/>
      <c r="B78" s="7"/>
      <c r="C78" s="7"/>
      <c r="D78" s="7"/>
      <c r="E78" s="7"/>
      <c r="F78" s="8"/>
      <c r="G78" s="9"/>
      <c r="H78" s="10"/>
      <c r="I78" s="9"/>
      <c r="J78" s="9"/>
      <c r="K78" s="11" t="str">
        <f t="shared" ca="1" si="12"/>
        <v/>
      </c>
      <c r="L78" s="12"/>
      <c r="M78" s="12"/>
      <c r="N78" s="12"/>
      <c r="O78" s="9"/>
      <c r="P78" s="9"/>
      <c r="Q78" s="13" t="e">
        <f>VLOOKUP(O78, '[1]لیست محصولات اردیبهشت ۱۴۰۳'!B:C,2,0)</f>
        <v>#N/A</v>
      </c>
      <c r="R78" s="9"/>
      <c r="S78" s="12" t="e">
        <f>VLOOKUP(O78, '[1]لیست محصولات اردیبهشت ۱۴۰۳'!B:F,5,0)</f>
        <v>#N/A</v>
      </c>
      <c r="T78" s="14" t="e">
        <f>VLOOKUP(O78, '[1]لیست محصولات اردیبهشت ۱۴۰۳'!B:G,6,0)</f>
        <v>#N/A</v>
      </c>
      <c r="U78" s="15"/>
      <c r="V78" s="16">
        <f t="shared" si="13"/>
        <v>0</v>
      </c>
      <c r="W78" s="12">
        <f t="shared" si="14"/>
        <v>0</v>
      </c>
      <c r="X78" s="14" t="e">
        <f t="shared" si="15"/>
        <v>#N/A</v>
      </c>
      <c r="Y78" s="17"/>
      <c r="Z78" s="14" t="e">
        <f t="shared" si="16"/>
        <v>#N/A</v>
      </c>
      <c r="AA78" s="18"/>
      <c r="AB78" s="13"/>
      <c r="AC78" s="19"/>
      <c r="AD78" s="20"/>
      <c r="AE78" s="19"/>
      <c r="AF78" s="21"/>
      <c r="AG78" s="22" t="str">
        <f t="shared" si="17"/>
        <v>FALSE</v>
      </c>
      <c r="AH78" s="23" t="str">
        <f t="shared" si="18"/>
        <v xml:space="preserve">   -   </v>
      </c>
    </row>
    <row r="79" spans="1:34" ht="22.35" customHeight="1">
      <c r="A79" s="7"/>
      <c r="B79" s="7"/>
      <c r="C79" s="7"/>
      <c r="D79" s="7"/>
      <c r="E79" s="7"/>
      <c r="F79" s="8"/>
      <c r="G79" s="9"/>
      <c r="H79" s="10"/>
      <c r="I79" s="9"/>
      <c r="J79" s="9"/>
      <c r="K79" s="11" t="str">
        <f t="shared" ca="1" si="12"/>
        <v/>
      </c>
      <c r="L79" s="12"/>
      <c r="M79" s="12"/>
      <c r="N79" s="12"/>
      <c r="O79" s="9"/>
      <c r="P79" s="9"/>
      <c r="Q79" s="13" t="e">
        <f>VLOOKUP(O79, '[1]لیست محصولات اردیبهشت ۱۴۰۳'!B:C,2,0)</f>
        <v>#N/A</v>
      </c>
      <c r="R79" s="9"/>
      <c r="S79" s="12" t="e">
        <f>VLOOKUP(O79, '[1]لیست محصولات اردیبهشت ۱۴۰۳'!B:F,5,0)</f>
        <v>#N/A</v>
      </c>
      <c r="T79" s="14" t="e">
        <f>VLOOKUP(O79, '[1]لیست محصولات اردیبهشت ۱۴۰۳'!B:G,6,0)</f>
        <v>#N/A</v>
      </c>
      <c r="U79" s="15"/>
      <c r="V79" s="16">
        <f t="shared" si="13"/>
        <v>0</v>
      </c>
      <c r="W79" s="12">
        <f t="shared" si="14"/>
        <v>0</v>
      </c>
      <c r="X79" s="14" t="e">
        <f t="shared" si="15"/>
        <v>#N/A</v>
      </c>
      <c r="Y79" s="17"/>
      <c r="Z79" s="14" t="e">
        <f t="shared" si="16"/>
        <v>#N/A</v>
      </c>
      <c r="AA79" s="18"/>
      <c r="AB79" s="13"/>
      <c r="AC79" s="19"/>
      <c r="AD79" s="20"/>
      <c r="AE79" s="19"/>
      <c r="AF79" s="21"/>
      <c r="AG79" s="22" t="str">
        <f t="shared" si="17"/>
        <v>FALSE</v>
      </c>
      <c r="AH79" s="23" t="str">
        <f t="shared" si="18"/>
        <v xml:space="preserve">   -   </v>
      </c>
    </row>
    <row r="80" spans="1:34" ht="22.35" customHeight="1">
      <c r="A80" s="7"/>
      <c r="B80" s="7"/>
      <c r="C80" s="7"/>
      <c r="D80" s="7"/>
      <c r="E80" s="7"/>
      <c r="F80" s="8"/>
      <c r="G80" s="9"/>
      <c r="H80" s="10"/>
      <c r="I80" s="9"/>
      <c r="J80" s="9"/>
      <c r="K80" s="11" t="str">
        <f t="shared" ca="1" si="12"/>
        <v/>
      </c>
      <c r="L80" s="12"/>
      <c r="M80" s="12"/>
      <c r="N80" s="12"/>
      <c r="O80" s="9"/>
      <c r="P80" s="9"/>
      <c r="Q80" s="13" t="e">
        <f>VLOOKUP(O80, '[1]لیست محصولات اردیبهشت ۱۴۰۳'!B:C,2,0)</f>
        <v>#N/A</v>
      </c>
      <c r="R80" s="9"/>
      <c r="S80" s="12" t="e">
        <f>VLOOKUP(O80, '[1]لیست محصولات اردیبهشت ۱۴۰۳'!B:F,5,0)</f>
        <v>#N/A</v>
      </c>
      <c r="T80" s="14" t="e">
        <f>VLOOKUP(O80, '[1]لیست محصولات اردیبهشت ۱۴۰۳'!B:G,6,0)</f>
        <v>#N/A</v>
      </c>
      <c r="U80" s="15"/>
      <c r="V80" s="16">
        <f t="shared" si="13"/>
        <v>0</v>
      </c>
      <c r="W80" s="12">
        <f t="shared" si="14"/>
        <v>0</v>
      </c>
      <c r="X80" s="14" t="e">
        <f t="shared" si="15"/>
        <v>#N/A</v>
      </c>
      <c r="Y80" s="17"/>
      <c r="Z80" s="14" t="e">
        <f t="shared" si="16"/>
        <v>#N/A</v>
      </c>
      <c r="AA80" s="18"/>
      <c r="AB80" s="13"/>
      <c r="AC80" s="19"/>
      <c r="AD80" s="20"/>
      <c r="AE80" s="19"/>
      <c r="AF80" s="21"/>
      <c r="AG80" s="22" t="str">
        <f t="shared" si="17"/>
        <v>FALSE</v>
      </c>
      <c r="AH80" s="23" t="str">
        <f t="shared" si="18"/>
        <v xml:space="preserve">   -   </v>
      </c>
    </row>
    <row r="81" spans="1:34" ht="22.35" customHeight="1">
      <c r="A81" s="7"/>
      <c r="B81" s="7"/>
      <c r="C81" s="7"/>
      <c r="D81" s="7"/>
      <c r="E81" s="7"/>
      <c r="F81" s="8"/>
      <c r="G81" s="9"/>
      <c r="H81" s="10"/>
      <c r="I81" s="9"/>
      <c r="J81" s="9"/>
      <c r="K81" s="11" t="str">
        <f t="shared" ca="1" si="12"/>
        <v/>
      </c>
      <c r="L81" s="12"/>
      <c r="M81" s="12"/>
      <c r="N81" s="12"/>
      <c r="O81" s="9"/>
      <c r="P81" s="9"/>
      <c r="Q81" s="13" t="e">
        <f>VLOOKUP(O81, '[1]لیست محصولات اردیبهشت ۱۴۰۳'!B:C,2,0)</f>
        <v>#N/A</v>
      </c>
      <c r="R81" s="9"/>
      <c r="S81" s="12" t="e">
        <f>VLOOKUP(O81, '[1]لیست محصولات اردیبهشت ۱۴۰۳'!B:F,5,0)</f>
        <v>#N/A</v>
      </c>
      <c r="T81" s="14" t="e">
        <f>VLOOKUP(O81, '[1]لیست محصولات اردیبهشت ۱۴۰۳'!B:G,6,0)</f>
        <v>#N/A</v>
      </c>
      <c r="U81" s="15"/>
      <c r="V81" s="16">
        <f t="shared" si="13"/>
        <v>0</v>
      </c>
      <c r="W81" s="12">
        <f t="shared" si="14"/>
        <v>0</v>
      </c>
      <c r="X81" s="14" t="e">
        <f t="shared" si="15"/>
        <v>#N/A</v>
      </c>
      <c r="Y81" s="17"/>
      <c r="Z81" s="14" t="e">
        <f t="shared" si="16"/>
        <v>#N/A</v>
      </c>
      <c r="AA81" s="18"/>
      <c r="AB81" s="13"/>
      <c r="AC81" s="19"/>
      <c r="AD81" s="20"/>
      <c r="AE81" s="19"/>
      <c r="AF81" s="21"/>
      <c r="AG81" s="22" t="str">
        <f t="shared" si="17"/>
        <v>FALSE</v>
      </c>
      <c r="AH81" s="23" t="str">
        <f t="shared" si="18"/>
        <v xml:space="preserve">   -   </v>
      </c>
    </row>
    <row r="82" spans="1:34" ht="22.35" customHeight="1">
      <c r="A82" s="7"/>
      <c r="B82" s="7"/>
      <c r="C82" s="7"/>
      <c r="D82" s="7"/>
      <c r="E82" s="7" t="b">
        <v>0</v>
      </c>
      <c r="F82" s="8"/>
      <c r="G82" s="9"/>
      <c r="H82" s="10"/>
      <c r="I82" s="9"/>
      <c r="J82" s="9"/>
      <c r="K82" s="11" t="str">
        <f t="shared" ca="1" si="12"/>
        <v/>
      </c>
      <c r="L82" s="12"/>
      <c r="M82" s="12"/>
      <c r="N82" s="12"/>
      <c r="O82" s="9"/>
      <c r="P82" s="9"/>
      <c r="Q82" s="13" t="e">
        <f>VLOOKUP(O82, '[1]لیست محصولات اردیبهشت ۱۴۰۳'!B:C,2,0)</f>
        <v>#N/A</v>
      </c>
      <c r="R82" s="9"/>
      <c r="S82" s="12" t="e">
        <f>VLOOKUP(O82, '[1]لیست محصولات اردیبهشت ۱۴۰۳'!B:F,5,0)</f>
        <v>#N/A</v>
      </c>
      <c r="T82" s="14" t="e">
        <f>VLOOKUP(O82, '[1]لیست محصولات اردیبهشت ۱۴۰۳'!B:G,6,0)</f>
        <v>#N/A</v>
      </c>
      <c r="U82" s="15"/>
      <c r="V82" s="16">
        <f t="shared" si="13"/>
        <v>0</v>
      </c>
      <c r="W82" s="12">
        <f t="shared" si="14"/>
        <v>0</v>
      </c>
      <c r="X82" s="14" t="e">
        <f t="shared" si="15"/>
        <v>#N/A</v>
      </c>
      <c r="Y82" s="17"/>
      <c r="Z82" s="14" t="e">
        <f t="shared" si="16"/>
        <v>#N/A</v>
      </c>
      <c r="AA82" s="18"/>
      <c r="AB82" s="13"/>
      <c r="AC82" s="19"/>
      <c r="AD82" s="20"/>
      <c r="AE82" s="19"/>
      <c r="AF82" s="21"/>
      <c r="AG82" s="22" t="str">
        <f t="shared" si="17"/>
        <v>FALSE</v>
      </c>
      <c r="AH82" s="23" t="str">
        <f t="shared" si="18"/>
        <v xml:space="preserve">   -   </v>
      </c>
    </row>
    <row r="83" spans="1:34" ht="22.35" customHeight="1">
      <c r="A83" s="7"/>
      <c r="B83" s="7"/>
      <c r="C83" s="7"/>
      <c r="D83" s="7"/>
      <c r="E83" s="7"/>
      <c r="F83" s="8"/>
      <c r="G83" s="9"/>
      <c r="H83" s="10"/>
      <c r="I83" s="9"/>
      <c r="J83" s="9"/>
      <c r="K83" s="11" t="str">
        <f t="shared" ca="1" si="12"/>
        <v/>
      </c>
      <c r="L83" s="12"/>
      <c r="M83" s="12"/>
      <c r="N83" s="12"/>
      <c r="O83" s="9"/>
      <c r="P83" s="9"/>
      <c r="Q83" s="13" t="e">
        <f>VLOOKUP(O83, '[1]لیست محصولات اردیبهشت ۱۴۰۳'!B:C,2,0)</f>
        <v>#N/A</v>
      </c>
      <c r="R83" s="9"/>
      <c r="S83" s="12" t="e">
        <f>VLOOKUP(O83, '[1]لیست محصولات اردیبهشت ۱۴۰۳'!B:F,5,0)</f>
        <v>#N/A</v>
      </c>
      <c r="T83" s="14" t="e">
        <f>VLOOKUP(O83, '[1]لیست محصولات اردیبهشت ۱۴۰۳'!B:G,6,0)</f>
        <v>#N/A</v>
      </c>
      <c r="U83" s="15"/>
      <c r="V83" s="16">
        <f t="shared" si="13"/>
        <v>0</v>
      </c>
      <c r="W83" s="12">
        <f t="shared" si="14"/>
        <v>0</v>
      </c>
      <c r="X83" s="14" t="e">
        <f t="shared" si="15"/>
        <v>#N/A</v>
      </c>
      <c r="Y83" s="17"/>
      <c r="Z83" s="14" t="e">
        <f t="shared" si="16"/>
        <v>#N/A</v>
      </c>
      <c r="AA83" s="18"/>
      <c r="AB83" s="13"/>
      <c r="AC83" s="19"/>
      <c r="AD83" s="20"/>
      <c r="AE83" s="19"/>
      <c r="AF83" s="21"/>
      <c r="AG83" s="22" t="str">
        <f t="shared" si="17"/>
        <v>FALSE</v>
      </c>
      <c r="AH83" s="23" t="str">
        <f t="shared" si="18"/>
        <v xml:space="preserve">   -   </v>
      </c>
    </row>
    <row r="84" spans="1:34" ht="22.35" customHeight="1">
      <c r="A84" s="7"/>
      <c r="B84" s="7"/>
      <c r="C84" s="7"/>
      <c r="D84" s="7"/>
      <c r="E84" s="7"/>
      <c r="F84" s="8"/>
      <c r="G84" s="9"/>
      <c r="H84" s="10"/>
      <c r="I84" s="9"/>
      <c r="J84" s="9"/>
      <c r="K84" s="11" t="str">
        <f t="shared" ca="1" si="12"/>
        <v/>
      </c>
      <c r="L84" s="12"/>
      <c r="M84" s="12"/>
      <c r="N84" s="12"/>
      <c r="O84" s="9"/>
      <c r="P84" s="9"/>
      <c r="Q84" s="13" t="e">
        <f>VLOOKUP(O84, '[1]لیست محصولات اردیبهشت ۱۴۰۳'!B:C,2,0)</f>
        <v>#N/A</v>
      </c>
      <c r="R84" s="9"/>
      <c r="S84" s="12" t="e">
        <f>VLOOKUP(O84, '[1]لیست محصولات اردیبهشت ۱۴۰۳'!B:F,5,0)</f>
        <v>#N/A</v>
      </c>
      <c r="T84" s="14" t="e">
        <f>VLOOKUP(O84, '[1]لیست محصولات اردیبهشت ۱۴۰۳'!B:G,6,0)</f>
        <v>#N/A</v>
      </c>
      <c r="U84" s="15"/>
      <c r="V84" s="16">
        <f t="shared" si="13"/>
        <v>0</v>
      </c>
      <c r="W84" s="12">
        <f t="shared" si="14"/>
        <v>0</v>
      </c>
      <c r="X84" s="14" t="e">
        <f t="shared" si="15"/>
        <v>#N/A</v>
      </c>
      <c r="Y84" s="17"/>
      <c r="Z84" s="14" t="e">
        <f t="shared" si="16"/>
        <v>#N/A</v>
      </c>
      <c r="AA84" s="18"/>
      <c r="AB84" s="13"/>
      <c r="AC84" s="19"/>
      <c r="AD84" s="20"/>
      <c r="AE84" s="19"/>
      <c r="AF84" s="21"/>
      <c r="AG84" s="22" t="str">
        <f t="shared" si="17"/>
        <v>FALSE</v>
      </c>
      <c r="AH84" s="23" t="str">
        <f t="shared" si="18"/>
        <v xml:space="preserve">   -   </v>
      </c>
    </row>
    <row r="85" spans="1:34" ht="22.35" customHeight="1">
      <c r="A85" s="7"/>
      <c r="B85" s="7"/>
      <c r="C85" s="7"/>
      <c r="D85" s="7"/>
      <c r="E85" s="7"/>
      <c r="F85" s="8"/>
      <c r="G85" s="9"/>
      <c r="H85" s="10"/>
      <c r="I85" s="9"/>
      <c r="J85" s="9"/>
      <c r="K85" s="11" t="str">
        <f t="shared" ca="1" si="12"/>
        <v/>
      </c>
      <c r="L85" s="12"/>
      <c r="M85" s="12"/>
      <c r="N85" s="12"/>
      <c r="O85" s="9"/>
      <c r="P85" s="9"/>
      <c r="Q85" s="13" t="e">
        <f>VLOOKUP(O85, '[1]لیست محصولات اردیبهشت ۱۴۰۳'!B:C,2,0)</f>
        <v>#N/A</v>
      </c>
      <c r="R85" s="9"/>
      <c r="S85" s="12" t="e">
        <f>VLOOKUP(O85, '[1]لیست محصولات اردیبهشت ۱۴۰۳'!B:F,5,0)</f>
        <v>#N/A</v>
      </c>
      <c r="T85" s="14" t="e">
        <f>VLOOKUP(O85, '[1]لیست محصولات اردیبهشت ۱۴۰۳'!B:G,6,0)</f>
        <v>#N/A</v>
      </c>
      <c r="U85" s="15"/>
      <c r="V85" s="16">
        <f t="shared" si="13"/>
        <v>0</v>
      </c>
      <c r="W85" s="12">
        <f t="shared" si="14"/>
        <v>0</v>
      </c>
      <c r="X85" s="14" t="e">
        <f t="shared" si="15"/>
        <v>#N/A</v>
      </c>
      <c r="Y85" s="17"/>
      <c r="Z85" s="14" t="e">
        <f t="shared" si="16"/>
        <v>#N/A</v>
      </c>
      <c r="AA85" s="18"/>
      <c r="AB85" s="13"/>
      <c r="AC85" s="19"/>
      <c r="AD85" s="20"/>
      <c r="AE85" s="19"/>
      <c r="AF85" s="21"/>
      <c r="AG85" s="22" t="str">
        <f t="shared" si="17"/>
        <v>FALSE</v>
      </c>
      <c r="AH85" s="23" t="str">
        <f t="shared" si="18"/>
        <v xml:space="preserve">   -   </v>
      </c>
    </row>
    <row r="86" spans="1:34" ht="22.35" customHeight="1">
      <c r="A86" s="7"/>
      <c r="B86" s="7"/>
      <c r="C86" s="7"/>
      <c r="D86" s="7"/>
      <c r="E86" s="7"/>
      <c r="F86" s="8"/>
      <c r="G86" s="9"/>
      <c r="H86" s="10"/>
      <c r="I86" s="9"/>
      <c r="J86" s="9"/>
      <c r="K86" s="11" t="str">
        <f t="shared" ca="1" si="12"/>
        <v/>
      </c>
      <c r="L86" s="12"/>
      <c r="M86" s="12"/>
      <c r="N86" s="12"/>
      <c r="O86" s="9"/>
      <c r="P86" s="9"/>
      <c r="Q86" s="13" t="e">
        <f>VLOOKUP(O86, '[1]لیست محصولات اردیبهشت ۱۴۰۳'!B:C,2,0)</f>
        <v>#N/A</v>
      </c>
      <c r="R86" s="9"/>
      <c r="S86" s="12" t="e">
        <f>VLOOKUP(O86, '[1]لیست محصولات اردیبهشت ۱۴۰۳'!B:F,5,0)</f>
        <v>#N/A</v>
      </c>
      <c r="T86" s="14" t="e">
        <f>VLOOKUP(O86, '[1]لیست محصولات اردیبهشت ۱۴۰۳'!B:G,6,0)</f>
        <v>#N/A</v>
      </c>
      <c r="U86" s="15"/>
      <c r="V86" s="16">
        <f t="shared" si="13"/>
        <v>0</v>
      </c>
      <c r="W86" s="12">
        <f t="shared" si="14"/>
        <v>0</v>
      </c>
      <c r="X86" s="14" t="e">
        <f t="shared" si="15"/>
        <v>#N/A</v>
      </c>
      <c r="Y86" s="17"/>
      <c r="Z86" s="14" t="e">
        <f t="shared" si="16"/>
        <v>#N/A</v>
      </c>
      <c r="AA86" s="18"/>
      <c r="AB86" s="13"/>
      <c r="AC86" s="19"/>
      <c r="AD86" s="20"/>
      <c r="AE86" s="19"/>
      <c r="AF86" s="21"/>
      <c r="AG86" s="22" t="str">
        <f t="shared" si="17"/>
        <v>FALSE</v>
      </c>
      <c r="AH86" s="23" t="str">
        <f t="shared" si="18"/>
        <v xml:space="preserve">   -   </v>
      </c>
    </row>
    <row r="87" spans="1:34" ht="22.35" customHeight="1">
      <c r="A87" s="7" t="b">
        <v>0</v>
      </c>
      <c r="B87" s="7"/>
      <c r="C87" s="7" t="b">
        <v>0</v>
      </c>
      <c r="D87" s="7"/>
      <c r="E87" s="7" t="b">
        <v>0</v>
      </c>
      <c r="F87" s="8"/>
      <c r="G87" s="9"/>
      <c r="H87" s="10"/>
      <c r="I87" s="9"/>
      <c r="J87" s="9"/>
      <c r="K87" s="11" t="str">
        <f t="shared" ca="1" si="12"/>
        <v/>
      </c>
      <c r="L87" s="12"/>
      <c r="M87" s="12"/>
      <c r="N87" s="12"/>
      <c r="O87" s="9"/>
      <c r="P87" s="9"/>
      <c r="Q87" s="13" t="e">
        <f>VLOOKUP(O87, '[1]لیست محصولات اردیبهشت ۱۴۰۳'!B:C,2,0)</f>
        <v>#N/A</v>
      </c>
      <c r="R87" s="9"/>
      <c r="S87" s="12" t="e">
        <f>VLOOKUP(O87, '[1]لیست محصولات اردیبهشت ۱۴۰۳'!B:F,5,0)</f>
        <v>#N/A</v>
      </c>
      <c r="T87" s="14" t="e">
        <f>VLOOKUP(O87, '[1]لیست محصولات اردیبهشت ۱۴۰۳'!B:G,6,0)</f>
        <v>#N/A</v>
      </c>
      <c r="U87" s="15"/>
      <c r="V87" s="16">
        <f t="shared" si="13"/>
        <v>0</v>
      </c>
      <c r="W87" s="12">
        <f t="shared" si="14"/>
        <v>0</v>
      </c>
      <c r="X87" s="14" t="e">
        <f t="shared" si="15"/>
        <v>#N/A</v>
      </c>
      <c r="Y87" s="17"/>
      <c r="Z87" s="14" t="e">
        <f t="shared" si="16"/>
        <v>#N/A</v>
      </c>
      <c r="AA87" s="18"/>
      <c r="AB87" s="13"/>
      <c r="AC87" s="19"/>
      <c r="AD87" s="20"/>
      <c r="AE87" s="19"/>
      <c r="AF87" s="21"/>
      <c r="AG87" s="22" t="str">
        <f t="shared" si="17"/>
        <v>FALSE</v>
      </c>
      <c r="AH87" s="23" t="str">
        <f t="shared" si="18"/>
        <v xml:space="preserve">   -   </v>
      </c>
    </row>
    <row r="88" spans="1:34" ht="22.35" customHeight="1">
      <c r="A88" s="7"/>
      <c r="B88" s="7"/>
      <c r="C88" s="7"/>
      <c r="D88" s="7"/>
      <c r="E88" s="7"/>
      <c r="F88" s="8"/>
      <c r="G88" s="9"/>
      <c r="H88" s="10"/>
      <c r="I88" s="9"/>
      <c r="J88" s="9"/>
      <c r="K88" s="11"/>
      <c r="L88" s="12"/>
      <c r="M88" s="12"/>
      <c r="N88" s="12"/>
      <c r="O88" s="9"/>
      <c r="P88" s="9"/>
      <c r="Q88" s="13" t="e">
        <f>VLOOKUP(O88, '[1]لیست محصولات اردیبهشت ۱۴۰۳'!B:C,2,0)</f>
        <v>#N/A</v>
      </c>
      <c r="R88" s="9"/>
      <c r="S88" s="12" t="e">
        <f>VLOOKUP(O88, '[1]لیست محصولات اردیبهشت ۱۴۰۳'!B:F,5,0)</f>
        <v>#N/A</v>
      </c>
      <c r="T88" s="14" t="e">
        <f>VLOOKUP(O88, '[1]لیست محصولات اردیبهشت ۱۴۰۳'!B:G,6,0)</f>
        <v>#N/A</v>
      </c>
      <c r="U88" s="15"/>
      <c r="V88" s="16">
        <f t="shared" si="13"/>
        <v>0</v>
      </c>
      <c r="W88" s="12">
        <f t="shared" si="14"/>
        <v>0</v>
      </c>
      <c r="X88" s="14" t="e">
        <f t="shared" si="15"/>
        <v>#N/A</v>
      </c>
      <c r="Y88" s="17"/>
      <c r="Z88" s="14" t="e">
        <f t="shared" si="16"/>
        <v>#N/A</v>
      </c>
      <c r="AA88" s="18"/>
      <c r="AB88" s="13"/>
      <c r="AC88" s="19"/>
      <c r="AD88" s="20"/>
      <c r="AE88" s="19"/>
      <c r="AF88" s="21"/>
      <c r="AG88" s="22"/>
      <c r="AH88" s="23" t="str">
        <f t="shared" si="18"/>
        <v xml:space="preserve">   -   </v>
      </c>
    </row>
    <row r="89" spans="1:34" ht="22.35" customHeight="1">
      <c r="A89" s="7"/>
      <c r="B89" s="7"/>
      <c r="C89" s="7"/>
      <c r="D89" s="7"/>
      <c r="E89" s="7"/>
      <c r="F89" s="8"/>
      <c r="G89" s="9"/>
      <c r="H89" s="10"/>
      <c r="I89" s="9"/>
      <c r="J89" s="9"/>
      <c r="K89" s="11"/>
      <c r="L89" s="12"/>
      <c r="M89" s="12"/>
      <c r="N89" s="12"/>
      <c r="O89" s="9"/>
      <c r="P89" s="9"/>
      <c r="Q89" s="13" t="e">
        <f>VLOOKUP(O89, '[1]لیست محصولات اردیبهشت ۱۴۰۳'!B:C,2,0)</f>
        <v>#N/A</v>
      </c>
      <c r="R89" s="9"/>
      <c r="S89" s="12" t="e">
        <f>VLOOKUP(O89, '[1]لیست محصولات اردیبهشت ۱۴۰۳'!B:F,5,0)</f>
        <v>#N/A</v>
      </c>
      <c r="T89" s="14" t="e">
        <f>VLOOKUP(O89, '[1]لیست محصولات اردیبهشت ۱۴۰۳'!B:G,6,0)</f>
        <v>#N/A</v>
      </c>
      <c r="U89" s="15"/>
      <c r="V89" s="16">
        <f t="shared" si="13"/>
        <v>0</v>
      </c>
      <c r="W89" s="12">
        <f t="shared" si="14"/>
        <v>0</v>
      </c>
      <c r="X89" s="14" t="e">
        <f t="shared" si="15"/>
        <v>#N/A</v>
      </c>
      <c r="Y89" s="17"/>
      <c r="Z89" s="14" t="e">
        <f t="shared" si="16"/>
        <v>#N/A</v>
      </c>
      <c r="AA89" s="18"/>
      <c r="AB89" s="13"/>
      <c r="AC89" s="19"/>
      <c r="AD89" s="20"/>
      <c r="AE89" s="19"/>
      <c r="AF89" s="21"/>
      <c r="AG89" s="22"/>
      <c r="AH89" s="23" t="str">
        <f t="shared" si="18"/>
        <v xml:space="preserve">   -   </v>
      </c>
    </row>
    <row r="90" spans="1:34" ht="22.35" customHeight="1">
      <c r="A90" s="7"/>
      <c r="B90" s="7"/>
      <c r="C90" s="7"/>
      <c r="D90" s="7"/>
      <c r="E90" s="7"/>
      <c r="F90" s="8"/>
      <c r="G90" s="9"/>
      <c r="H90" s="10"/>
      <c r="I90" s="9"/>
      <c r="J90" s="9"/>
      <c r="K90" s="11"/>
      <c r="L90" s="12"/>
      <c r="M90" s="12"/>
      <c r="N90" s="12"/>
      <c r="O90" s="9"/>
      <c r="P90" s="9"/>
      <c r="Q90" s="13" t="e">
        <f>VLOOKUP(O90, '[1]لیست محصولات اردیبهشت ۱۴۰۳'!B:C,2,0)</f>
        <v>#N/A</v>
      </c>
      <c r="R90" s="9"/>
      <c r="S90" s="12" t="e">
        <f>VLOOKUP(O90, '[1]لیست محصولات اردیبهشت ۱۴۰۳'!B:F,5,0)</f>
        <v>#N/A</v>
      </c>
      <c r="T90" s="14" t="e">
        <f>VLOOKUP(O90, '[1]لیست محصولات اردیبهشت ۱۴۰۳'!B:G,6,0)</f>
        <v>#N/A</v>
      </c>
      <c r="U90" s="15"/>
      <c r="V90" s="16">
        <f t="shared" si="13"/>
        <v>0</v>
      </c>
      <c r="W90" s="12">
        <f t="shared" si="14"/>
        <v>0</v>
      </c>
      <c r="X90" s="14" t="e">
        <f t="shared" si="15"/>
        <v>#N/A</v>
      </c>
      <c r="Y90" s="17"/>
      <c r="Z90" s="14" t="e">
        <f t="shared" si="16"/>
        <v>#N/A</v>
      </c>
      <c r="AA90" s="18"/>
      <c r="AB90" s="13"/>
      <c r="AC90" s="19"/>
      <c r="AD90" s="20"/>
      <c r="AE90" s="19"/>
      <c r="AF90" s="21"/>
      <c r="AG90" s="22"/>
      <c r="AH90" s="23" t="str">
        <f t="shared" si="18"/>
        <v xml:space="preserve">   -   </v>
      </c>
    </row>
    <row r="91" spans="1:34" ht="22.35" customHeight="1">
      <c r="A91" s="7"/>
      <c r="B91" s="7"/>
      <c r="C91" s="7"/>
      <c r="D91" s="7"/>
      <c r="E91" s="7"/>
      <c r="F91" s="8"/>
      <c r="G91" s="9"/>
      <c r="H91" s="10"/>
      <c r="I91" s="9"/>
      <c r="J91" s="9"/>
      <c r="K91" s="11"/>
      <c r="L91" s="12"/>
      <c r="M91" s="12"/>
      <c r="N91" s="12"/>
      <c r="O91" s="9"/>
      <c r="P91" s="9"/>
      <c r="Q91" s="13" t="e">
        <f>VLOOKUP(O91, '[1]لیست محصولات اردیبهشت ۱۴۰۳'!B:C,2,0)</f>
        <v>#N/A</v>
      </c>
      <c r="R91" s="9"/>
      <c r="S91" s="12" t="e">
        <f>VLOOKUP(O91, '[1]لیست محصولات اردیبهشت ۱۴۰۳'!B:F,5,0)</f>
        <v>#N/A</v>
      </c>
      <c r="T91" s="14" t="e">
        <f>VLOOKUP(O91, '[1]لیست محصولات اردیبهشت ۱۴۰۳'!B:G,6,0)</f>
        <v>#N/A</v>
      </c>
      <c r="U91" s="15"/>
      <c r="V91" s="16">
        <f t="shared" si="13"/>
        <v>0</v>
      </c>
      <c r="W91" s="12">
        <f t="shared" si="14"/>
        <v>0</v>
      </c>
      <c r="X91" s="14" t="e">
        <f t="shared" si="15"/>
        <v>#N/A</v>
      </c>
      <c r="Y91" s="17"/>
      <c r="Z91" s="14" t="e">
        <f t="shared" si="16"/>
        <v>#N/A</v>
      </c>
      <c r="AA91" s="18"/>
      <c r="AB91" s="13"/>
      <c r="AC91" s="19"/>
      <c r="AD91" s="20"/>
      <c r="AE91" s="19"/>
      <c r="AF91" s="21"/>
      <c r="AG91" s="22"/>
      <c r="AH91" s="23" t="str">
        <f t="shared" si="18"/>
        <v xml:space="preserve">   -   </v>
      </c>
    </row>
    <row r="92" spans="1:34" ht="22.35" customHeight="1">
      <c r="A92" s="7"/>
      <c r="B92" s="7"/>
      <c r="C92" s="7"/>
      <c r="D92" s="7"/>
      <c r="E92" s="7"/>
      <c r="F92" s="8"/>
      <c r="G92" s="9"/>
      <c r="H92" s="10"/>
      <c r="I92" s="9"/>
      <c r="J92" s="9"/>
      <c r="K92" s="11"/>
      <c r="L92" s="12"/>
      <c r="M92" s="12"/>
      <c r="N92" s="12"/>
      <c r="O92" s="9"/>
      <c r="P92" s="9"/>
      <c r="Q92" s="13" t="e">
        <f>VLOOKUP(O92, '[1]لیست محصولات اردیبهشت ۱۴۰۳'!B:C,2,0)</f>
        <v>#N/A</v>
      </c>
      <c r="R92" s="9"/>
      <c r="S92" s="12" t="e">
        <f>VLOOKUP(O92, '[1]لیست محصولات اردیبهشت ۱۴۰۳'!B:F,5,0)</f>
        <v>#N/A</v>
      </c>
      <c r="T92" s="14" t="e">
        <f>VLOOKUP(O92, '[1]لیست محصولات اردیبهشت ۱۴۰۳'!B:G,6,0)</f>
        <v>#N/A</v>
      </c>
      <c r="U92" s="15"/>
      <c r="V92" s="16">
        <f t="shared" si="13"/>
        <v>0</v>
      </c>
      <c r="W92" s="12">
        <f t="shared" si="14"/>
        <v>0</v>
      </c>
      <c r="X92" s="14" t="e">
        <f t="shared" si="15"/>
        <v>#N/A</v>
      </c>
      <c r="Y92" s="17"/>
      <c r="Z92" s="14" t="e">
        <f t="shared" si="16"/>
        <v>#N/A</v>
      </c>
      <c r="AA92" s="18"/>
      <c r="AB92" s="13"/>
      <c r="AC92" s="19"/>
      <c r="AD92" s="20"/>
      <c r="AE92" s="19"/>
      <c r="AF92" s="21"/>
      <c r="AG92" s="22"/>
      <c r="AH92" s="23" t="str">
        <f t="shared" si="18"/>
        <v xml:space="preserve">   -   </v>
      </c>
    </row>
    <row r="93" spans="1:34" ht="22.35" customHeight="1">
      <c r="A93" s="7"/>
      <c r="B93" s="7"/>
      <c r="C93" s="7"/>
      <c r="D93" s="7"/>
      <c r="E93" s="7"/>
      <c r="F93" s="8"/>
      <c r="G93" s="9"/>
      <c r="H93" s="10"/>
      <c r="I93" s="9"/>
      <c r="J93" s="9"/>
      <c r="K93" s="11"/>
      <c r="L93" s="12"/>
      <c r="M93" s="12"/>
      <c r="N93" s="12"/>
      <c r="O93" s="9"/>
      <c r="P93" s="9"/>
      <c r="Q93" s="13" t="e">
        <f>VLOOKUP(O93, '[1]لیست محصولات اردیبهشت ۱۴۰۳'!B:C,2,0)</f>
        <v>#N/A</v>
      </c>
      <c r="R93" s="9"/>
      <c r="S93" s="12" t="e">
        <f>VLOOKUP(O93, '[1]لیست محصولات اردیبهشت ۱۴۰۳'!B:F,5,0)</f>
        <v>#N/A</v>
      </c>
      <c r="T93" s="14" t="e">
        <f>VLOOKUP(O93, '[1]لیست محصولات اردیبهشت ۱۴۰۳'!B:G,6,0)</f>
        <v>#N/A</v>
      </c>
      <c r="U93" s="15"/>
      <c r="V93" s="16">
        <f t="shared" si="13"/>
        <v>0</v>
      </c>
      <c r="W93" s="12">
        <f t="shared" si="14"/>
        <v>0</v>
      </c>
      <c r="X93" s="14" t="e">
        <f t="shared" si="15"/>
        <v>#N/A</v>
      </c>
      <c r="Y93" s="17"/>
      <c r="Z93" s="14" t="e">
        <f t="shared" si="16"/>
        <v>#N/A</v>
      </c>
      <c r="AA93" s="18"/>
      <c r="AB93" s="13"/>
      <c r="AC93" s="19"/>
      <c r="AD93" s="20"/>
      <c r="AE93" s="19"/>
      <c r="AF93" s="21"/>
      <c r="AG93" s="22"/>
      <c r="AH93" s="23" t="str">
        <f t="shared" si="18"/>
        <v xml:space="preserve">   -   </v>
      </c>
    </row>
    <row r="94" spans="1:34" ht="22.35" customHeight="1">
      <c r="A94" s="7"/>
      <c r="B94" s="7"/>
      <c r="C94" s="7"/>
      <c r="D94" s="7"/>
      <c r="E94" s="7"/>
      <c r="F94" s="8"/>
      <c r="G94" s="9"/>
      <c r="H94" s="10"/>
      <c r="I94" s="9"/>
      <c r="J94" s="9"/>
      <c r="K94" s="11"/>
      <c r="L94" s="12"/>
      <c r="M94" s="12"/>
      <c r="N94" s="12"/>
      <c r="O94" s="9"/>
      <c r="P94" s="9"/>
      <c r="Q94" s="13" t="e">
        <f>VLOOKUP(O94, '[1]لیست محصولات اردیبهشت ۱۴۰۳'!B:C,2,0)</f>
        <v>#N/A</v>
      </c>
      <c r="R94" s="9"/>
      <c r="S94" s="12" t="e">
        <f>VLOOKUP(O94, '[1]لیست محصولات اردیبهشت ۱۴۰۳'!B:F,5,0)</f>
        <v>#N/A</v>
      </c>
      <c r="T94" s="14" t="e">
        <f>VLOOKUP(O94, '[1]لیست محصولات اردیبهشت ۱۴۰۳'!B:G,6,0)</f>
        <v>#N/A</v>
      </c>
      <c r="U94" s="15"/>
      <c r="V94" s="16">
        <f t="shared" si="13"/>
        <v>0</v>
      </c>
      <c r="W94" s="12">
        <f t="shared" si="14"/>
        <v>0</v>
      </c>
      <c r="X94" s="14" t="e">
        <f t="shared" si="15"/>
        <v>#N/A</v>
      </c>
      <c r="Y94" s="17"/>
      <c r="Z94" s="14" t="e">
        <f t="shared" si="16"/>
        <v>#N/A</v>
      </c>
      <c r="AA94" s="18"/>
      <c r="AB94" s="13"/>
      <c r="AC94" s="19"/>
      <c r="AD94" s="20"/>
      <c r="AE94" s="19"/>
      <c r="AF94" s="21"/>
      <c r="AG94" s="22"/>
      <c r="AH94" s="23" t="str">
        <f t="shared" si="18"/>
        <v xml:space="preserve">   -   </v>
      </c>
    </row>
    <row r="95" spans="1:34" ht="22.35" customHeight="1">
      <c r="A95" s="7"/>
      <c r="B95" s="7"/>
      <c r="C95" s="7"/>
      <c r="D95" s="7"/>
      <c r="E95" s="7"/>
      <c r="F95" s="8"/>
      <c r="G95" s="9"/>
      <c r="H95" s="10"/>
      <c r="I95" s="9"/>
      <c r="J95" s="9"/>
      <c r="K95" s="11"/>
      <c r="L95" s="12"/>
      <c r="M95" s="12"/>
      <c r="N95" s="12"/>
      <c r="O95" s="9"/>
      <c r="P95" s="9"/>
      <c r="Q95" s="13" t="e">
        <f>VLOOKUP(O95, '[1]لیست محصولات اردیبهشت ۱۴۰۳'!B:C,2,0)</f>
        <v>#N/A</v>
      </c>
      <c r="R95" s="9"/>
      <c r="S95" s="12" t="e">
        <f>VLOOKUP(O95, '[1]لیست محصولات اردیبهشت ۱۴۰۳'!B:F,5,0)</f>
        <v>#N/A</v>
      </c>
      <c r="T95" s="14" t="e">
        <f>VLOOKUP(O95, '[1]لیست محصولات اردیبهشت ۱۴۰۳'!B:G,6,0)</f>
        <v>#N/A</v>
      </c>
      <c r="U95" s="15"/>
      <c r="V95" s="16">
        <f t="shared" si="13"/>
        <v>0</v>
      </c>
      <c r="W95" s="12">
        <f t="shared" si="14"/>
        <v>0</v>
      </c>
      <c r="X95" s="14" t="e">
        <f t="shared" si="15"/>
        <v>#N/A</v>
      </c>
      <c r="Y95" s="17"/>
      <c r="Z95" s="14" t="e">
        <f t="shared" si="16"/>
        <v>#N/A</v>
      </c>
      <c r="AA95" s="18"/>
      <c r="AB95" s="13"/>
      <c r="AC95" s="19"/>
      <c r="AD95" s="20"/>
      <c r="AE95" s="19"/>
      <c r="AF95" s="21"/>
      <c r="AG95" s="22"/>
      <c r="AH95" s="23" t="str">
        <f t="shared" si="18"/>
        <v xml:space="preserve">   -   </v>
      </c>
    </row>
    <row r="96" spans="1:34" ht="22.35" customHeight="1">
      <c r="A96" s="7"/>
      <c r="B96" s="7"/>
      <c r="C96" s="7"/>
      <c r="D96" s="7"/>
      <c r="E96" s="7"/>
      <c r="F96" s="8"/>
      <c r="G96" s="9"/>
      <c r="H96" s="10"/>
      <c r="I96" s="9"/>
      <c r="J96" s="9"/>
      <c r="K96" s="11"/>
      <c r="L96" s="12"/>
      <c r="M96" s="12"/>
      <c r="N96" s="12"/>
      <c r="O96" s="9"/>
      <c r="P96" s="9"/>
      <c r="Q96" s="13" t="e">
        <f>VLOOKUP(O96, '[1]لیست محصولات اردیبهشت ۱۴۰۳'!B:C,2,0)</f>
        <v>#N/A</v>
      </c>
      <c r="R96" s="9"/>
      <c r="S96" s="12" t="e">
        <f>VLOOKUP(O96, '[1]لیست محصولات اردیبهشت ۱۴۰۳'!B:F,5,0)</f>
        <v>#N/A</v>
      </c>
      <c r="T96" s="14" t="e">
        <f>VLOOKUP(O96, '[1]لیست محصولات اردیبهشت ۱۴۰۳'!B:G,6,0)</f>
        <v>#N/A</v>
      </c>
      <c r="U96" s="15"/>
      <c r="V96" s="16">
        <f t="shared" si="13"/>
        <v>0</v>
      </c>
      <c r="W96" s="12">
        <f t="shared" si="14"/>
        <v>0</v>
      </c>
      <c r="X96" s="14" t="e">
        <f t="shared" si="15"/>
        <v>#N/A</v>
      </c>
      <c r="Y96" s="17"/>
      <c r="Z96" s="14" t="e">
        <f t="shared" si="16"/>
        <v>#N/A</v>
      </c>
      <c r="AA96" s="18"/>
      <c r="AB96" s="13"/>
      <c r="AC96" s="19"/>
      <c r="AD96" s="20"/>
      <c r="AE96" s="19"/>
      <c r="AF96" s="21"/>
      <c r="AG96" s="22"/>
      <c r="AH96" s="23" t="str">
        <f t="shared" si="18"/>
        <v xml:space="preserve">   -   </v>
      </c>
    </row>
    <row r="97" spans="1:34" ht="22.35" customHeight="1">
      <c r="A97" s="7"/>
      <c r="B97" s="7"/>
      <c r="C97" s="7"/>
      <c r="D97" s="7"/>
      <c r="E97" s="7"/>
      <c r="F97" s="8"/>
      <c r="G97" s="9"/>
      <c r="H97" s="10"/>
      <c r="I97" s="9"/>
      <c r="J97" s="9"/>
      <c r="K97" s="11"/>
      <c r="L97" s="12"/>
      <c r="M97" s="12"/>
      <c r="N97" s="12"/>
      <c r="O97" s="9"/>
      <c r="P97" s="9"/>
      <c r="Q97" s="13" t="e">
        <f>VLOOKUP(O97, '[1]لیست محصولات اردیبهشت ۱۴۰۳'!B:C,2,0)</f>
        <v>#N/A</v>
      </c>
      <c r="R97" s="9"/>
      <c r="S97" s="12" t="e">
        <f>VLOOKUP(O97, '[1]لیست محصولات اردیبهشت ۱۴۰۳'!B:F,5,0)</f>
        <v>#N/A</v>
      </c>
      <c r="T97" s="14" t="e">
        <f>VLOOKUP(O97, '[1]لیست محصولات اردیبهشت ۱۴۰۳'!B:G,6,0)</f>
        <v>#N/A</v>
      </c>
      <c r="U97" s="15"/>
      <c r="V97" s="16">
        <f t="shared" si="13"/>
        <v>0</v>
      </c>
      <c r="W97" s="12">
        <f t="shared" si="14"/>
        <v>0</v>
      </c>
      <c r="X97" s="14" t="e">
        <f t="shared" si="15"/>
        <v>#N/A</v>
      </c>
      <c r="Y97" s="17"/>
      <c r="Z97" s="14" t="e">
        <f t="shared" si="16"/>
        <v>#N/A</v>
      </c>
      <c r="AA97" s="18"/>
      <c r="AB97" s="13"/>
      <c r="AC97" s="19"/>
      <c r="AD97" s="20"/>
      <c r="AE97" s="19"/>
      <c r="AF97" s="21"/>
      <c r="AG97" s="22"/>
      <c r="AH97" s="23" t="str">
        <f t="shared" si="18"/>
        <v xml:space="preserve">   -   </v>
      </c>
    </row>
    <row r="98" spans="1:34" ht="22.35" customHeight="1">
      <c r="A98" s="7"/>
      <c r="B98" s="7"/>
      <c r="C98" s="7"/>
      <c r="D98" s="7"/>
      <c r="E98" s="7"/>
      <c r="F98" s="8"/>
      <c r="G98" s="9"/>
      <c r="H98" s="10"/>
      <c r="I98" s="9"/>
      <c r="J98" s="9"/>
      <c r="K98" s="11"/>
      <c r="L98" s="12"/>
      <c r="M98" s="12"/>
      <c r="N98" s="12"/>
      <c r="O98" s="9"/>
      <c r="P98" s="9"/>
      <c r="Q98" s="13" t="e">
        <f>VLOOKUP(O98, '[1]لیست محصولات اردیبهشت ۱۴۰۳'!B:C,2,0)</f>
        <v>#N/A</v>
      </c>
      <c r="R98" s="9"/>
      <c r="S98" s="12" t="e">
        <f>VLOOKUP(O98, '[1]لیست محصولات اردیبهشت ۱۴۰۳'!B:F,5,0)</f>
        <v>#N/A</v>
      </c>
      <c r="T98" s="14" t="e">
        <f>VLOOKUP(O98, '[1]لیست محصولات اردیبهشت ۱۴۰۳'!B:G,6,0)</f>
        <v>#N/A</v>
      </c>
      <c r="U98" s="15"/>
      <c r="V98" s="16">
        <f t="shared" si="13"/>
        <v>0</v>
      </c>
      <c r="W98" s="12">
        <f t="shared" si="14"/>
        <v>0</v>
      </c>
      <c r="X98" s="14" t="e">
        <f t="shared" si="15"/>
        <v>#N/A</v>
      </c>
      <c r="Y98" s="17"/>
      <c r="Z98" s="14" t="e">
        <f t="shared" si="16"/>
        <v>#N/A</v>
      </c>
      <c r="AA98" s="18"/>
      <c r="AB98" s="13"/>
      <c r="AC98" s="19"/>
      <c r="AD98" s="20"/>
      <c r="AE98" s="19"/>
      <c r="AF98" s="21"/>
      <c r="AG98" s="22"/>
      <c r="AH98" s="23" t="str">
        <f t="shared" si="18"/>
        <v xml:space="preserve">   -   </v>
      </c>
    </row>
    <row r="99" spans="1:34" ht="22.35" customHeight="1">
      <c r="A99" s="7"/>
      <c r="B99" s="7"/>
      <c r="C99" s="7"/>
      <c r="D99" s="7"/>
      <c r="E99" s="7"/>
      <c r="F99" s="8"/>
      <c r="G99" s="9"/>
      <c r="H99" s="10"/>
      <c r="I99" s="9"/>
      <c r="J99" s="9"/>
      <c r="K99" s="11"/>
      <c r="L99" s="12"/>
      <c r="M99" s="12"/>
      <c r="N99" s="12"/>
      <c r="O99" s="9"/>
      <c r="P99" s="9"/>
      <c r="Q99" s="13" t="e">
        <f>VLOOKUP(O99, '[1]لیست محصولات اردیبهشت ۱۴۰۳'!B:C,2,0)</f>
        <v>#N/A</v>
      </c>
      <c r="R99" s="9"/>
      <c r="S99" s="12" t="e">
        <f>VLOOKUP(O99, '[1]لیست محصولات اردیبهشت ۱۴۰۳'!B:F,5,0)</f>
        <v>#N/A</v>
      </c>
      <c r="T99" s="14" t="e">
        <f>VLOOKUP(O99, '[1]لیست محصولات اردیبهشت ۱۴۰۳'!B:G,6,0)</f>
        <v>#N/A</v>
      </c>
      <c r="U99" s="15"/>
      <c r="V99" s="16">
        <f t="shared" si="13"/>
        <v>0</v>
      </c>
      <c r="W99" s="12">
        <f t="shared" si="14"/>
        <v>0</v>
      </c>
      <c r="X99" s="14" t="e">
        <f t="shared" si="15"/>
        <v>#N/A</v>
      </c>
      <c r="Y99" s="17"/>
      <c r="Z99" s="14" t="e">
        <f t="shared" si="16"/>
        <v>#N/A</v>
      </c>
      <c r="AA99" s="18"/>
      <c r="AB99" s="13"/>
      <c r="AC99" s="19"/>
      <c r="AD99" s="20"/>
      <c r="AE99" s="19"/>
      <c r="AF99" s="21"/>
      <c r="AG99" s="22"/>
      <c r="AH99" s="23" t="str">
        <f t="shared" si="18"/>
        <v xml:space="preserve">   -   </v>
      </c>
    </row>
    <row r="100" spans="1:34" ht="22.35" customHeight="1">
      <c r="A100" s="7"/>
      <c r="B100" s="7"/>
      <c r="C100" s="7"/>
      <c r="D100" s="7"/>
      <c r="E100" s="7"/>
      <c r="F100" s="8"/>
      <c r="G100" s="9"/>
      <c r="H100" s="10"/>
      <c r="I100" s="9"/>
      <c r="J100" s="9"/>
      <c r="K100" s="11"/>
      <c r="L100" s="12"/>
      <c r="M100" s="12"/>
      <c r="N100" s="12"/>
      <c r="O100" s="9"/>
      <c r="P100" s="9"/>
      <c r="Q100" s="13" t="e">
        <f>VLOOKUP(O100, '[1]لیست محصولات اردیبهشت ۱۴۰۳'!B:C,2,0)</f>
        <v>#N/A</v>
      </c>
      <c r="R100" s="9"/>
      <c r="S100" s="12" t="e">
        <f>VLOOKUP(O100, '[1]لیست محصولات اردیبهشت ۱۴۰۳'!B:F,5,0)</f>
        <v>#N/A</v>
      </c>
      <c r="T100" s="14" t="e">
        <f>VLOOKUP(O100, '[1]لیست محصولات اردیبهشت ۱۴۰۳'!B:G,6,0)</f>
        <v>#N/A</v>
      </c>
      <c r="U100" s="15"/>
      <c r="V100" s="16">
        <f t="shared" si="13"/>
        <v>0</v>
      </c>
      <c r="W100" s="12">
        <f t="shared" si="14"/>
        <v>0</v>
      </c>
      <c r="X100" s="14" t="e">
        <f t="shared" si="15"/>
        <v>#N/A</v>
      </c>
      <c r="Y100" s="17"/>
      <c r="Z100" s="14" t="e">
        <f t="shared" si="16"/>
        <v>#N/A</v>
      </c>
      <c r="AA100" s="18"/>
      <c r="AB100" s="13"/>
      <c r="AC100" s="19"/>
      <c r="AD100" s="20"/>
      <c r="AE100" s="19"/>
      <c r="AF100" s="21"/>
      <c r="AG100" s="22"/>
      <c r="AH100" s="23" t="str">
        <f t="shared" si="18"/>
        <v xml:space="preserve">   -   </v>
      </c>
    </row>
    <row r="101" spans="1:34" ht="22.35" customHeight="1">
      <c r="A101" s="7"/>
      <c r="B101" s="7"/>
      <c r="C101" s="7"/>
      <c r="D101" s="7"/>
      <c r="E101" s="7"/>
      <c r="F101" s="8"/>
      <c r="G101" s="9"/>
      <c r="H101" s="10"/>
      <c r="I101" s="9"/>
      <c r="J101" s="9"/>
      <c r="K101" s="11"/>
      <c r="L101" s="12"/>
      <c r="M101" s="12"/>
      <c r="N101" s="12"/>
      <c r="O101" s="9"/>
      <c r="P101" s="9"/>
      <c r="Q101" s="13" t="e">
        <f>VLOOKUP(O101, '[1]لیست محصولات اردیبهشت ۱۴۰۳'!B:C,2,0)</f>
        <v>#N/A</v>
      </c>
      <c r="R101" s="9"/>
      <c r="S101" s="12" t="e">
        <f>VLOOKUP(O101, '[1]لیست محصولات اردیبهشت ۱۴۰۳'!B:F,5,0)</f>
        <v>#N/A</v>
      </c>
      <c r="T101" s="14" t="e">
        <f>VLOOKUP(O101, '[1]لیست محصولات اردیبهشت ۱۴۰۳'!B:G,6,0)</f>
        <v>#N/A</v>
      </c>
      <c r="U101" s="15"/>
      <c r="V101" s="16">
        <f t="shared" si="13"/>
        <v>0</v>
      </c>
      <c r="W101" s="12">
        <f t="shared" si="14"/>
        <v>0</v>
      </c>
      <c r="X101" s="14" t="e">
        <f t="shared" si="15"/>
        <v>#N/A</v>
      </c>
      <c r="Y101" s="17"/>
      <c r="Z101" s="14" t="e">
        <f t="shared" si="16"/>
        <v>#N/A</v>
      </c>
      <c r="AA101" s="18"/>
      <c r="AB101" s="13"/>
      <c r="AC101" s="19"/>
      <c r="AD101" s="20"/>
      <c r="AE101" s="19"/>
      <c r="AF101" s="21"/>
      <c r="AG101" s="22"/>
      <c r="AH101" s="23" t="str">
        <f t="shared" si="18"/>
        <v xml:space="preserve">   -   </v>
      </c>
    </row>
    <row r="102" spans="1:34" ht="22.35" customHeight="1">
      <c r="A102" s="7"/>
      <c r="B102" s="7"/>
      <c r="C102" s="7"/>
      <c r="D102" s="7"/>
      <c r="E102" s="7"/>
      <c r="F102" s="8"/>
      <c r="G102" s="9"/>
      <c r="H102" s="10"/>
      <c r="I102" s="9"/>
      <c r="J102" s="9"/>
      <c r="K102" s="11"/>
      <c r="L102" s="12"/>
      <c r="M102" s="12"/>
      <c r="N102" s="12"/>
      <c r="O102" s="9"/>
      <c r="P102" s="9"/>
      <c r="Q102" s="13" t="e">
        <f>VLOOKUP(O102, '[1]لیست محصولات اردیبهشت ۱۴۰۳'!B:C,2,0)</f>
        <v>#N/A</v>
      </c>
      <c r="R102" s="9"/>
      <c r="S102" s="12" t="e">
        <f>VLOOKUP(O102, '[1]لیست محصولات اردیبهشت ۱۴۰۳'!B:F,5,0)</f>
        <v>#N/A</v>
      </c>
      <c r="T102" s="14" t="e">
        <f>VLOOKUP(O102, '[1]لیست محصولات اردیبهشت ۱۴۰۳'!B:G,6,0)</f>
        <v>#N/A</v>
      </c>
      <c r="U102" s="15"/>
      <c r="V102" s="16">
        <f t="shared" si="13"/>
        <v>0</v>
      </c>
      <c r="W102" s="12">
        <f t="shared" si="14"/>
        <v>0</v>
      </c>
      <c r="X102" s="14" t="e">
        <f t="shared" si="15"/>
        <v>#N/A</v>
      </c>
      <c r="Y102" s="17"/>
      <c r="Z102" s="14" t="e">
        <f t="shared" si="16"/>
        <v>#N/A</v>
      </c>
      <c r="AA102" s="18"/>
      <c r="AB102" s="13"/>
      <c r="AC102" s="19"/>
      <c r="AD102" s="20"/>
      <c r="AE102" s="19"/>
      <c r="AF102" s="21"/>
      <c r="AG102" s="22"/>
      <c r="AH102" s="23" t="str">
        <f t="shared" si="18"/>
        <v xml:space="preserve">   -   </v>
      </c>
    </row>
    <row r="103" spans="1:34" ht="22.35" customHeight="1">
      <c r="A103" s="7"/>
      <c r="B103" s="7"/>
      <c r="C103" s="7"/>
      <c r="D103" s="7"/>
      <c r="E103" s="7"/>
      <c r="F103" s="8"/>
      <c r="G103" s="9"/>
      <c r="H103" s="10"/>
      <c r="I103" s="9"/>
      <c r="J103" s="9"/>
      <c r="K103" s="11"/>
      <c r="L103" s="12"/>
      <c r="M103" s="12"/>
      <c r="N103" s="12"/>
      <c r="O103" s="9"/>
      <c r="P103" s="9"/>
      <c r="Q103" s="13" t="e">
        <f>VLOOKUP(O103, '[1]لیست محصولات اردیبهشت ۱۴۰۳'!B:C,2,0)</f>
        <v>#N/A</v>
      </c>
      <c r="R103" s="9"/>
      <c r="S103" s="12" t="e">
        <f>VLOOKUP(O103, '[1]لیست محصولات اردیبهشت ۱۴۰۳'!B:F,5,0)</f>
        <v>#N/A</v>
      </c>
      <c r="T103" s="14" t="e">
        <f>VLOOKUP(O103, '[1]لیست محصولات اردیبهشت ۱۴۰۳'!B:G,6,0)</f>
        <v>#N/A</v>
      </c>
      <c r="U103" s="15"/>
      <c r="V103" s="16">
        <f t="shared" si="13"/>
        <v>0</v>
      </c>
      <c r="W103" s="12">
        <f t="shared" si="14"/>
        <v>0</v>
      </c>
      <c r="X103" s="14" t="e">
        <f t="shared" si="15"/>
        <v>#N/A</v>
      </c>
      <c r="Y103" s="17"/>
      <c r="Z103" s="14" t="e">
        <f t="shared" si="16"/>
        <v>#N/A</v>
      </c>
      <c r="AA103" s="18"/>
      <c r="AB103" s="13"/>
      <c r="AC103" s="19"/>
      <c r="AD103" s="20"/>
      <c r="AE103" s="19"/>
      <c r="AF103" s="21"/>
      <c r="AG103" s="22"/>
      <c r="AH103" s="23" t="str">
        <f t="shared" si="18"/>
        <v xml:space="preserve">   -   </v>
      </c>
    </row>
    <row r="104" spans="1:34" ht="22.35" customHeight="1">
      <c r="A104" s="7"/>
      <c r="B104" s="7"/>
      <c r="C104" s="7"/>
      <c r="D104" s="7"/>
      <c r="E104" s="7"/>
      <c r="F104" s="8"/>
      <c r="G104" s="9"/>
      <c r="H104" s="10"/>
      <c r="I104" s="9"/>
      <c r="J104" s="9"/>
      <c r="K104" s="11"/>
      <c r="L104" s="12"/>
      <c r="M104" s="12"/>
      <c r="N104" s="12"/>
      <c r="O104" s="9"/>
      <c r="P104" s="9"/>
      <c r="Q104" s="13" t="e">
        <f>VLOOKUP(O104, '[1]لیست محصولات اردیبهشت ۱۴۰۳'!B:C,2,0)</f>
        <v>#N/A</v>
      </c>
      <c r="R104" s="9"/>
      <c r="S104" s="12" t="e">
        <f>VLOOKUP(O104, '[1]لیست محصولات اردیبهشت ۱۴۰۳'!B:F,5,0)</f>
        <v>#N/A</v>
      </c>
      <c r="T104" s="14" t="e">
        <f>VLOOKUP(O104, '[1]لیست محصولات اردیبهشت ۱۴۰۳'!B:G,6,0)</f>
        <v>#N/A</v>
      </c>
      <c r="U104" s="15"/>
      <c r="V104" s="16">
        <f t="shared" si="13"/>
        <v>0</v>
      </c>
      <c r="W104" s="12">
        <f t="shared" si="14"/>
        <v>0</v>
      </c>
      <c r="X104" s="14" t="e">
        <f t="shared" si="15"/>
        <v>#N/A</v>
      </c>
      <c r="Y104" s="17"/>
      <c r="Z104" s="14" t="e">
        <f t="shared" si="16"/>
        <v>#N/A</v>
      </c>
      <c r="AA104" s="18"/>
      <c r="AB104" s="13"/>
      <c r="AC104" s="19"/>
      <c r="AD104" s="20"/>
      <c r="AE104" s="19"/>
      <c r="AF104" s="21"/>
      <c r="AG104" s="22"/>
      <c r="AH104" s="23" t="str">
        <f t="shared" si="18"/>
        <v xml:space="preserve">   -   </v>
      </c>
    </row>
    <row r="105" spans="1:34" ht="22.35" customHeight="1">
      <c r="A105" s="7"/>
      <c r="B105" s="7"/>
      <c r="C105" s="7"/>
      <c r="D105" s="7"/>
      <c r="E105" s="7"/>
      <c r="F105" s="8"/>
      <c r="G105" s="9"/>
      <c r="H105" s="10"/>
      <c r="I105" s="9"/>
      <c r="J105" s="9"/>
      <c r="K105" s="11"/>
      <c r="L105" s="12"/>
      <c r="M105" s="12"/>
      <c r="N105" s="12"/>
      <c r="O105" s="9"/>
      <c r="P105" s="9"/>
      <c r="Q105" s="13" t="e">
        <f>VLOOKUP(O105, '[1]لیست محصولات اردیبهشت ۱۴۰۳'!B:C,2,0)</f>
        <v>#N/A</v>
      </c>
      <c r="R105" s="9"/>
      <c r="S105" s="12" t="e">
        <f>VLOOKUP(O105, '[1]لیست محصولات اردیبهشت ۱۴۰۳'!B:F,5,0)</f>
        <v>#N/A</v>
      </c>
      <c r="T105" s="14" t="e">
        <f>VLOOKUP(O105, '[1]لیست محصولات اردیبهشت ۱۴۰۳'!B:G,6,0)</f>
        <v>#N/A</v>
      </c>
      <c r="U105" s="15"/>
      <c r="V105" s="16">
        <f t="shared" si="13"/>
        <v>0</v>
      </c>
      <c r="W105" s="12">
        <f t="shared" si="14"/>
        <v>0</v>
      </c>
      <c r="X105" s="14" t="e">
        <f t="shared" si="15"/>
        <v>#N/A</v>
      </c>
      <c r="Y105" s="17"/>
      <c r="Z105" s="14" t="e">
        <f t="shared" si="16"/>
        <v>#N/A</v>
      </c>
      <c r="AA105" s="18"/>
      <c r="AB105" s="13"/>
      <c r="AC105" s="19"/>
      <c r="AD105" s="20"/>
      <c r="AE105" s="19"/>
      <c r="AF105" s="21"/>
      <c r="AG105" s="22"/>
      <c r="AH105" s="23" t="str">
        <f t="shared" si="18"/>
        <v xml:space="preserve">   -   </v>
      </c>
    </row>
    <row r="106" spans="1:34" ht="22.35" customHeight="1">
      <c r="A106" s="7"/>
      <c r="B106" s="7"/>
      <c r="C106" s="7"/>
      <c r="D106" s="7"/>
      <c r="E106" s="7"/>
      <c r="F106" s="8"/>
      <c r="G106" s="9"/>
      <c r="H106" s="10"/>
      <c r="I106" s="9"/>
      <c r="J106" s="9"/>
      <c r="K106" s="11"/>
      <c r="L106" s="12"/>
      <c r="M106" s="12"/>
      <c r="N106" s="12"/>
      <c r="O106" s="9"/>
      <c r="P106" s="9"/>
      <c r="Q106" s="13" t="e">
        <f>VLOOKUP(O106, '[1]لیست محصولات اردیبهشت ۱۴۰۳'!B:C,2,0)</f>
        <v>#N/A</v>
      </c>
      <c r="R106" s="9"/>
      <c r="S106" s="12" t="e">
        <f>VLOOKUP(O106, '[1]لیست محصولات اردیبهشت ۱۴۰۳'!B:F,5,0)</f>
        <v>#N/A</v>
      </c>
      <c r="T106" s="14" t="e">
        <f>VLOOKUP(O106, '[1]لیست محصولات اردیبهشت ۱۴۰۳'!B:G,6,0)</f>
        <v>#N/A</v>
      </c>
      <c r="U106" s="15"/>
      <c r="V106" s="16">
        <f t="shared" si="13"/>
        <v>0</v>
      </c>
      <c r="W106" s="12">
        <f t="shared" si="14"/>
        <v>0</v>
      </c>
      <c r="X106" s="14" t="e">
        <f t="shared" si="15"/>
        <v>#N/A</v>
      </c>
      <c r="Y106" s="17"/>
      <c r="Z106" s="14" t="e">
        <f t="shared" si="16"/>
        <v>#N/A</v>
      </c>
      <c r="AA106" s="18"/>
      <c r="AB106" s="13"/>
      <c r="AC106" s="19"/>
      <c r="AD106" s="20"/>
      <c r="AE106" s="19"/>
      <c r="AF106" s="21"/>
      <c r="AG106" s="22"/>
      <c r="AH106" s="23" t="str">
        <f t="shared" si="18"/>
        <v xml:space="preserve">   -   </v>
      </c>
    </row>
    <row r="107" spans="1:34" ht="22.35" customHeight="1">
      <c r="A107" s="7"/>
      <c r="B107" s="7"/>
      <c r="C107" s="7"/>
      <c r="D107" s="7"/>
      <c r="E107" s="7"/>
      <c r="F107" s="8"/>
      <c r="G107" s="9"/>
      <c r="H107" s="10"/>
      <c r="I107" s="9"/>
      <c r="J107" s="9"/>
      <c r="K107" s="11"/>
      <c r="L107" s="12"/>
      <c r="M107" s="12"/>
      <c r="N107" s="12"/>
      <c r="O107" s="9"/>
      <c r="P107" s="9"/>
      <c r="Q107" s="13" t="e">
        <f>VLOOKUP(O107, '[1]لیست محصولات اردیبهشت ۱۴۰۳'!B:C,2,0)</f>
        <v>#N/A</v>
      </c>
      <c r="R107" s="9"/>
      <c r="S107" s="12" t="e">
        <f>VLOOKUP(O107, '[1]لیست محصولات اردیبهشت ۱۴۰۳'!B:F,5,0)</f>
        <v>#N/A</v>
      </c>
      <c r="T107" s="14" t="e">
        <f>VLOOKUP(O107, '[1]لیست محصولات اردیبهشت ۱۴۰۳'!B:G,6,0)</f>
        <v>#N/A</v>
      </c>
      <c r="U107" s="15"/>
      <c r="V107" s="16">
        <f t="shared" si="13"/>
        <v>0</v>
      </c>
      <c r="W107" s="12">
        <f t="shared" si="14"/>
        <v>0</v>
      </c>
      <c r="X107" s="14" t="e">
        <f t="shared" si="15"/>
        <v>#N/A</v>
      </c>
      <c r="Y107" s="17"/>
      <c r="Z107" s="14" t="e">
        <f t="shared" si="16"/>
        <v>#N/A</v>
      </c>
      <c r="AA107" s="18"/>
      <c r="AB107" s="13"/>
      <c r="AC107" s="19"/>
      <c r="AD107" s="20"/>
      <c r="AE107" s="19"/>
      <c r="AF107" s="21"/>
      <c r="AG107" s="22"/>
      <c r="AH107" s="23" t="str">
        <f t="shared" si="18"/>
        <v xml:space="preserve">   -   </v>
      </c>
    </row>
    <row r="108" spans="1:34" ht="22.35" customHeight="1">
      <c r="A108" s="7"/>
      <c r="B108" s="7"/>
      <c r="C108" s="7"/>
      <c r="D108" s="7"/>
      <c r="E108" s="7"/>
      <c r="F108" s="8"/>
      <c r="G108" s="9"/>
      <c r="H108" s="10"/>
      <c r="I108" s="9"/>
      <c r="J108" s="9"/>
      <c r="K108" s="11"/>
      <c r="L108" s="12"/>
      <c r="M108" s="12"/>
      <c r="N108" s="12"/>
      <c r="O108" s="9"/>
      <c r="P108" s="9"/>
      <c r="Q108" s="13" t="e">
        <f>VLOOKUP(O108, '[1]لیست محصولات اردیبهشت ۱۴۰۳'!B:C,2,0)</f>
        <v>#N/A</v>
      </c>
      <c r="R108" s="9"/>
      <c r="S108" s="12" t="e">
        <f>VLOOKUP(O108, '[1]لیست محصولات اردیبهشت ۱۴۰۳'!B:F,5,0)</f>
        <v>#N/A</v>
      </c>
      <c r="T108" s="14" t="e">
        <f>VLOOKUP(O108, '[1]لیست محصولات اردیبهشت ۱۴۰۳'!B:G,6,0)</f>
        <v>#N/A</v>
      </c>
      <c r="U108" s="15"/>
      <c r="V108" s="16">
        <f t="shared" si="13"/>
        <v>0</v>
      </c>
      <c r="W108" s="12">
        <f t="shared" si="14"/>
        <v>0</v>
      </c>
      <c r="X108" s="14" t="e">
        <f t="shared" si="15"/>
        <v>#N/A</v>
      </c>
      <c r="Y108" s="17"/>
      <c r="Z108" s="14" t="e">
        <f t="shared" si="16"/>
        <v>#N/A</v>
      </c>
      <c r="AA108" s="18"/>
      <c r="AB108" s="13"/>
      <c r="AC108" s="19"/>
      <c r="AD108" s="20"/>
      <c r="AE108" s="19"/>
      <c r="AF108" s="21"/>
      <c r="AG108" s="22"/>
      <c r="AH108" s="23" t="str">
        <f t="shared" si="18"/>
        <v xml:space="preserve">   -   </v>
      </c>
    </row>
    <row r="109" spans="1:34" ht="22.35" customHeight="1">
      <c r="A109" s="7"/>
      <c r="B109" s="7"/>
      <c r="C109" s="7"/>
      <c r="D109" s="7"/>
      <c r="E109" s="7"/>
      <c r="F109" s="8"/>
      <c r="G109" s="9"/>
      <c r="H109" s="10"/>
      <c r="I109" s="9"/>
      <c r="J109" s="9"/>
      <c r="K109" s="11"/>
      <c r="L109" s="12"/>
      <c r="M109" s="12"/>
      <c r="N109" s="12"/>
      <c r="O109" s="9"/>
      <c r="P109" s="9"/>
      <c r="Q109" s="13" t="e">
        <f>VLOOKUP(O109, '[1]لیست محصولات اردیبهشت ۱۴۰۳'!B:C,2,0)</f>
        <v>#N/A</v>
      </c>
      <c r="R109" s="9"/>
      <c r="S109" s="12" t="e">
        <f>VLOOKUP(O109, '[1]لیست محصولات اردیبهشت ۱۴۰۳'!B:F,5,0)</f>
        <v>#N/A</v>
      </c>
      <c r="T109" s="14" t="e">
        <f>VLOOKUP(O109, '[1]لیست محصولات اردیبهشت ۱۴۰۳'!B:G,6,0)</f>
        <v>#N/A</v>
      </c>
      <c r="U109" s="15"/>
      <c r="V109" s="16">
        <f t="shared" si="13"/>
        <v>0</v>
      </c>
      <c r="W109" s="12">
        <f t="shared" si="14"/>
        <v>0</v>
      </c>
      <c r="X109" s="14" t="e">
        <f t="shared" si="15"/>
        <v>#N/A</v>
      </c>
      <c r="Y109" s="17"/>
      <c r="Z109" s="14" t="e">
        <f t="shared" si="16"/>
        <v>#N/A</v>
      </c>
      <c r="AA109" s="18"/>
      <c r="AB109" s="13"/>
      <c r="AC109" s="19"/>
      <c r="AD109" s="20"/>
      <c r="AE109" s="19"/>
      <c r="AF109" s="21"/>
      <c r="AG109" s="22"/>
      <c r="AH109" s="23" t="str">
        <f t="shared" si="18"/>
        <v xml:space="preserve">   -   </v>
      </c>
    </row>
    <row r="110" spans="1:34" ht="22.35" customHeight="1">
      <c r="A110" s="7"/>
      <c r="B110" s="7"/>
      <c r="C110" s="7"/>
      <c r="D110" s="7"/>
      <c r="E110" s="7"/>
      <c r="F110" s="8"/>
      <c r="G110" s="9"/>
      <c r="H110" s="10"/>
      <c r="I110" s="9"/>
      <c r="J110" s="9"/>
      <c r="K110" s="11"/>
      <c r="L110" s="12"/>
      <c r="M110" s="12"/>
      <c r="N110" s="12"/>
      <c r="O110" s="9"/>
      <c r="P110" s="9"/>
      <c r="Q110" s="13" t="e">
        <f>VLOOKUP(O110, '[1]لیست محصولات اردیبهشت ۱۴۰۳'!B:C,2,0)</f>
        <v>#N/A</v>
      </c>
      <c r="R110" s="9"/>
      <c r="S110" s="12" t="e">
        <f>VLOOKUP(O110, '[1]لیست محصولات اردیبهشت ۱۴۰۳'!B:F,5,0)</f>
        <v>#N/A</v>
      </c>
      <c r="T110" s="14" t="e">
        <f>VLOOKUP(O110, '[1]لیست محصولات اردیبهشت ۱۴۰۳'!B:G,6,0)</f>
        <v>#N/A</v>
      </c>
      <c r="U110" s="15"/>
      <c r="V110" s="16">
        <f t="shared" si="13"/>
        <v>0</v>
      </c>
      <c r="W110" s="12">
        <f t="shared" si="14"/>
        <v>0</v>
      </c>
      <c r="X110" s="14" t="e">
        <f t="shared" si="15"/>
        <v>#N/A</v>
      </c>
      <c r="Y110" s="17"/>
      <c r="Z110" s="14" t="e">
        <f t="shared" si="16"/>
        <v>#N/A</v>
      </c>
      <c r="AA110" s="18"/>
      <c r="AB110" s="13"/>
      <c r="AC110" s="19"/>
      <c r="AD110" s="20"/>
      <c r="AE110" s="19"/>
      <c r="AF110" s="21"/>
      <c r="AG110" s="22"/>
      <c r="AH110" s="23" t="str">
        <f t="shared" si="18"/>
        <v xml:space="preserve">   -   </v>
      </c>
    </row>
    <row r="111" spans="1:34" ht="22.35" customHeight="1">
      <c r="A111" s="7"/>
      <c r="B111" s="7"/>
      <c r="C111" s="7"/>
      <c r="D111" s="7"/>
      <c r="E111" s="7"/>
      <c r="F111" s="8"/>
      <c r="G111" s="9"/>
      <c r="H111" s="10"/>
      <c r="I111" s="9"/>
      <c r="J111" s="9"/>
      <c r="K111" s="11"/>
      <c r="L111" s="12"/>
      <c r="M111" s="12"/>
      <c r="N111" s="12"/>
      <c r="O111" s="9"/>
      <c r="P111" s="9"/>
      <c r="Q111" s="13" t="e">
        <f>VLOOKUP(O111, '[1]لیست محصولات اردیبهشت ۱۴۰۳'!B:C,2,0)</f>
        <v>#N/A</v>
      </c>
      <c r="R111" s="9"/>
      <c r="S111" s="12" t="e">
        <f>VLOOKUP(O111, '[1]لیست محصولات اردیبهشت ۱۴۰۳'!B:F,5,0)</f>
        <v>#N/A</v>
      </c>
      <c r="T111" s="14" t="e">
        <f>VLOOKUP(O111, '[1]لیست محصولات اردیبهشت ۱۴۰۳'!B:G,6,0)</f>
        <v>#N/A</v>
      </c>
      <c r="U111" s="15"/>
      <c r="V111" s="16">
        <f t="shared" si="13"/>
        <v>0</v>
      </c>
      <c r="W111" s="12">
        <f t="shared" si="14"/>
        <v>0</v>
      </c>
      <c r="X111" s="14" t="e">
        <f t="shared" si="15"/>
        <v>#N/A</v>
      </c>
      <c r="Y111" s="17"/>
      <c r="Z111" s="14" t="e">
        <f t="shared" si="16"/>
        <v>#N/A</v>
      </c>
      <c r="AA111" s="18"/>
      <c r="AB111" s="13"/>
      <c r="AC111" s="19"/>
      <c r="AD111" s="20"/>
      <c r="AE111" s="19"/>
      <c r="AF111" s="21"/>
      <c r="AG111" s="22"/>
      <c r="AH111" s="23" t="str">
        <f t="shared" si="18"/>
        <v xml:space="preserve">   -   </v>
      </c>
    </row>
    <row r="112" spans="1:34" ht="22.35" customHeight="1">
      <c r="A112" s="7"/>
      <c r="B112" s="7"/>
      <c r="C112" s="7"/>
      <c r="D112" s="7"/>
      <c r="E112" s="7"/>
      <c r="F112" s="8"/>
      <c r="G112" s="9"/>
      <c r="H112" s="10"/>
      <c r="I112" s="9"/>
      <c r="J112" s="9"/>
      <c r="K112" s="11"/>
      <c r="L112" s="12"/>
      <c r="M112" s="12"/>
      <c r="N112" s="12"/>
      <c r="O112" s="9"/>
      <c r="P112" s="9"/>
      <c r="Q112" s="13" t="e">
        <f>VLOOKUP(O112, '[1]لیست محصولات اردیبهشت ۱۴۰۳'!B:C,2,0)</f>
        <v>#N/A</v>
      </c>
      <c r="R112" s="9"/>
      <c r="S112" s="12" t="e">
        <f>VLOOKUP(O112, '[1]لیست محصولات اردیبهشت ۱۴۰۳'!B:F,5,0)</f>
        <v>#N/A</v>
      </c>
      <c r="T112" s="14" t="e">
        <f>VLOOKUP(O112, '[1]لیست محصولات اردیبهشت ۱۴۰۳'!B:G,6,0)</f>
        <v>#N/A</v>
      </c>
      <c r="U112" s="15"/>
      <c r="V112" s="16">
        <f t="shared" si="13"/>
        <v>0</v>
      </c>
      <c r="W112" s="12">
        <f t="shared" si="14"/>
        <v>0</v>
      </c>
      <c r="X112" s="14" t="e">
        <f t="shared" si="15"/>
        <v>#N/A</v>
      </c>
      <c r="Y112" s="17"/>
      <c r="Z112" s="14" t="e">
        <f t="shared" si="16"/>
        <v>#N/A</v>
      </c>
      <c r="AA112" s="18"/>
      <c r="AB112" s="13"/>
      <c r="AC112" s="19"/>
      <c r="AD112" s="20"/>
      <c r="AE112" s="19"/>
      <c r="AF112" s="21"/>
      <c r="AG112" s="22"/>
      <c r="AH112" s="23" t="str">
        <f t="shared" si="18"/>
        <v xml:space="preserve">   -   </v>
      </c>
    </row>
    <row r="113" spans="1:34" ht="22.35" customHeight="1">
      <c r="A113" s="7"/>
      <c r="B113" s="7"/>
      <c r="C113" s="7"/>
      <c r="D113" s="7"/>
      <c r="E113" s="7"/>
      <c r="F113" s="8"/>
      <c r="G113" s="9"/>
      <c r="H113" s="10"/>
      <c r="I113" s="9"/>
      <c r="J113" s="9"/>
      <c r="K113" s="11"/>
      <c r="L113" s="12"/>
      <c r="M113" s="12"/>
      <c r="N113" s="12"/>
      <c r="O113" s="9"/>
      <c r="P113" s="9"/>
      <c r="Q113" s="13" t="e">
        <f>VLOOKUP(O113, '[1]لیست محصولات اردیبهشت ۱۴۰۳'!B:C,2,0)</f>
        <v>#N/A</v>
      </c>
      <c r="R113" s="9"/>
      <c r="S113" s="12" t="e">
        <f>VLOOKUP(O113, '[1]لیست محصولات اردیبهشت ۱۴۰۳'!B:F,5,0)</f>
        <v>#N/A</v>
      </c>
      <c r="T113" s="14" t="e">
        <f>VLOOKUP(O113, '[1]لیست محصولات اردیبهشت ۱۴۰۳'!B:G,6,0)</f>
        <v>#N/A</v>
      </c>
      <c r="U113" s="15"/>
      <c r="V113" s="16">
        <f t="shared" si="13"/>
        <v>0</v>
      </c>
      <c r="W113" s="12">
        <f t="shared" si="14"/>
        <v>0</v>
      </c>
      <c r="X113" s="14" t="e">
        <f t="shared" si="15"/>
        <v>#N/A</v>
      </c>
      <c r="Y113" s="17"/>
      <c r="Z113" s="14" t="e">
        <f t="shared" si="16"/>
        <v>#N/A</v>
      </c>
      <c r="AA113" s="18"/>
      <c r="AB113" s="13"/>
      <c r="AC113" s="19"/>
      <c r="AD113" s="20"/>
      <c r="AE113" s="19"/>
      <c r="AF113" s="21"/>
      <c r="AG113" s="22"/>
      <c r="AH113" s="23" t="str">
        <f t="shared" si="18"/>
        <v xml:space="preserve">   -   </v>
      </c>
    </row>
    <row r="114" spans="1:34" ht="22.35" customHeight="1">
      <c r="A114" s="7"/>
      <c r="B114" s="7"/>
      <c r="C114" s="7"/>
      <c r="D114" s="7"/>
      <c r="E114" s="7"/>
      <c r="F114" s="8"/>
      <c r="G114" s="9"/>
      <c r="H114" s="10"/>
      <c r="I114" s="9"/>
      <c r="J114" s="9"/>
      <c r="K114" s="11"/>
      <c r="L114" s="12"/>
      <c r="M114" s="12"/>
      <c r="N114" s="12"/>
      <c r="O114" s="9"/>
      <c r="P114" s="9"/>
      <c r="Q114" s="13" t="e">
        <f>VLOOKUP(O114, '[1]لیست محصولات اردیبهشت ۱۴۰۳'!B:C,2,0)</f>
        <v>#N/A</v>
      </c>
      <c r="R114" s="9"/>
      <c r="S114" s="12" t="e">
        <f>VLOOKUP(O114, '[1]لیست محصولات اردیبهشت ۱۴۰۳'!B:F,5,0)</f>
        <v>#N/A</v>
      </c>
      <c r="T114" s="14" t="e">
        <f>VLOOKUP(O114, '[1]لیست محصولات اردیبهشت ۱۴۰۳'!B:G,6,0)</f>
        <v>#N/A</v>
      </c>
      <c r="U114" s="15"/>
      <c r="V114" s="16">
        <f t="shared" si="13"/>
        <v>0</v>
      </c>
      <c r="W114" s="12">
        <f t="shared" si="14"/>
        <v>0</v>
      </c>
      <c r="X114" s="14" t="e">
        <f t="shared" si="15"/>
        <v>#N/A</v>
      </c>
      <c r="Y114" s="17"/>
      <c r="Z114" s="14" t="e">
        <f t="shared" si="16"/>
        <v>#N/A</v>
      </c>
      <c r="AA114" s="18"/>
      <c r="AB114" s="13"/>
      <c r="AC114" s="19"/>
      <c r="AD114" s="20"/>
      <c r="AE114" s="19"/>
      <c r="AF114" s="21"/>
      <c r="AG114" s="22"/>
      <c r="AH114" s="23" t="str">
        <f t="shared" si="18"/>
        <v xml:space="preserve">   -   </v>
      </c>
    </row>
    <row r="115" spans="1:34" ht="22.35" customHeight="1">
      <c r="A115" s="7"/>
      <c r="B115" s="7"/>
      <c r="C115" s="7"/>
      <c r="D115" s="7"/>
      <c r="E115" s="7"/>
      <c r="F115" s="8"/>
      <c r="G115" s="9"/>
      <c r="H115" s="10"/>
      <c r="I115" s="9"/>
      <c r="J115" s="9"/>
      <c r="K115" s="11"/>
      <c r="L115" s="12"/>
      <c r="M115" s="12"/>
      <c r="N115" s="12"/>
      <c r="O115" s="9"/>
      <c r="P115" s="9"/>
      <c r="Q115" s="13" t="e">
        <f>VLOOKUP(O115, '[1]لیست محصولات اردیبهشت ۱۴۰۳'!B:C,2,0)</f>
        <v>#N/A</v>
      </c>
      <c r="R115" s="9"/>
      <c r="S115" s="12" t="e">
        <f>VLOOKUP(O115, '[1]لیست محصولات اردیبهشت ۱۴۰۳'!B:F,5,0)</f>
        <v>#N/A</v>
      </c>
      <c r="T115" s="14" t="e">
        <f>VLOOKUP(O115, '[1]لیست محصولات اردیبهشت ۱۴۰۳'!B:G,6,0)</f>
        <v>#N/A</v>
      </c>
      <c r="U115" s="15"/>
      <c r="V115" s="16">
        <f t="shared" si="13"/>
        <v>0</v>
      </c>
      <c r="W115" s="12">
        <f t="shared" si="14"/>
        <v>0</v>
      </c>
      <c r="X115" s="14" t="e">
        <f t="shared" si="15"/>
        <v>#N/A</v>
      </c>
      <c r="Y115" s="17"/>
      <c r="Z115" s="14" t="e">
        <f t="shared" si="16"/>
        <v>#N/A</v>
      </c>
      <c r="AA115" s="18"/>
      <c r="AB115" s="13"/>
      <c r="AC115" s="19"/>
      <c r="AD115" s="20"/>
      <c r="AE115" s="19"/>
      <c r="AF115" s="21"/>
      <c r="AG115" s="22"/>
      <c r="AH115" s="23" t="str">
        <f t="shared" si="18"/>
        <v xml:space="preserve">   -   </v>
      </c>
    </row>
    <row r="116" spans="1:34" ht="22.35" customHeight="1">
      <c r="A116" s="7"/>
      <c r="B116" s="7"/>
      <c r="C116" s="7"/>
      <c r="D116" s="7"/>
      <c r="E116" s="7"/>
      <c r="F116" s="8"/>
      <c r="G116" s="9"/>
      <c r="H116" s="10"/>
      <c r="I116" s="9"/>
      <c r="J116" s="9"/>
      <c r="K116" s="11"/>
      <c r="L116" s="12"/>
      <c r="M116" s="12"/>
      <c r="N116" s="12"/>
      <c r="O116" s="9"/>
      <c r="P116" s="9"/>
      <c r="Q116" s="13" t="e">
        <f>VLOOKUP(O116, '[1]لیست محصولات اردیبهشت ۱۴۰۳'!B:C,2,0)</f>
        <v>#N/A</v>
      </c>
      <c r="R116" s="9"/>
      <c r="S116" s="12" t="e">
        <f>VLOOKUP(O116, '[1]لیست محصولات اردیبهشت ۱۴۰۳'!B:F,5,0)</f>
        <v>#N/A</v>
      </c>
      <c r="T116" s="14" t="e">
        <f>VLOOKUP(O116, '[1]لیست محصولات اردیبهشت ۱۴۰۳'!B:G,6,0)</f>
        <v>#N/A</v>
      </c>
      <c r="U116" s="15"/>
      <c r="V116" s="16">
        <f t="shared" si="13"/>
        <v>0</v>
      </c>
      <c r="W116" s="12">
        <f t="shared" si="14"/>
        <v>0</v>
      </c>
      <c r="X116" s="14" t="e">
        <f t="shared" si="15"/>
        <v>#N/A</v>
      </c>
      <c r="Y116" s="17"/>
      <c r="Z116" s="14" t="e">
        <f t="shared" si="16"/>
        <v>#N/A</v>
      </c>
      <c r="AA116" s="18"/>
      <c r="AB116" s="13"/>
      <c r="AC116" s="19"/>
      <c r="AD116" s="20"/>
      <c r="AE116" s="19"/>
      <c r="AF116" s="21"/>
      <c r="AG116" s="22"/>
      <c r="AH116" s="23" t="str">
        <f t="shared" si="18"/>
        <v xml:space="preserve">   -   </v>
      </c>
    </row>
    <row r="117" spans="1:34" ht="22.35" customHeight="1">
      <c r="A117" s="7"/>
      <c r="B117" s="7"/>
      <c r="C117" s="7"/>
      <c r="D117" s="7"/>
      <c r="E117" s="7"/>
      <c r="F117" s="8"/>
      <c r="G117" s="9"/>
      <c r="H117" s="10"/>
      <c r="I117" s="9"/>
      <c r="J117" s="9"/>
      <c r="K117" s="11"/>
      <c r="L117" s="12"/>
      <c r="M117" s="12"/>
      <c r="N117" s="12"/>
      <c r="O117" s="9"/>
      <c r="P117" s="9"/>
      <c r="Q117" s="13" t="e">
        <f>VLOOKUP(O117, '[1]لیست محصولات اردیبهشت ۱۴۰۳'!B:C,2,0)</f>
        <v>#N/A</v>
      </c>
      <c r="R117" s="9"/>
      <c r="S117" s="12" t="e">
        <f>VLOOKUP(O117, '[1]لیست محصولات اردیبهشت ۱۴۰۳'!B:F,5,0)</f>
        <v>#N/A</v>
      </c>
      <c r="T117" s="14" t="e">
        <f>VLOOKUP(O117, '[1]لیست محصولات اردیبهشت ۱۴۰۳'!B:G,6,0)</f>
        <v>#N/A</v>
      </c>
      <c r="U117" s="15"/>
      <c r="V117" s="16">
        <f t="shared" si="13"/>
        <v>0</v>
      </c>
      <c r="W117" s="12">
        <f t="shared" si="14"/>
        <v>0</v>
      </c>
      <c r="X117" s="14" t="e">
        <f t="shared" si="15"/>
        <v>#N/A</v>
      </c>
      <c r="Y117" s="17"/>
      <c r="Z117" s="14" t="e">
        <f t="shared" si="16"/>
        <v>#N/A</v>
      </c>
      <c r="AA117" s="18"/>
      <c r="AB117" s="13"/>
      <c r="AC117" s="19"/>
      <c r="AD117" s="20"/>
      <c r="AE117" s="19"/>
      <c r="AF117" s="21"/>
      <c r="AG117" s="22"/>
      <c r="AH117" s="23" t="str">
        <f t="shared" si="18"/>
        <v xml:space="preserve">   -   </v>
      </c>
    </row>
    <row r="118" spans="1:34" ht="22.35" customHeight="1">
      <c r="A118" s="7"/>
      <c r="B118" s="7"/>
      <c r="C118" s="7"/>
      <c r="D118" s="7"/>
      <c r="E118" s="7"/>
      <c r="F118" s="8"/>
      <c r="G118" s="9"/>
      <c r="H118" s="10"/>
      <c r="I118" s="9"/>
      <c r="J118" s="9"/>
      <c r="K118" s="11"/>
      <c r="L118" s="12"/>
      <c r="M118" s="12"/>
      <c r="N118" s="12"/>
      <c r="O118" s="9"/>
      <c r="P118" s="9"/>
      <c r="Q118" s="13" t="e">
        <f>VLOOKUP(O118, '[1]لیست محصولات اردیبهشت ۱۴۰۳'!B:C,2,0)</f>
        <v>#N/A</v>
      </c>
      <c r="R118" s="9"/>
      <c r="S118" s="12" t="e">
        <f>VLOOKUP(O118, '[1]لیست محصولات اردیبهشت ۱۴۰۳'!B:F,5,0)</f>
        <v>#N/A</v>
      </c>
      <c r="T118" s="14" t="e">
        <f>VLOOKUP(O118, '[1]لیست محصولات اردیبهشت ۱۴۰۳'!B:G,6,0)</f>
        <v>#N/A</v>
      </c>
      <c r="U118" s="15"/>
      <c r="V118" s="16">
        <f t="shared" si="13"/>
        <v>0</v>
      </c>
      <c r="W118" s="12">
        <f t="shared" si="14"/>
        <v>0</v>
      </c>
      <c r="X118" s="14" t="e">
        <f t="shared" si="15"/>
        <v>#N/A</v>
      </c>
      <c r="Y118" s="17"/>
      <c r="Z118" s="14" t="e">
        <f t="shared" si="16"/>
        <v>#N/A</v>
      </c>
      <c r="AA118" s="18"/>
      <c r="AB118" s="13"/>
      <c r="AC118" s="19"/>
      <c r="AD118" s="20"/>
      <c r="AE118" s="19"/>
      <c r="AF118" s="21"/>
      <c r="AG118" s="22"/>
      <c r="AH118" s="23" t="str">
        <f t="shared" si="18"/>
        <v xml:space="preserve">   -   </v>
      </c>
    </row>
    <row r="119" spans="1:34" ht="22.35" customHeight="1">
      <c r="A119" s="7"/>
      <c r="B119" s="7"/>
      <c r="C119" s="7"/>
      <c r="D119" s="7"/>
      <c r="E119" s="7"/>
      <c r="F119" s="8"/>
      <c r="G119" s="9"/>
      <c r="H119" s="10"/>
      <c r="I119" s="9"/>
      <c r="J119" s="9"/>
      <c r="K119" s="11"/>
      <c r="L119" s="12"/>
      <c r="M119" s="12"/>
      <c r="N119" s="12"/>
      <c r="O119" s="9"/>
      <c r="P119" s="9"/>
      <c r="Q119" s="13" t="e">
        <f>VLOOKUP(O119, '[1]لیست محصولات اردیبهشت ۱۴۰۳'!B:C,2,0)</f>
        <v>#N/A</v>
      </c>
      <c r="R119" s="9"/>
      <c r="S119" s="12" t="e">
        <f>VLOOKUP(O119, '[1]لیست محصولات اردیبهشت ۱۴۰۳'!B:F,5,0)</f>
        <v>#N/A</v>
      </c>
      <c r="T119" s="14" t="e">
        <f>VLOOKUP(O119, '[1]لیست محصولات اردیبهشت ۱۴۰۳'!B:G,6,0)</f>
        <v>#N/A</v>
      </c>
      <c r="U119" s="15"/>
      <c r="V119" s="16">
        <f t="shared" si="13"/>
        <v>0</v>
      </c>
      <c r="W119" s="12">
        <f t="shared" si="14"/>
        <v>0</v>
      </c>
      <c r="X119" s="14" t="e">
        <f t="shared" si="15"/>
        <v>#N/A</v>
      </c>
      <c r="Y119" s="17"/>
      <c r="Z119" s="14" t="e">
        <f t="shared" si="16"/>
        <v>#N/A</v>
      </c>
      <c r="AA119" s="18"/>
      <c r="AB119" s="13"/>
      <c r="AC119" s="19"/>
      <c r="AD119" s="20"/>
      <c r="AE119" s="19"/>
      <c r="AF119" s="21"/>
      <c r="AG119" s="22"/>
      <c r="AH119" s="23" t="str">
        <f t="shared" si="18"/>
        <v xml:space="preserve">   -   </v>
      </c>
    </row>
    <row r="120" spans="1:34" ht="22.35" customHeight="1">
      <c r="A120" s="7"/>
      <c r="B120" s="7"/>
      <c r="C120" s="7"/>
      <c r="D120" s="7"/>
      <c r="E120" s="7"/>
      <c r="F120" s="8"/>
      <c r="G120" s="9"/>
      <c r="H120" s="10"/>
      <c r="I120" s="9"/>
      <c r="J120" s="9"/>
      <c r="K120" s="11"/>
      <c r="L120" s="12"/>
      <c r="M120" s="12"/>
      <c r="N120" s="12"/>
      <c r="O120" s="9"/>
      <c r="P120" s="9"/>
      <c r="Q120" s="13" t="e">
        <f>VLOOKUP(O120, '[1]لیست محصولات اردیبهشت ۱۴۰۳'!B:C,2,0)</f>
        <v>#N/A</v>
      </c>
      <c r="R120" s="9"/>
      <c r="S120" s="12" t="e">
        <f>VLOOKUP(O120, '[1]لیست محصولات اردیبهشت ۱۴۰۳'!B:F,5,0)</f>
        <v>#N/A</v>
      </c>
      <c r="T120" s="14" t="e">
        <f>VLOOKUP(O120, '[1]لیست محصولات اردیبهشت ۱۴۰۳'!B:G,6,0)</f>
        <v>#N/A</v>
      </c>
      <c r="U120" s="15"/>
      <c r="V120" s="16">
        <f t="shared" si="13"/>
        <v>0</v>
      </c>
      <c r="W120" s="12">
        <f t="shared" si="14"/>
        <v>0</v>
      </c>
      <c r="X120" s="14" t="e">
        <f t="shared" si="15"/>
        <v>#N/A</v>
      </c>
      <c r="Y120" s="17"/>
      <c r="Z120" s="14" t="e">
        <f t="shared" si="16"/>
        <v>#N/A</v>
      </c>
      <c r="AA120" s="18"/>
      <c r="AB120" s="13"/>
      <c r="AC120" s="19"/>
      <c r="AD120" s="20"/>
      <c r="AE120" s="19"/>
      <c r="AF120" s="21"/>
      <c r="AG120" s="22"/>
      <c r="AH120" s="23" t="str">
        <f t="shared" si="18"/>
        <v xml:space="preserve">   -   </v>
      </c>
    </row>
    <row r="121" spans="1:34" ht="22.35" customHeight="1">
      <c r="A121" s="7"/>
      <c r="B121" s="7"/>
      <c r="C121" s="7"/>
      <c r="D121" s="7"/>
      <c r="E121" s="7"/>
      <c r="F121" s="8"/>
      <c r="G121" s="9"/>
      <c r="H121" s="10"/>
      <c r="I121" s="9"/>
      <c r="J121" s="9"/>
      <c r="K121" s="11"/>
      <c r="L121" s="12"/>
      <c r="M121" s="12"/>
      <c r="N121" s="12"/>
      <c r="O121" s="9"/>
      <c r="P121" s="9"/>
      <c r="Q121" s="13" t="e">
        <f>VLOOKUP(O121, '[1]لیست محصولات اردیبهشت ۱۴۰۳'!B:C,2,0)</f>
        <v>#N/A</v>
      </c>
      <c r="R121" s="9"/>
      <c r="S121" s="12" t="e">
        <f>VLOOKUP(O121, '[1]لیست محصولات اردیبهشت ۱۴۰۳'!B:F,5,0)</f>
        <v>#N/A</v>
      </c>
      <c r="T121" s="14" t="e">
        <f>VLOOKUP(O121, '[1]لیست محصولات اردیبهشت ۱۴۰۳'!B:G,6,0)</f>
        <v>#N/A</v>
      </c>
      <c r="U121" s="15"/>
      <c r="V121" s="16">
        <f t="shared" si="13"/>
        <v>0</v>
      </c>
      <c r="W121" s="12">
        <f t="shared" si="14"/>
        <v>0</v>
      </c>
      <c r="X121" s="14" t="e">
        <f t="shared" si="15"/>
        <v>#N/A</v>
      </c>
      <c r="Y121" s="17"/>
      <c r="Z121" s="14" t="e">
        <f t="shared" si="16"/>
        <v>#N/A</v>
      </c>
      <c r="AA121" s="18"/>
      <c r="AB121" s="13"/>
      <c r="AC121" s="19"/>
      <c r="AD121" s="20"/>
      <c r="AE121" s="19"/>
      <c r="AF121" s="21"/>
      <c r="AG121" s="22"/>
      <c r="AH121" s="23" t="str">
        <f t="shared" si="18"/>
        <v xml:space="preserve">   -   </v>
      </c>
    </row>
    <row r="122" spans="1:34" ht="22.35" customHeight="1">
      <c r="A122" s="7"/>
      <c r="B122" s="7"/>
      <c r="C122" s="7"/>
      <c r="D122" s="7"/>
      <c r="E122" s="7"/>
      <c r="F122" s="8"/>
      <c r="G122" s="9"/>
      <c r="H122" s="10"/>
      <c r="I122" s="9"/>
      <c r="J122" s="9"/>
      <c r="K122" s="11"/>
      <c r="L122" s="12"/>
      <c r="M122" s="12"/>
      <c r="N122" s="12"/>
      <c r="O122" s="9"/>
      <c r="P122" s="9"/>
      <c r="Q122" s="13" t="e">
        <f>VLOOKUP(O122, '[1]لیست محصولات اردیبهشت ۱۴۰۳'!B:C,2,0)</f>
        <v>#N/A</v>
      </c>
      <c r="R122" s="9"/>
      <c r="S122" s="12" t="e">
        <f>VLOOKUP(O122, '[1]لیست محصولات اردیبهشت ۱۴۰۳'!B:F,5,0)</f>
        <v>#N/A</v>
      </c>
      <c r="T122" s="14" t="e">
        <f>VLOOKUP(O122, '[1]لیست محصولات اردیبهشت ۱۴۰۳'!B:G,6,0)</f>
        <v>#N/A</v>
      </c>
      <c r="U122" s="15"/>
      <c r="V122" s="16">
        <f t="shared" si="13"/>
        <v>0</v>
      </c>
      <c r="W122" s="12">
        <f t="shared" si="14"/>
        <v>0</v>
      </c>
      <c r="X122" s="14" t="e">
        <f t="shared" si="15"/>
        <v>#N/A</v>
      </c>
      <c r="Y122" s="17"/>
      <c r="Z122" s="14" t="e">
        <f t="shared" si="16"/>
        <v>#N/A</v>
      </c>
      <c r="AA122" s="18"/>
      <c r="AB122" s="13"/>
      <c r="AC122" s="19"/>
      <c r="AD122" s="20"/>
      <c r="AE122" s="19"/>
      <c r="AF122" s="21"/>
      <c r="AG122" s="22"/>
      <c r="AH122" s="23" t="str">
        <f t="shared" si="18"/>
        <v xml:space="preserve">   -   </v>
      </c>
    </row>
    <row r="123" spans="1:34" ht="22.35" customHeight="1">
      <c r="A123" s="7"/>
      <c r="B123" s="7"/>
      <c r="C123" s="7"/>
      <c r="D123" s="7"/>
      <c r="E123" s="7"/>
      <c r="F123" s="8"/>
      <c r="G123" s="9"/>
      <c r="H123" s="10"/>
      <c r="I123" s="9"/>
      <c r="J123" s="9"/>
      <c r="K123" s="11"/>
      <c r="L123" s="12"/>
      <c r="M123" s="12"/>
      <c r="N123" s="12"/>
      <c r="O123" s="9"/>
      <c r="P123" s="9"/>
      <c r="Q123" s="13" t="e">
        <f>VLOOKUP(O123, '[1]لیست محصولات اردیبهشت ۱۴۰۳'!B:C,2,0)</f>
        <v>#N/A</v>
      </c>
      <c r="R123" s="9"/>
      <c r="S123" s="12" t="e">
        <f>VLOOKUP(O123, '[1]لیست محصولات اردیبهشت ۱۴۰۳'!B:F,5,0)</f>
        <v>#N/A</v>
      </c>
      <c r="T123" s="14" t="e">
        <f>VLOOKUP(O123, '[1]لیست محصولات اردیبهشت ۱۴۰۳'!B:G,6,0)</f>
        <v>#N/A</v>
      </c>
      <c r="U123" s="15"/>
      <c r="V123" s="16">
        <f t="shared" si="13"/>
        <v>0</v>
      </c>
      <c r="W123" s="12">
        <f t="shared" si="14"/>
        <v>0</v>
      </c>
      <c r="X123" s="14" t="e">
        <f t="shared" si="15"/>
        <v>#N/A</v>
      </c>
      <c r="Y123" s="17"/>
      <c r="Z123" s="14" t="e">
        <f t="shared" si="16"/>
        <v>#N/A</v>
      </c>
      <c r="AA123" s="18"/>
      <c r="AB123" s="13"/>
      <c r="AC123" s="19"/>
      <c r="AD123" s="20"/>
      <c r="AE123" s="19"/>
      <c r="AF123" s="21"/>
      <c r="AG123" s="22"/>
      <c r="AH123" s="23" t="str">
        <f t="shared" si="18"/>
        <v xml:space="preserve">   -   </v>
      </c>
    </row>
    <row r="124" spans="1:34" ht="22.35" customHeight="1">
      <c r="A124" s="7"/>
      <c r="B124" s="7"/>
      <c r="C124" s="7"/>
      <c r="D124" s="7"/>
      <c r="E124" s="7"/>
      <c r="F124" s="8"/>
      <c r="G124" s="9"/>
      <c r="H124" s="10"/>
      <c r="I124" s="9"/>
      <c r="J124" s="9"/>
      <c r="K124" s="11"/>
      <c r="L124" s="12"/>
      <c r="M124" s="12"/>
      <c r="N124" s="12"/>
      <c r="O124" s="9"/>
      <c r="P124" s="9"/>
      <c r="Q124" s="13" t="e">
        <f>VLOOKUP(O124, '[1]لیست محصولات اردیبهشت ۱۴۰۳'!B:C,2,0)</f>
        <v>#N/A</v>
      </c>
      <c r="R124" s="9"/>
      <c r="S124" s="12" t="e">
        <f>VLOOKUP(O124, '[1]لیست محصولات اردیبهشت ۱۴۰۳'!B:F,5,0)</f>
        <v>#N/A</v>
      </c>
      <c r="T124" s="14" t="e">
        <f>VLOOKUP(O124, '[1]لیست محصولات اردیبهشت ۱۴۰۳'!B:G,6,0)</f>
        <v>#N/A</v>
      </c>
      <c r="U124" s="15"/>
      <c r="V124" s="16">
        <f t="shared" si="13"/>
        <v>0</v>
      </c>
      <c r="W124" s="12">
        <f t="shared" si="14"/>
        <v>0</v>
      </c>
      <c r="X124" s="14" t="e">
        <f t="shared" si="15"/>
        <v>#N/A</v>
      </c>
      <c r="Y124" s="17"/>
      <c r="Z124" s="14" t="e">
        <f t="shared" si="16"/>
        <v>#N/A</v>
      </c>
      <c r="AA124" s="18"/>
      <c r="AB124" s="13"/>
      <c r="AC124" s="19"/>
      <c r="AD124" s="20"/>
      <c r="AE124" s="19"/>
      <c r="AF124" s="21"/>
      <c r="AG124" s="22"/>
      <c r="AH124" s="23" t="str">
        <f t="shared" si="18"/>
        <v xml:space="preserve">   -   </v>
      </c>
    </row>
    <row r="125" spans="1:34" ht="22.35" customHeight="1">
      <c r="A125" s="7"/>
      <c r="B125" s="7"/>
      <c r="C125" s="7"/>
      <c r="D125" s="7"/>
      <c r="E125" s="7"/>
      <c r="F125" s="8"/>
      <c r="G125" s="9"/>
      <c r="H125" s="10"/>
      <c r="I125" s="9"/>
      <c r="J125" s="9"/>
      <c r="K125" s="11"/>
      <c r="L125" s="12"/>
      <c r="M125" s="12"/>
      <c r="N125" s="12"/>
      <c r="O125" s="9"/>
      <c r="P125" s="9"/>
      <c r="Q125" s="13" t="e">
        <f>VLOOKUP(O125, '[1]لیست محصولات اردیبهشت ۱۴۰۳'!B:C,2,0)</f>
        <v>#N/A</v>
      </c>
      <c r="R125" s="9"/>
      <c r="S125" s="12" t="e">
        <f>VLOOKUP(O125, '[1]لیست محصولات اردیبهشت ۱۴۰۳'!B:F,5,0)</f>
        <v>#N/A</v>
      </c>
      <c r="T125" s="14" t="e">
        <f>VLOOKUP(O125, '[1]لیست محصولات اردیبهشت ۱۴۰۳'!B:G,6,0)</f>
        <v>#N/A</v>
      </c>
      <c r="U125" s="15"/>
      <c r="V125" s="16">
        <f t="shared" si="13"/>
        <v>0</v>
      </c>
      <c r="W125" s="12">
        <f t="shared" si="14"/>
        <v>0</v>
      </c>
      <c r="X125" s="14" t="e">
        <f t="shared" si="15"/>
        <v>#N/A</v>
      </c>
      <c r="Y125" s="17"/>
      <c r="Z125" s="14" t="e">
        <f t="shared" si="16"/>
        <v>#N/A</v>
      </c>
      <c r="AA125" s="18"/>
      <c r="AB125" s="13"/>
      <c r="AC125" s="19"/>
      <c r="AD125" s="20"/>
      <c r="AE125" s="19"/>
      <c r="AF125" s="21"/>
      <c r="AG125" s="22"/>
      <c r="AH125" s="23" t="str">
        <f t="shared" si="18"/>
        <v xml:space="preserve">   -   </v>
      </c>
    </row>
    <row r="126" spans="1:34" ht="22.35" customHeight="1">
      <c r="A126" s="7"/>
      <c r="B126" s="7"/>
      <c r="C126" s="7"/>
      <c r="D126" s="7"/>
      <c r="E126" s="7"/>
      <c r="F126" s="8"/>
      <c r="G126" s="9"/>
      <c r="H126" s="10"/>
      <c r="I126" s="9"/>
      <c r="J126" s="9"/>
      <c r="K126" s="11"/>
      <c r="L126" s="12"/>
      <c r="M126" s="12"/>
      <c r="N126" s="12"/>
      <c r="O126" s="9"/>
      <c r="P126" s="9"/>
      <c r="Q126" s="13" t="e">
        <f>VLOOKUP(O126, '[1]لیست محصولات اردیبهشت ۱۴۰۳'!B:C,2,0)</f>
        <v>#N/A</v>
      </c>
      <c r="R126" s="9"/>
      <c r="S126" s="12" t="e">
        <f>VLOOKUP(O126, '[1]لیست محصولات اردیبهشت ۱۴۰۳'!B:F,5,0)</f>
        <v>#N/A</v>
      </c>
      <c r="T126" s="14" t="e">
        <f>VLOOKUP(O126, '[1]لیست محصولات اردیبهشت ۱۴۰۳'!B:G,6,0)</f>
        <v>#N/A</v>
      </c>
      <c r="U126" s="15"/>
      <c r="V126" s="16">
        <f t="shared" si="13"/>
        <v>0</v>
      </c>
      <c r="W126" s="12">
        <f t="shared" si="14"/>
        <v>0</v>
      </c>
      <c r="X126" s="14" t="e">
        <f t="shared" si="15"/>
        <v>#N/A</v>
      </c>
      <c r="Y126" s="17"/>
      <c r="Z126" s="14" t="e">
        <f t="shared" si="16"/>
        <v>#N/A</v>
      </c>
      <c r="AA126" s="18"/>
      <c r="AB126" s="13"/>
      <c r="AC126" s="19"/>
      <c r="AD126" s="20"/>
      <c r="AE126" s="19"/>
      <c r="AF126" s="21"/>
      <c r="AG126" s="22"/>
      <c r="AH126" s="23" t="str">
        <f t="shared" si="18"/>
        <v xml:space="preserve">   -   </v>
      </c>
    </row>
    <row r="127" spans="1:34" ht="22.35" customHeight="1">
      <c r="A127" s="7"/>
      <c r="B127" s="7"/>
      <c r="C127" s="7"/>
      <c r="D127" s="7"/>
      <c r="E127" s="7"/>
      <c r="F127" s="8"/>
      <c r="G127" s="9"/>
      <c r="H127" s="10"/>
      <c r="I127" s="9"/>
      <c r="J127" s="9"/>
      <c r="K127" s="11"/>
      <c r="L127" s="12"/>
      <c r="M127" s="12"/>
      <c r="N127" s="12"/>
      <c r="O127" s="9"/>
      <c r="P127" s="9"/>
      <c r="Q127" s="13" t="e">
        <f>VLOOKUP(O127, '[1]لیست محصولات اردیبهشت ۱۴۰۳'!B:C,2,0)</f>
        <v>#N/A</v>
      </c>
      <c r="R127" s="9"/>
      <c r="S127" s="12" t="e">
        <f>VLOOKUP(O127, '[1]لیست محصولات اردیبهشت ۱۴۰۳'!B:F,5,0)</f>
        <v>#N/A</v>
      </c>
      <c r="T127" s="14" t="e">
        <f>VLOOKUP(O127, '[1]لیست محصولات اردیبهشت ۱۴۰۳'!B:G,6,0)</f>
        <v>#N/A</v>
      </c>
      <c r="U127" s="15"/>
      <c r="V127" s="16">
        <f t="shared" si="13"/>
        <v>0</v>
      </c>
      <c r="W127" s="12">
        <f t="shared" si="14"/>
        <v>0</v>
      </c>
      <c r="X127" s="14" t="e">
        <f t="shared" si="15"/>
        <v>#N/A</v>
      </c>
      <c r="Y127" s="17"/>
      <c r="Z127" s="14" t="e">
        <f t="shared" si="16"/>
        <v>#N/A</v>
      </c>
      <c r="AA127" s="18"/>
      <c r="AB127" s="13"/>
      <c r="AC127" s="19"/>
      <c r="AD127" s="20"/>
      <c r="AE127" s="19"/>
      <c r="AF127" s="21"/>
      <c r="AG127" s="22"/>
      <c r="AH127" s="23" t="str">
        <f t="shared" si="18"/>
        <v xml:space="preserve">   -   </v>
      </c>
    </row>
    <row r="128" spans="1:34" ht="22.35" customHeight="1">
      <c r="A128" s="7"/>
      <c r="B128" s="7"/>
      <c r="C128" s="7"/>
      <c r="D128" s="7"/>
      <c r="E128" s="7"/>
      <c r="F128" s="8"/>
      <c r="G128" s="9"/>
      <c r="H128" s="10"/>
      <c r="I128" s="9"/>
      <c r="J128" s="9"/>
      <c r="K128" s="11"/>
      <c r="L128" s="12"/>
      <c r="M128" s="12"/>
      <c r="N128" s="12"/>
      <c r="O128" s="9"/>
      <c r="P128" s="9"/>
      <c r="Q128" s="13" t="e">
        <f>VLOOKUP(O128, '[1]لیست محصولات اردیبهشت ۱۴۰۳'!B:C,2,0)</f>
        <v>#N/A</v>
      </c>
      <c r="R128" s="9"/>
      <c r="S128" s="12" t="e">
        <f>VLOOKUP(O128, '[1]لیست محصولات اردیبهشت ۱۴۰۳'!B:F,5,0)</f>
        <v>#N/A</v>
      </c>
      <c r="T128" s="14" t="e">
        <f>VLOOKUP(O128, '[1]لیست محصولات اردیبهشت ۱۴۰۳'!B:G,6,0)</f>
        <v>#N/A</v>
      </c>
      <c r="U128" s="15"/>
      <c r="V128" s="16">
        <f t="shared" si="13"/>
        <v>0</v>
      </c>
      <c r="W128" s="12">
        <f t="shared" si="14"/>
        <v>0</v>
      </c>
      <c r="X128" s="14" t="e">
        <f t="shared" si="15"/>
        <v>#N/A</v>
      </c>
      <c r="Y128" s="17"/>
      <c r="Z128" s="14" t="e">
        <f t="shared" si="16"/>
        <v>#N/A</v>
      </c>
      <c r="AA128" s="18"/>
      <c r="AB128" s="13"/>
      <c r="AC128" s="19"/>
      <c r="AD128" s="20"/>
      <c r="AE128" s="19"/>
      <c r="AF128" s="21"/>
      <c r="AG128" s="22"/>
      <c r="AH128" s="23" t="str">
        <f t="shared" si="18"/>
        <v xml:space="preserve">   -   </v>
      </c>
    </row>
    <row r="129" spans="1:34" ht="22.35" customHeight="1">
      <c r="A129" s="7"/>
      <c r="B129" s="7"/>
      <c r="C129" s="7"/>
      <c r="D129" s="7"/>
      <c r="E129" s="7"/>
      <c r="F129" s="8"/>
      <c r="G129" s="9"/>
      <c r="H129" s="10"/>
      <c r="I129" s="9"/>
      <c r="J129" s="9"/>
      <c r="K129" s="11"/>
      <c r="L129" s="12"/>
      <c r="M129" s="12"/>
      <c r="N129" s="12"/>
      <c r="O129" s="9"/>
      <c r="P129" s="9"/>
      <c r="Q129" s="13" t="e">
        <f>VLOOKUP(O129, '[1]لیست محصولات اردیبهشت ۱۴۰۳'!B:C,2,0)</f>
        <v>#N/A</v>
      </c>
      <c r="R129" s="9"/>
      <c r="S129" s="12" t="e">
        <f>VLOOKUP(O129, '[1]لیست محصولات اردیبهشت ۱۴۰۳'!B:F,5,0)</f>
        <v>#N/A</v>
      </c>
      <c r="T129" s="14" t="e">
        <f>VLOOKUP(O129, '[1]لیست محصولات اردیبهشت ۱۴۰۳'!B:G,6,0)</f>
        <v>#N/A</v>
      </c>
      <c r="U129" s="15"/>
      <c r="V129" s="16">
        <f t="shared" si="13"/>
        <v>0</v>
      </c>
      <c r="W129" s="12">
        <f t="shared" si="14"/>
        <v>0</v>
      </c>
      <c r="X129" s="14" t="e">
        <f t="shared" si="15"/>
        <v>#N/A</v>
      </c>
      <c r="Y129" s="17"/>
      <c r="Z129" s="14" t="e">
        <f t="shared" si="16"/>
        <v>#N/A</v>
      </c>
      <c r="AA129" s="18"/>
      <c r="AB129" s="13"/>
      <c r="AC129" s="19"/>
      <c r="AD129" s="20"/>
      <c r="AE129" s="19"/>
      <c r="AF129" s="21"/>
      <c r="AG129" s="22"/>
      <c r="AH129" s="23" t="str">
        <f t="shared" si="18"/>
        <v xml:space="preserve">   -   </v>
      </c>
    </row>
    <row r="130" spans="1:34" ht="22.35" customHeight="1">
      <c r="A130" s="7"/>
      <c r="B130" s="7"/>
      <c r="C130" s="7"/>
      <c r="D130" s="7"/>
      <c r="E130" s="7"/>
      <c r="F130" s="8"/>
      <c r="G130" s="9"/>
      <c r="H130" s="10"/>
      <c r="I130" s="9"/>
      <c r="J130" s="9"/>
      <c r="K130" s="11"/>
      <c r="L130" s="12"/>
      <c r="M130" s="12"/>
      <c r="N130" s="12"/>
      <c r="O130" s="9"/>
      <c r="P130" s="9"/>
      <c r="Q130" s="13" t="e">
        <f>VLOOKUP(O130, '[1]لیست محصولات اردیبهشت ۱۴۰۳'!B:C,2,0)</f>
        <v>#N/A</v>
      </c>
      <c r="R130" s="9"/>
      <c r="S130" s="12" t="e">
        <f>VLOOKUP(O130, '[1]لیست محصولات اردیبهشت ۱۴۰۳'!B:F,5,0)</f>
        <v>#N/A</v>
      </c>
      <c r="T130" s="14" t="e">
        <f>VLOOKUP(O130, '[1]لیست محصولات اردیبهشت ۱۴۰۳'!B:G,6,0)</f>
        <v>#N/A</v>
      </c>
      <c r="U130" s="15"/>
      <c r="V130" s="16">
        <f t="shared" ref="V130:V193" si="19">IF(C130, P130, U130 )</f>
        <v>0</v>
      </c>
      <c r="W130" s="12">
        <f t="shared" si="14"/>
        <v>0</v>
      </c>
      <c r="X130" s="14" t="e">
        <f t="shared" si="15"/>
        <v>#N/A</v>
      </c>
      <c r="Y130" s="17"/>
      <c r="Z130" s="14" t="e">
        <f t="shared" si="16"/>
        <v>#N/A</v>
      </c>
      <c r="AA130" s="18"/>
      <c r="AB130" s="13"/>
      <c r="AC130" s="19"/>
      <c r="AD130" s="20"/>
      <c r="AE130" s="19"/>
      <c r="AF130" s="21"/>
      <c r="AG130" s="22"/>
      <c r="AH130" s="23" t="str">
        <f t="shared" si="18"/>
        <v xml:space="preserve">   -   </v>
      </c>
    </row>
    <row r="131" spans="1:34" ht="22.35" customHeight="1">
      <c r="A131" s="7"/>
      <c r="B131" s="7"/>
      <c r="C131" s="7"/>
      <c r="D131" s="7"/>
      <c r="E131" s="7"/>
      <c r="F131" s="8"/>
      <c r="G131" s="9"/>
      <c r="H131" s="10"/>
      <c r="I131" s="9"/>
      <c r="J131" s="9"/>
      <c r="K131" s="11"/>
      <c r="L131" s="12"/>
      <c r="M131" s="12"/>
      <c r="N131" s="12"/>
      <c r="O131" s="9"/>
      <c r="P131" s="9"/>
      <c r="Q131" s="13" t="e">
        <f>VLOOKUP(O131, '[1]لیست محصولات اردیبهشت ۱۴۰۳'!B:C,2,0)</f>
        <v>#N/A</v>
      </c>
      <c r="R131" s="9"/>
      <c r="S131" s="12" t="e">
        <f>VLOOKUP(O131, '[1]لیست محصولات اردیبهشت ۱۴۰۳'!B:F,5,0)</f>
        <v>#N/A</v>
      </c>
      <c r="T131" s="14" t="e">
        <f>VLOOKUP(O131, '[1]لیست محصولات اردیبهشت ۱۴۰۳'!B:G,6,0)</f>
        <v>#N/A</v>
      </c>
      <c r="U131" s="15"/>
      <c r="V131" s="16">
        <f t="shared" si="19"/>
        <v>0</v>
      </c>
      <c r="W131" s="12">
        <f t="shared" si="14"/>
        <v>0</v>
      </c>
      <c r="X131" s="14" t="e">
        <f t="shared" si="15"/>
        <v>#N/A</v>
      </c>
      <c r="Y131" s="17"/>
      <c r="Z131" s="14" t="e">
        <f t="shared" si="16"/>
        <v>#N/A</v>
      </c>
      <c r="AA131" s="18"/>
      <c r="AB131" s="13"/>
      <c r="AC131" s="19"/>
      <c r="AD131" s="20"/>
      <c r="AE131" s="19"/>
      <c r="AF131" s="21"/>
      <c r="AG131" s="22"/>
      <c r="AH131" s="23" t="str">
        <f t="shared" si="18"/>
        <v xml:space="preserve">   -   </v>
      </c>
    </row>
    <row r="132" spans="1:34" ht="22.35" customHeight="1">
      <c r="A132" s="7"/>
      <c r="B132" s="7"/>
      <c r="C132" s="7"/>
      <c r="D132" s="7"/>
      <c r="E132" s="7"/>
      <c r="F132" s="8"/>
      <c r="G132" s="9"/>
      <c r="H132" s="10"/>
      <c r="I132" s="9"/>
      <c r="J132" s="9"/>
      <c r="K132" s="11"/>
      <c r="L132" s="12"/>
      <c r="M132" s="12"/>
      <c r="N132" s="12"/>
      <c r="O132" s="9"/>
      <c r="P132" s="9"/>
      <c r="Q132" s="13" t="e">
        <f>VLOOKUP(O132, '[1]لیست محصولات اردیبهشت ۱۴۰۳'!B:C,2,0)</f>
        <v>#N/A</v>
      </c>
      <c r="R132" s="9"/>
      <c r="S132" s="12" t="e">
        <f>VLOOKUP(O132, '[1]لیست محصولات اردیبهشت ۱۴۰۳'!B:F,5,0)</f>
        <v>#N/A</v>
      </c>
      <c r="T132" s="14" t="e">
        <f>VLOOKUP(O132, '[1]لیست محصولات اردیبهشت ۱۴۰۳'!B:G,6,0)</f>
        <v>#N/A</v>
      </c>
      <c r="U132" s="15"/>
      <c r="V132" s="16">
        <f t="shared" si="19"/>
        <v>0</v>
      </c>
      <c r="W132" s="12">
        <f t="shared" si="14"/>
        <v>0</v>
      </c>
      <c r="X132" s="14" t="e">
        <f t="shared" si="15"/>
        <v>#N/A</v>
      </c>
      <c r="Y132" s="17"/>
      <c r="Z132" s="14" t="e">
        <f t="shared" si="16"/>
        <v>#N/A</v>
      </c>
      <c r="AA132" s="18"/>
      <c r="AB132" s="13"/>
      <c r="AC132" s="19"/>
      <c r="AD132" s="20"/>
      <c r="AE132" s="19"/>
      <c r="AF132" s="21"/>
      <c r="AG132" s="22"/>
      <c r="AH132" s="23" t="str">
        <f t="shared" ref="AH132:AH195" si="20">AA132&amp;" "&amp;AB132&amp;" "&amp;N132&amp;" - "&amp;L132&amp;" "&amp;M132&amp;" "&amp;AC132</f>
        <v xml:space="preserve">   -   </v>
      </c>
    </row>
    <row r="133" spans="1:34" ht="22.35" customHeight="1">
      <c r="A133" s="7"/>
      <c r="B133" s="7"/>
      <c r="C133" s="7"/>
      <c r="D133" s="7"/>
      <c r="E133" s="7"/>
      <c r="F133" s="8"/>
      <c r="G133" s="9"/>
      <c r="H133" s="10"/>
      <c r="I133" s="9"/>
      <c r="J133" s="9"/>
      <c r="K133" s="11"/>
      <c r="L133" s="12"/>
      <c r="M133" s="12"/>
      <c r="N133" s="12"/>
      <c r="O133" s="9"/>
      <c r="P133" s="9"/>
      <c r="Q133" s="13" t="e">
        <f>VLOOKUP(O133, '[1]لیست محصولات اردیبهشت ۱۴۰۳'!B:C,2,0)</f>
        <v>#N/A</v>
      </c>
      <c r="R133" s="9"/>
      <c r="S133" s="12" t="e">
        <f>VLOOKUP(O133, '[1]لیست محصولات اردیبهشت ۱۴۰۳'!B:F,5,0)</f>
        <v>#N/A</v>
      </c>
      <c r="T133" s="14" t="e">
        <f>VLOOKUP(O133, '[1]لیست محصولات اردیبهشت ۱۴۰۳'!B:G,6,0)</f>
        <v>#N/A</v>
      </c>
      <c r="U133" s="15"/>
      <c r="V133" s="16">
        <f t="shared" si="19"/>
        <v>0</v>
      </c>
      <c r="W133" s="12">
        <f t="shared" si="14"/>
        <v>0</v>
      </c>
      <c r="X133" s="14" t="e">
        <f t="shared" si="15"/>
        <v>#N/A</v>
      </c>
      <c r="Y133" s="17"/>
      <c r="Z133" s="14" t="e">
        <f t="shared" si="16"/>
        <v>#N/A</v>
      </c>
      <c r="AA133" s="18"/>
      <c r="AB133" s="13"/>
      <c r="AC133" s="19"/>
      <c r="AD133" s="20"/>
      <c r="AE133" s="19"/>
      <c r="AF133" s="21"/>
      <c r="AG133" s="22"/>
      <c r="AH133" s="23" t="str">
        <f t="shared" si="20"/>
        <v xml:space="preserve">   -   </v>
      </c>
    </row>
    <row r="134" spans="1:34" ht="22.35" customHeight="1">
      <c r="A134" s="7"/>
      <c r="B134" s="7"/>
      <c r="C134" s="7"/>
      <c r="D134" s="7"/>
      <c r="E134" s="7"/>
      <c r="F134" s="8"/>
      <c r="G134" s="9"/>
      <c r="H134" s="10"/>
      <c r="I134" s="9"/>
      <c r="J134" s="9"/>
      <c r="K134" s="11"/>
      <c r="L134" s="12"/>
      <c r="M134" s="12"/>
      <c r="N134" s="12"/>
      <c r="O134" s="9"/>
      <c r="P134" s="9"/>
      <c r="Q134" s="13" t="e">
        <f>VLOOKUP(O134, '[1]لیست محصولات اردیبهشت ۱۴۰۳'!B:C,2,0)</f>
        <v>#N/A</v>
      </c>
      <c r="R134" s="9"/>
      <c r="S134" s="12" t="e">
        <f>VLOOKUP(O134, '[1]لیست محصولات اردیبهشت ۱۴۰۳'!B:F,5,0)</f>
        <v>#N/A</v>
      </c>
      <c r="T134" s="14" t="e">
        <f>VLOOKUP(O134, '[1]لیست محصولات اردیبهشت ۱۴۰۳'!B:G,6,0)</f>
        <v>#N/A</v>
      </c>
      <c r="U134" s="15"/>
      <c r="V134" s="16">
        <f t="shared" si="19"/>
        <v>0</v>
      </c>
      <c r="W134" s="12">
        <f t="shared" si="14"/>
        <v>0</v>
      </c>
      <c r="X134" s="14" t="e">
        <f t="shared" si="15"/>
        <v>#N/A</v>
      </c>
      <c r="Y134" s="17"/>
      <c r="Z134" s="14" t="e">
        <f t="shared" si="16"/>
        <v>#N/A</v>
      </c>
      <c r="AA134" s="18"/>
      <c r="AB134" s="13"/>
      <c r="AC134" s="19"/>
      <c r="AD134" s="20"/>
      <c r="AE134" s="19"/>
      <c r="AF134" s="21"/>
      <c r="AG134" s="22"/>
      <c r="AH134" s="23" t="str">
        <f t="shared" si="20"/>
        <v xml:space="preserve">   -   </v>
      </c>
    </row>
    <row r="135" spans="1:34" ht="22.35" customHeight="1">
      <c r="A135" s="7"/>
      <c r="B135" s="7"/>
      <c r="C135" s="7"/>
      <c r="D135" s="7"/>
      <c r="E135" s="7"/>
      <c r="F135" s="8"/>
      <c r="G135" s="9"/>
      <c r="H135" s="10"/>
      <c r="I135" s="9"/>
      <c r="J135" s="9"/>
      <c r="K135" s="11"/>
      <c r="L135" s="12"/>
      <c r="M135" s="12"/>
      <c r="N135" s="12"/>
      <c r="O135" s="9"/>
      <c r="P135" s="9"/>
      <c r="Q135" s="13" t="e">
        <f>VLOOKUP(O135, '[1]لیست محصولات اردیبهشت ۱۴۰۳'!B:C,2,0)</f>
        <v>#N/A</v>
      </c>
      <c r="R135" s="9"/>
      <c r="S135" s="12" t="e">
        <f>VLOOKUP(O135, '[1]لیست محصولات اردیبهشت ۱۴۰۳'!B:F,5,0)</f>
        <v>#N/A</v>
      </c>
      <c r="T135" s="14" t="e">
        <f>VLOOKUP(O135, '[1]لیست محصولات اردیبهشت ۱۴۰۳'!B:G,6,0)</f>
        <v>#N/A</v>
      </c>
      <c r="U135" s="15"/>
      <c r="V135" s="16">
        <f t="shared" si="19"/>
        <v>0</v>
      </c>
      <c r="W135" s="12">
        <f t="shared" si="14"/>
        <v>0</v>
      </c>
      <c r="X135" s="14" t="e">
        <f t="shared" si="15"/>
        <v>#N/A</v>
      </c>
      <c r="Y135" s="17"/>
      <c r="Z135" s="14" t="e">
        <f t="shared" si="16"/>
        <v>#N/A</v>
      </c>
      <c r="AA135" s="18"/>
      <c r="AB135" s="13"/>
      <c r="AC135" s="19"/>
      <c r="AD135" s="20"/>
      <c r="AE135" s="19"/>
      <c r="AF135" s="21"/>
      <c r="AG135" s="22"/>
      <c r="AH135" s="23" t="str">
        <f t="shared" si="20"/>
        <v xml:space="preserve">   -   </v>
      </c>
    </row>
    <row r="136" spans="1:34" ht="22.35" customHeight="1">
      <c r="A136" s="7"/>
      <c r="B136" s="7"/>
      <c r="C136" s="7"/>
      <c r="D136" s="7"/>
      <c r="E136" s="7"/>
      <c r="F136" s="8"/>
      <c r="G136" s="9"/>
      <c r="H136" s="10"/>
      <c r="I136" s="9"/>
      <c r="J136" s="9"/>
      <c r="K136" s="11"/>
      <c r="L136" s="12"/>
      <c r="M136" s="12"/>
      <c r="N136" s="12"/>
      <c r="O136" s="9"/>
      <c r="P136" s="9"/>
      <c r="Q136" s="13" t="e">
        <f>VLOOKUP(O136, '[1]لیست محصولات اردیبهشت ۱۴۰۳'!B:C,2,0)</f>
        <v>#N/A</v>
      </c>
      <c r="R136" s="9"/>
      <c r="S136" s="12" t="e">
        <f>VLOOKUP(O136, '[1]لیست محصولات اردیبهشت ۱۴۰۳'!B:F,5,0)</f>
        <v>#N/A</v>
      </c>
      <c r="T136" s="14" t="e">
        <f>VLOOKUP(O136, '[1]لیست محصولات اردیبهشت ۱۴۰۳'!B:G,6,0)</f>
        <v>#N/A</v>
      </c>
      <c r="U136" s="15"/>
      <c r="V136" s="16">
        <f t="shared" si="19"/>
        <v>0</v>
      </c>
      <c r="W136" s="12">
        <f t="shared" si="14"/>
        <v>0</v>
      </c>
      <c r="X136" s="14" t="e">
        <f t="shared" si="15"/>
        <v>#N/A</v>
      </c>
      <c r="Y136" s="17"/>
      <c r="Z136" s="14" t="e">
        <f t="shared" si="16"/>
        <v>#N/A</v>
      </c>
      <c r="AA136" s="18"/>
      <c r="AB136" s="13"/>
      <c r="AC136" s="19"/>
      <c r="AD136" s="20"/>
      <c r="AE136" s="19"/>
      <c r="AF136" s="21"/>
      <c r="AG136" s="22"/>
      <c r="AH136" s="23" t="str">
        <f t="shared" si="20"/>
        <v xml:space="preserve">   -   </v>
      </c>
    </row>
    <row r="137" spans="1:34" ht="22.35" customHeight="1">
      <c r="A137" s="7"/>
      <c r="B137" s="7"/>
      <c r="C137" s="7"/>
      <c r="D137" s="7"/>
      <c r="E137" s="7"/>
      <c r="F137" s="8"/>
      <c r="G137" s="9"/>
      <c r="H137" s="10"/>
      <c r="I137" s="9"/>
      <c r="J137" s="9"/>
      <c r="K137" s="11"/>
      <c r="L137" s="12"/>
      <c r="M137" s="12"/>
      <c r="N137" s="12"/>
      <c r="O137" s="9"/>
      <c r="P137" s="9"/>
      <c r="Q137" s="13" t="e">
        <f>VLOOKUP(O137, '[1]لیست محصولات اردیبهشت ۱۴۰۳'!B:C,2,0)</f>
        <v>#N/A</v>
      </c>
      <c r="R137" s="9"/>
      <c r="S137" s="12" t="e">
        <f>VLOOKUP(O137, '[1]لیست محصولات اردیبهشت ۱۴۰۳'!B:F,5,0)</f>
        <v>#N/A</v>
      </c>
      <c r="T137" s="14" t="e">
        <f>VLOOKUP(O137, '[1]لیست محصولات اردیبهشت ۱۴۰۳'!B:G,6,0)</f>
        <v>#N/A</v>
      </c>
      <c r="U137" s="15"/>
      <c r="V137" s="16">
        <f t="shared" si="19"/>
        <v>0</v>
      </c>
      <c r="W137" s="12">
        <f t="shared" si="14"/>
        <v>0</v>
      </c>
      <c r="X137" s="14" t="e">
        <f t="shared" si="15"/>
        <v>#N/A</v>
      </c>
      <c r="Y137" s="17"/>
      <c r="Z137" s="14" t="e">
        <f t="shared" si="16"/>
        <v>#N/A</v>
      </c>
      <c r="AA137" s="18"/>
      <c r="AB137" s="13"/>
      <c r="AC137" s="19"/>
      <c r="AD137" s="20"/>
      <c r="AE137" s="19"/>
      <c r="AF137" s="21"/>
      <c r="AG137" s="22"/>
      <c r="AH137" s="23" t="str">
        <f t="shared" si="20"/>
        <v xml:space="preserve">   -   </v>
      </c>
    </row>
    <row r="138" spans="1:34" ht="22.35" customHeight="1">
      <c r="A138" s="7"/>
      <c r="B138" s="7"/>
      <c r="C138" s="7"/>
      <c r="D138" s="7"/>
      <c r="E138" s="7"/>
      <c r="F138" s="8"/>
      <c r="G138" s="9"/>
      <c r="H138" s="10"/>
      <c r="I138" s="9"/>
      <c r="J138" s="9"/>
      <c r="K138" s="11"/>
      <c r="L138" s="12"/>
      <c r="M138" s="12"/>
      <c r="N138" s="12"/>
      <c r="O138" s="9"/>
      <c r="P138" s="9"/>
      <c r="Q138" s="13" t="e">
        <f>VLOOKUP(O138, '[1]لیست محصولات اردیبهشت ۱۴۰۳'!B:C,2,0)</f>
        <v>#N/A</v>
      </c>
      <c r="R138" s="9"/>
      <c r="S138" s="12" t="e">
        <f>VLOOKUP(O138, '[1]لیست محصولات اردیبهشت ۱۴۰۳'!B:F,5,0)</f>
        <v>#N/A</v>
      </c>
      <c r="T138" s="14" t="e">
        <f>VLOOKUP(O138, '[1]لیست محصولات اردیبهشت ۱۴۰۳'!B:G,6,0)</f>
        <v>#N/A</v>
      </c>
      <c r="U138" s="15"/>
      <c r="V138" s="16">
        <f t="shared" si="19"/>
        <v>0</v>
      </c>
      <c r="W138" s="12">
        <f t="shared" si="14"/>
        <v>0</v>
      </c>
      <c r="X138" s="14" t="e">
        <f t="shared" si="15"/>
        <v>#N/A</v>
      </c>
      <c r="Y138" s="17"/>
      <c r="Z138" s="14" t="e">
        <f t="shared" si="16"/>
        <v>#N/A</v>
      </c>
      <c r="AA138" s="18"/>
      <c r="AB138" s="13"/>
      <c r="AC138" s="19"/>
      <c r="AD138" s="20"/>
      <c r="AE138" s="19"/>
      <c r="AF138" s="21"/>
      <c r="AG138" s="22"/>
      <c r="AH138" s="23" t="str">
        <f t="shared" si="20"/>
        <v xml:space="preserve">   -   </v>
      </c>
    </row>
    <row r="139" spans="1:34" ht="22.35" customHeight="1">
      <c r="A139" s="7"/>
      <c r="B139" s="7"/>
      <c r="C139" s="7"/>
      <c r="D139" s="7"/>
      <c r="E139" s="7"/>
      <c r="F139" s="8"/>
      <c r="G139" s="9"/>
      <c r="H139" s="10"/>
      <c r="I139" s="9"/>
      <c r="J139" s="9"/>
      <c r="K139" s="11"/>
      <c r="L139" s="12"/>
      <c r="M139" s="12"/>
      <c r="N139" s="12"/>
      <c r="O139" s="9"/>
      <c r="P139" s="9"/>
      <c r="Q139" s="13" t="e">
        <f>VLOOKUP(O139, '[1]لیست محصولات اردیبهشت ۱۴۰۳'!B:C,2,0)</f>
        <v>#N/A</v>
      </c>
      <c r="R139" s="9"/>
      <c r="S139" s="12" t="e">
        <f>VLOOKUP(O139, '[1]لیست محصولات اردیبهشت ۱۴۰۳'!B:F,5,0)</f>
        <v>#N/A</v>
      </c>
      <c r="T139" s="14" t="e">
        <f>VLOOKUP(O139, '[1]لیست محصولات اردیبهشت ۱۴۰۳'!B:G,6,0)</f>
        <v>#N/A</v>
      </c>
      <c r="U139" s="15"/>
      <c r="V139" s="16">
        <f t="shared" si="19"/>
        <v>0</v>
      </c>
      <c r="W139" s="12">
        <f t="shared" si="14"/>
        <v>0</v>
      </c>
      <c r="X139" s="14" t="e">
        <f t="shared" si="15"/>
        <v>#N/A</v>
      </c>
      <c r="Y139" s="17"/>
      <c r="Z139" s="14" t="e">
        <f t="shared" si="16"/>
        <v>#N/A</v>
      </c>
      <c r="AA139" s="18"/>
      <c r="AB139" s="13"/>
      <c r="AC139" s="19"/>
      <c r="AD139" s="20"/>
      <c r="AE139" s="19"/>
      <c r="AF139" s="21"/>
      <c r="AG139" s="22"/>
      <c r="AH139" s="23" t="str">
        <f t="shared" si="20"/>
        <v xml:space="preserve">   -   </v>
      </c>
    </row>
    <row r="140" spans="1:34" ht="22.35" customHeight="1">
      <c r="A140" s="7"/>
      <c r="B140" s="7"/>
      <c r="C140" s="7"/>
      <c r="D140" s="7"/>
      <c r="E140" s="7"/>
      <c r="F140" s="8"/>
      <c r="G140" s="9"/>
      <c r="H140" s="10"/>
      <c r="I140" s="9"/>
      <c r="J140" s="9"/>
      <c r="K140" s="11"/>
      <c r="L140" s="12"/>
      <c r="M140" s="12"/>
      <c r="N140" s="12"/>
      <c r="O140" s="9"/>
      <c r="P140" s="9"/>
      <c r="Q140" s="13" t="e">
        <f>VLOOKUP(O140, '[1]لیست محصولات اردیبهشت ۱۴۰۳'!B:C,2,0)</f>
        <v>#N/A</v>
      </c>
      <c r="R140" s="9"/>
      <c r="S140" s="12" t="e">
        <f>VLOOKUP(O140, '[1]لیست محصولات اردیبهشت ۱۴۰۳'!B:F,5,0)</f>
        <v>#N/A</v>
      </c>
      <c r="T140" s="14" t="e">
        <f>VLOOKUP(O140, '[1]لیست محصولات اردیبهشت ۱۴۰۳'!B:G,6,0)</f>
        <v>#N/A</v>
      </c>
      <c r="U140" s="15"/>
      <c r="V140" s="16">
        <f t="shared" si="19"/>
        <v>0</v>
      </c>
      <c r="W140" s="12">
        <f t="shared" si="14"/>
        <v>0</v>
      </c>
      <c r="X140" s="14" t="e">
        <f t="shared" si="15"/>
        <v>#N/A</v>
      </c>
      <c r="Y140" s="17"/>
      <c r="Z140" s="14" t="e">
        <f t="shared" si="16"/>
        <v>#N/A</v>
      </c>
      <c r="AA140" s="18"/>
      <c r="AB140" s="13"/>
      <c r="AC140" s="19"/>
      <c r="AD140" s="20"/>
      <c r="AE140" s="19"/>
      <c r="AF140" s="21"/>
      <c r="AG140" s="22"/>
      <c r="AH140" s="23" t="str">
        <f t="shared" si="20"/>
        <v xml:space="preserve">   -   </v>
      </c>
    </row>
    <row r="141" spans="1:34" ht="22.35" customHeight="1">
      <c r="A141" s="7"/>
      <c r="B141" s="7"/>
      <c r="C141" s="7"/>
      <c r="D141" s="7"/>
      <c r="E141" s="7"/>
      <c r="F141" s="8"/>
      <c r="G141" s="9"/>
      <c r="H141" s="10"/>
      <c r="I141" s="9"/>
      <c r="J141" s="9"/>
      <c r="K141" s="11"/>
      <c r="L141" s="12"/>
      <c r="M141" s="12"/>
      <c r="N141" s="12"/>
      <c r="O141" s="9"/>
      <c r="P141" s="9"/>
      <c r="Q141" s="13" t="e">
        <f>VLOOKUP(O141, '[1]لیست محصولات اردیبهشت ۱۴۰۳'!B:C,2,0)</f>
        <v>#N/A</v>
      </c>
      <c r="R141" s="9"/>
      <c r="S141" s="12" t="e">
        <f>VLOOKUP(O141, '[1]لیست محصولات اردیبهشت ۱۴۰۳'!B:F,5,0)</f>
        <v>#N/A</v>
      </c>
      <c r="T141" s="14" t="e">
        <f>VLOOKUP(O141, '[1]لیست محصولات اردیبهشت ۱۴۰۳'!B:G,6,0)</f>
        <v>#N/A</v>
      </c>
      <c r="U141" s="15"/>
      <c r="V141" s="16">
        <f t="shared" si="19"/>
        <v>0</v>
      </c>
      <c r="W141" s="12">
        <f t="shared" si="14"/>
        <v>0</v>
      </c>
      <c r="X141" s="14" t="e">
        <f t="shared" si="15"/>
        <v>#N/A</v>
      </c>
      <c r="Y141" s="17"/>
      <c r="Z141" s="14" t="e">
        <f t="shared" si="16"/>
        <v>#N/A</v>
      </c>
      <c r="AA141" s="18"/>
      <c r="AB141" s="13"/>
      <c r="AC141" s="19"/>
      <c r="AD141" s="20"/>
      <c r="AE141" s="19"/>
      <c r="AF141" s="21"/>
      <c r="AG141" s="22"/>
      <c r="AH141" s="23" t="str">
        <f t="shared" si="20"/>
        <v xml:space="preserve">   -   </v>
      </c>
    </row>
    <row r="142" spans="1:34" ht="22.35" customHeight="1">
      <c r="A142" s="7"/>
      <c r="B142" s="7"/>
      <c r="C142" s="7"/>
      <c r="D142" s="7"/>
      <c r="E142" s="7"/>
      <c r="F142" s="8"/>
      <c r="G142" s="9"/>
      <c r="H142" s="10"/>
      <c r="I142" s="9"/>
      <c r="J142" s="9"/>
      <c r="K142" s="11"/>
      <c r="L142" s="12"/>
      <c r="M142" s="12"/>
      <c r="N142" s="12"/>
      <c r="O142" s="9"/>
      <c r="P142" s="9"/>
      <c r="Q142" s="13" t="e">
        <f>VLOOKUP(O142, '[1]لیست محصولات اردیبهشت ۱۴۰۳'!B:C,2,0)</f>
        <v>#N/A</v>
      </c>
      <c r="R142" s="9"/>
      <c r="S142" s="12" t="e">
        <f>VLOOKUP(O142, '[1]لیست محصولات اردیبهشت ۱۴۰۳'!B:F,5,0)</f>
        <v>#N/A</v>
      </c>
      <c r="T142" s="14" t="e">
        <f>VLOOKUP(O142, '[1]لیست محصولات اردیبهشت ۱۴۰۳'!B:G,6,0)</f>
        <v>#N/A</v>
      </c>
      <c r="U142" s="15"/>
      <c r="V142" s="16">
        <f t="shared" si="19"/>
        <v>0</v>
      </c>
      <c r="W142" s="12">
        <f t="shared" si="14"/>
        <v>0</v>
      </c>
      <c r="X142" s="14" t="e">
        <f t="shared" si="15"/>
        <v>#N/A</v>
      </c>
      <c r="Y142" s="17"/>
      <c r="Z142" s="14" t="e">
        <f t="shared" si="16"/>
        <v>#N/A</v>
      </c>
      <c r="AA142" s="18"/>
      <c r="AB142" s="13"/>
      <c r="AC142" s="19"/>
      <c r="AD142" s="20"/>
      <c r="AE142" s="19"/>
      <c r="AF142" s="21"/>
      <c r="AG142" s="22"/>
      <c r="AH142" s="23" t="str">
        <f t="shared" si="20"/>
        <v xml:space="preserve">   -   </v>
      </c>
    </row>
    <row r="143" spans="1:34" ht="22.35" customHeight="1">
      <c r="A143" s="7"/>
      <c r="B143" s="7"/>
      <c r="C143" s="7"/>
      <c r="D143" s="7"/>
      <c r="E143" s="7"/>
      <c r="F143" s="8"/>
      <c r="G143" s="9"/>
      <c r="H143" s="10"/>
      <c r="I143" s="9"/>
      <c r="J143" s="9"/>
      <c r="K143" s="11"/>
      <c r="L143" s="12"/>
      <c r="M143" s="12"/>
      <c r="N143" s="12"/>
      <c r="O143" s="9"/>
      <c r="P143" s="9"/>
      <c r="Q143" s="13" t="e">
        <f>VLOOKUP(O143, '[1]لیست محصولات اردیبهشت ۱۴۰۳'!B:C,2,0)</f>
        <v>#N/A</v>
      </c>
      <c r="R143" s="9"/>
      <c r="S143" s="12" t="e">
        <f>VLOOKUP(O143, '[1]لیست محصولات اردیبهشت ۱۴۰۳'!B:F,5,0)</f>
        <v>#N/A</v>
      </c>
      <c r="T143" s="14" t="e">
        <f>VLOOKUP(O143, '[1]لیست محصولات اردیبهشت ۱۴۰۳'!B:G,6,0)</f>
        <v>#N/A</v>
      </c>
      <c r="U143" s="15"/>
      <c r="V143" s="16">
        <f t="shared" si="19"/>
        <v>0</v>
      </c>
      <c r="W143" s="12">
        <f t="shared" si="14"/>
        <v>0</v>
      </c>
      <c r="X143" s="14" t="e">
        <f t="shared" si="15"/>
        <v>#N/A</v>
      </c>
      <c r="Y143" s="17"/>
      <c r="Z143" s="14" t="e">
        <f t="shared" si="16"/>
        <v>#N/A</v>
      </c>
      <c r="AA143" s="18"/>
      <c r="AB143" s="13"/>
      <c r="AC143" s="19"/>
      <c r="AD143" s="20"/>
      <c r="AE143" s="19"/>
      <c r="AF143" s="21"/>
      <c r="AG143" s="22"/>
      <c r="AH143" s="23" t="str">
        <f t="shared" si="20"/>
        <v xml:space="preserve">   -   </v>
      </c>
    </row>
    <row r="144" spans="1:34" ht="22.35" customHeight="1">
      <c r="A144" s="7"/>
      <c r="B144" s="7"/>
      <c r="C144" s="7"/>
      <c r="D144" s="7"/>
      <c r="E144" s="7"/>
      <c r="F144" s="8"/>
      <c r="G144" s="9"/>
      <c r="H144" s="10"/>
      <c r="I144" s="9"/>
      <c r="J144" s="9"/>
      <c r="K144" s="11"/>
      <c r="L144" s="12"/>
      <c r="M144" s="12"/>
      <c r="N144" s="12"/>
      <c r="O144" s="9"/>
      <c r="P144" s="9"/>
      <c r="Q144" s="13" t="e">
        <f>VLOOKUP(O144, '[1]لیست محصولات اردیبهشت ۱۴۰۳'!B:C,2,0)</f>
        <v>#N/A</v>
      </c>
      <c r="R144" s="9"/>
      <c r="S144" s="12" t="e">
        <f>VLOOKUP(O144, '[1]لیست محصولات اردیبهشت ۱۴۰۳'!B:F,5,0)</f>
        <v>#N/A</v>
      </c>
      <c r="T144" s="14" t="e">
        <f>VLOOKUP(O144, '[1]لیست محصولات اردیبهشت ۱۴۰۳'!B:G,6,0)</f>
        <v>#N/A</v>
      </c>
      <c r="U144" s="15"/>
      <c r="V144" s="16">
        <f t="shared" si="19"/>
        <v>0</v>
      </c>
      <c r="W144" s="12">
        <f t="shared" si="14"/>
        <v>0</v>
      </c>
      <c r="X144" s="14" t="e">
        <f t="shared" si="15"/>
        <v>#N/A</v>
      </c>
      <c r="Y144" s="17"/>
      <c r="Z144" s="14" t="e">
        <f t="shared" si="16"/>
        <v>#N/A</v>
      </c>
      <c r="AA144" s="18"/>
      <c r="AB144" s="13"/>
      <c r="AC144" s="19"/>
      <c r="AD144" s="20"/>
      <c r="AE144" s="19"/>
      <c r="AF144" s="21"/>
      <c r="AG144" s="22"/>
      <c r="AH144" s="23" t="str">
        <f t="shared" si="20"/>
        <v xml:space="preserve">   -   </v>
      </c>
    </row>
    <row r="145" spans="1:34" ht="22.35" customHeight="1">
      <c r="A145" s="7"/>
      <c r="B145" s="7"/>
      <c r="C145" s="7"/>
      <c r="D145" s="7"/>
      <c r="E145" s="7"/>
      <c r="F145" s="8"/>
      <c r="G145" s="9"/>
      <c r="H145" s="10"/>
      <c r="I145" s="9"/>
      <c r="J145" s="9"/>
      <c r="K145" s="11"/>
      <c r="L145" s="12"/>
      <c r="M145" s="12"/>
      <c r="N145" s="12"/>
      <c r="O145" s="9"/>
      <c r="P145" s="9"/>
      <c r="Q145" s="13" t="e">
        <f>VLOOKUP(O145, '[1]لیست محصولات اردیبهشت ۱۴۰۳'!B:C,2,0)</f>
        <v>#N/A</v>
      </c>
      <c r="R145" s="9"/>
      <c r="S145" s="12" t="e">
        <f>VLOOKUP(O145, '[1]لیست محصولات اردیبهشت ۱۴۰۳'!B:F,5,0)</f>
        <v>#N/A</v>
      </c>
      <c r="T145" s="14" t="e">
        <f>VLOOKUP(O145, '[1]لیست محصولات اردیبهشت ۱۴۰۳'!B:G,6,0)</f>
        <v>#N/A</v>
      </c>
      <c r="U145" s="15"/>
      <c r="V145" s="16">
        <f t="shared" si="19"/>
        <v>0</v>
      </c>
      <c r="W145" s="12">
        <f t="shared" si="14"/>
        <v>0</v>
      </c>
      <c r="X145" s="14" t="e">
        <f t="shared" si="15"/>
        <v>#N/A</v>
      </c>
      <c r="Y145" s="17"/>
      <c r="Z145" s="14" t="e">
        <f t="shared" si="16"/>
        <v>#N/A</v>
      </c>
      <c r="AA145" s="18"/>
      <c r="AB145" s="13"/>
      <c r="AC145" s="19"/>
      <c r="AD145" s="20"/>
      <c r="AE145" s="19"/>
      <c r="AF145" s="21"/>
      <c r="AG145" s="22"/>
      <c r="AH145" s="23" t="str">
        <f t="shared" si="20"/>
        <v xml:space="preserve">   -   </v>
      </c>
    </row>
    <row r="146" spans="1:34" ht="22.35" customHeight="1">
      <c r="A146" s="7"/>
      <c r="B146" s="7"/>
      <c r="C146" s="7"/>
      <c r="D146" s="7"/>
      <c r="E146" s="7"/>
      <c r="F146" s="8"/>
      <c r="G146" s="9"/>
      <c r="H146" s="10"/>
      <c r="I146" s="9"/>
      <c r="J146" s="9"/>
      <c r="K146" s="11"/>
      <c r="L146" s="12"/>
      <c r="M146" s="12"/>
      <c r="N146" s="12"/>
      <c r="O146" s="9"/>
      <c r="P146" s="9"/>
      <c r="Q146" s="13" t="e">
        <f>VLOOKUP(O146, '[1]لیست محصولات اردیبهشت ۱۴۰۳'!B:C,2,0)</f>
        <v>#N/A</v>
      </c>
      <c r="R146" s="9"/>
      <c r="S146" s="12" t="e">
        <f>VLOOKUP(O146, '[1]لیست محصولات اردیبهشت ۱۴۰۳'!B:F,5,0)</f>
        <v>#N/A</v>
      </c>
      <c r="T146" s="14" t="e">
        <f>VLOOKUP(O146, '[1]لیست محصولات اردیبهشت ۱۴۰۳'!B:G,6,0)</f>
        <v>#N/A</v>
      </c>
      <c r="U146" s="15"/>
      <c r="V146" s="16">
        <f t="shared" si="19"/>
        <v>0</v>
      </c>
      <c r="W146" s="12">
        <f t="shared" si="14"/>
        <v>0</v>
      </c>
      <c r="X146" s="14" t="e">
        <f t="shared" si="15"/>
        <v>#N/A</v>
      </c>
      <c r="Y146" s="17"/>
      <c r="Z146" s="14" t="e">
        <f t="shared" si="16"/>
        <v>#N/A</v>
      </c>
      <c r="AA146" s="18"/>
      <c r="AB146" s="13"/>
      <c r="AC146" s="19"/>
      <c r="AD146" s="20"/>
      <c r="AE146" s="19"/>
      <c r="AF146" s="21"/>
      <c r="AG146" s="22"/>
      <c r="AH146" s="23" t="str">
        <f t="shared" si="20"/>
        <v xml:space="preserve">   -   </v>
      </c>
    </row>
    <row r="147" spans="1:34" ht="22.35" customHeight="1">
      <c r="A147" s="7"/>
      <c r="B147" s="7"/>
      <c r="C147" s="7"/>
      <c r="D147" s="7"/>
      <c r="E147" s="7"/>
      <c r="F147" s="8"/>
      <c r="G147" s="9"/>
      <c r="H147" s="10"/>
      <c r="I147" s="9"/>
      <c r="J147" s="9"/>
      <c r="K147" s="11"/>
      <c r="L147" s="12"/>
      <c r="M147" s="12"/>
      <c r="N147" s="12"/>
      <c r="O147" s="9"/>
      <c r="P147" s="9"/>
      <c r="Q147" s="13" t="e">
        <f>VLOOKUP(O147, '[1]لیست محصولات اردیبهشت ۱۴۰۳'!B:C,2,0)</f>
        <v>#N/A</v>
      </c>
      <c r="R147" s="9"/>
      <c r="S147" s="12" t="e">
        <f>VLOOKUP(O147, '[1]لیست محصولات اردیبهشت ۱۴۰۳'!B:F,5,0)</f>
        <v>#N/A</v>
      </c>
      <c r="T147" s="14" t="e">
        <f>VLOOKUP(O147, '[1]لیست محصولات اردیبهشت ۱۴۰۳'!B:G,6,0)</f>
        <v>#N/A</v>
      </c>
      <c r="U147" s="15"/>
      <c r="V147" s="16">
        <f t="shared" si="19"/>
        <v>0</v>
      </c>
      <c r="W147" s="12">
        <f t="shared" si="14"/>
        <v>0</v>
      </c>
      <c r="X147" s="14" t="e">
        <f t="shared" si="15"/>
        <v>#N/A</v>
      </c>
      <c r="Y147" s="17"/>
      <c r="Z147" s="14" t="e">
        <f t="shared" si="16"/>
        <v>#N/A</v>
      </c>
      <c r="AA147" s="18"/>
      <c r="AB147" s="13"/>
      <c r="AC147" s="19"/>
      <c r="AD147" s="20"/>
      <c r="AE147" s="19"/>
      <c r="AF147" s="21"/>
      <c r="AG147" s="22"/>
      <c r="AH147" s="23" t="str">
        <f t="shared" si="20"/>
        <v xml:space="preserve">   -   </v>
      </c>
    </row>
    <row r="148" spans="1:34" ht="22.35" customHeight="1">
      <c r="A148" s="7"/>
      <c r="B148" s="7"/>
      <c r="C148" s="7"/>
      <c r="D148" s="7"/>
      <c r="E148" s="7"/>
      <c r="F148" s="8"/>
      <c r="G148" s="9"/>
      <c r="H148" s="10"/>
      <c r="I148" s="9"/>
      <c r="J148" s="9"/>
      <c r="K148" s="11"/>
      <c r="L148" s="12"/>
      <c r="M148" s="12"/>
      <c r="N148" s="12"/>
      <c r="O148" s="9"/>
      <c r="P148" s="9"/>
      <c r="Q148" s="13" t="e">
        <f>VLOOKUP(O148, '[1]لیست محصولات اردیبهشت ۱۴۰۳'!B:C,2,0)</f>
        <v>#N/A</v>
      </c>
      <c r="R148" s="9"/>
      <c r="S148" s="12" t="e">
        <f>VLOOKUP(O148, '[1]لیست محصولات اردیبهشت ۱۴۰۳'!B:F,5,0)</f>
        <v>#N/A</v>
      </c>
      <c r="T148" s="14" t="e">
        <f>VLOOKUP(O148, '[1]لیست محصولات اردیبهشت ۱۴۰۳'!B:G,6,0)</f>
        <v>#N/A</v>
      </c>
      <c r="U148" s="15"/>
      <c r="V148" s="16">
        <f t="shared" si="19"/>
        <v>0</v>
      </c>
      <c r="W148" s="12">
        <f t="shared" si="14"/>
        <v>0</v>
      </c>
      <c r="X148" s="14" t="e">
        <f t="shared" si="15"/>
        <v>#N/A</v>
      </c>
      <c r="Y148" s="17"/>
      <c r="Z148" s="14" t="e">
        <f t="shared" si="16"/>
        <v>#N/A</v>
      </c>
      <c r="AA148" s="18"/>
      <c r="AB148" s="13"/>
      <c r="AC148" s="19"/>
      <c r="AD148" s="20"/>
      <c r="AE148" s="19"/>
      <c r="AF148" s="21"/>
      <c r="AG148" s="22"/>
      <c r="AH148" s="23" t="str">
        <f t="shared" si="20"/>
        <v xml:space="preserve">   -   </v>
      </c>
    </row>
    <row r="149" spans="1:34" ht="22.35" customHeight="1">
      <c r="A149" s="7"/>
      <c r="B149" s="7"/>
      <c r="C149" s="7"/>
      <c r="D149" s="7"/>
      <c r="E149" s="7"/>
      <c r="F149" s="8"/>
      <c r="G149" s="9"/>
      <c r="H149" s="10"/>
      <c r="I149" s="9"/>
      <c r="J149" s="9"/>
      <c r="K149" s="11"/>
      <c r="L149" s="12"/>
      <c r="M149" s="12"/>
      <c r="N149" s="12"/>
      <c r="O149" s="9"/>
      <c r="P149" s="9"/>
      <c r="Q149" s="13" t="e">
        <f>VLOOKUP(O149, '[1]لیست محصولات اردیبهشت ۱۴۰۳'!B:C,2,0)</f>
        <v>#N/A</v>
      </c>
      <c r="R149" s="9"/>
      <c r="S149" s="12" t="e">
        <f>VLOOKUP(O149, '[1]لیست محصولات اردیبهشت ۱۴۰۳'!B:F,5,0)</f>
        <v>#N/A</v>
      </c>
      <c r="T149" s="14" t="e">
        <f>VLOOKUP(O149, '[1]لیست محصولات اردیبهشت ۱۴۰۳'!B:G,6,0)</f>
        <v>#N/A</v>
      </c>
      <c r="U149" s="15"/>
      <c r="V149" s="16">
        <f t="shared" si="19"/>
        <v>0</v>
      </c>
      <c r="W149" s="12">
        <f t="shared" si="14"/>
        <v>0</v>
      </c>
      <c r="X149" s="14" t="e">
        <f t="shared" si="15"/>
        <v>#N/A</v>
      </c>
      <c r="Y149" s="17"/>
      <c r="Z149" s="14" t="e">
        <f t="shared" si="16"/>
        <v>#N/A</v>
      </c>
      <c r="AA149" s="18"/>
      <c r="AB149" s="13"/>
      <c r="AC149" s="19"/>
      <c r="AD149" s="20"/>
      <c r="AE149" s="19"/>
      <c r="AF149" s="21"/>
      <c r="AG149" s="22"/>
      <c r="AH149" s="23" t="str">
        <f t="shared" si="20"/>
        <v xml:space="preserve">   -   </v>
      </c>
    </row>
    <row r="150" spans="1:34" ht="22.35" customHeight="1">
      <c r="A150" s="7"/>
      <c r="B150" s="7"/>
      <c r="C150" s="7"/>
      <c r="D150" s="7"/>
      <c r="E150" s="7"/>
      <c r="F150" s="8"/>
      <c r="G150" s="9"/>
      <c r="H150" s="10"/>
      <c r="I150" s="9"/>
      <c r="J150" s="9"/>
      <c r="K150" s="11"/>
      <c r="L150" s="12"/>
      <c r="M150" s="12"/>
      <c r="N150" s="12"/>
      <c r="O150" s="9"/>
      <c r="P150" s="9"/>
      <c r="Q150" s="13" t="e">
        <f>VLOOKUP(O150, '[1]لیست محصولات اردیبهشت ۱۴۰۳'!B:C,2,0)</f>
        <v>#N/A</v>
      </c>
      <c r="R150" s="9"/>
      <c r="S150" s="12" t="e">
        <f>VLOOKUP(O150, '[1]لیست محصولات اردیبهشت ۱۴۰۳'!B:F,5,0)</f>
        <v>#N/A</v>
      </c>
      <c r="T150" s="14" t="e">
        <f>VLOOKUP(O150, '[1]لیست محصولات اردیبهشت ۱۴۰۳'!B:G,6,0)</f>
        <v>#N/A</v>
      </c>
      <c r="U150" s="15"/>
      <c r="V150" s="16">
        <f t="shared" si="19"/>
        <v>0</v>
      </c>
      <c r="W150" s="12">
        <f t="shared" si="14"/>
        <v>0</v>
      </c>
      <c r="X150" s="14" t="e">
        <f t="shared" si="15"/>
        <v>#N/A</v>
      </c>
      <c r="Y150" s="17"/>
      <c r="Z150" s="14" t="e">
        <f t="shared" si="16"/>
        <v>#N/A</v>
      </c>
      <c r="AA150" s="18"/>
      <c r="AB150" s="13"/>
      <c r="AC150" s="19"/>
      <c r="AD150" s="20"/>
      <c r="AE150" s="19"/>
      <c r="AF150" s="21"/>
      <c r="AG150" s="22"/>
      <c r="AH150" s="23" t="str">
        <f t="shared" si="20"/>
        <v xml:space="preserve">   -   </v>
      </c>
    </row>
    <row r="151" spans="1:34" ht="22.35" customHeight="1">
      <c r="A151" s="7"/>
      <c r="B151" s="7"/>
      <c r="C151" s="7"/>
      <c r="D151" s="7"/>
      <c r="E151" s="7"/>
      <c r="F151" s="8"/>
      <c r="G151" s="9"/>
      <c r="H151" s="10"/>
      <c r="I151" s="9"/>
      <c r="J151" s="9"/>
      <c r="K151" s="11"/>
      <c r="L151" s="12"/>
      <c r="M151" s="12"/>
      <c r="N151" s="12"/>
      <c r="O151" s="9"/>
      <c r="P151" s="9"/>
      <c r="Q151" s="13" t="e">
        <f>VLOOKUP(O151, '[1]لیست محصولات اردیبهشت ۱۴۰۳'!B:C,2,0)</f>
        <v>#N/A</v>
      </c>
      <c r="R151" s="9"/>
      <c r="S151" s="12" t="e">
        <f>VLOOKUP(O151, '[1]لیست محصولات اردیبهشت ۱۴۰۳'!B:F,5,0)</f>
        <v>#N/A</v>
      </c>
      <c r="T151" s="14" t="e">
        <f>VLOOKUP(O151, '[1]لیست محصولات اردیبهشت ۱۴۰۳'!B:G,6,0)</f>
        <v>#N/A</v>
      </c>
      <c r="U151" s="15"/>
      <c r="V151" s="16">
        <f t="shared" si="19"/>
        <v>0</v>
      </c>
      <c r="W151" s="12">
        <f t="shared" si="14"/>
        <v>0</v>
      </c>
      <c r="X151" s="14" t="e">
        <f t="shared" si="15"/>
        <v>#N/A</v>
      </c>
      <c r="Y151" s="17"/>
      <c r="Z151" s="14" t="e">
        <f t="shared" si="16"/>
        <v>#N/A</v>
      </c>
      <c r="AA151" s="18"/>
      <c r="AB151" s="13"/>
      <c r="AC151" s="19"/>
      <c r="AD151" s="20"/>
      <c r="AE151" s="19"/>
      <c r="AF151" s="21"/>
      <c r="AG151" s="22"/>
      <c r="AH151" s="23" t="str">
        <f t="shared" si="20"/>
        <v xml:space="preserve">   -   </v>
      </c>
    </row>
    <row r="152" spans="1:34" ht="22.35" customHeight="1">
      <c r="A152" s="7"/>
      <c r="B152" s="7"/>
      <c r="C152" s="7"/>
      <c r="D152" s="7"/>
      <c r="E152" s="7"/>
      <c r="F152" s="8"/>
      <c r="G152" s="9"/>
      <c r="H152" s="10"/>
      <c r="I152" s="9"/>
      <c r="J152" s="9"/>
      <c r="K152" s="11"/>
      <c r="L152" s="12"/>
      <c r="M152" s="12"/>
      <c r="N152" s="12"/>
      <c r="O152" s="9"/>
      <c r="P152" s="9"/>
      <c r="Q152" s="13" t="e">
        <f>VLOOKUP(O152, '[1]لیست محصولات اردیبهشت ۱۴۰۳'!B:C,2,0)</f>
        <v>#N/A</v>
      </c>
      <c r="R152" s="9"/>
      <c r="S152" s="12" t="e">
        <f>VLOOKUP(O152, '[1]لیست محصولات اردیبهشت ۱۴۰۳'!B:F,5,0)</f>
        <v>#N/A</v>
      </c>
      <c r="T152" s="14" t="e">
        <f>VLOOKUP(O152, '[1]لیست محصولات اردیبهشت ۱۴۰۳'!B:G,6,0)</f>
        <v>#N/A</v>
      </c>
      <c r="U152" s="15"/>
      <c r="V152" s="16">
        <f t="shared" si="19"/>
        <v>0</v>
      </c>
      <c r="W152" s="12">
        <f t="shared" si="14"/>
        <v>0</v>
      </c>
      <c r="X152" s="14" t="e">
        <f t="shared" si="15"/>
        <v>#N/A</v>
      </c>
      <c r="Y152" s="17"/>
      <c r="Z152" s="14" t="e">
        <f t="shared" si="16"/>
        <v>#N/A</v>
      </c>
      <c r="AA152" s="18"/>
      <c r="AB152" s="13"/>
      <c r="AC152" s="19"/>
      <c r="AD152" s="20"/>
      <c r="AE152" s="19"/>
      <c r="AF152" s="21"/>
      <c r="AG152" s="22"/>
      <c r="AH152" s="23" t="str">
        <f t="shared" si="20"/>
        <v xml:space="preserve">   -   </v>
      </c>
    </row>
    <row r="153" spans="1:34" ht="22.35" customHeight="1">
      <c r="A153" s="7"/>
      <c r="B153" s="7"/>
      <c r="C153" s="7"/>
      <c r="D153" s="7"/>
      <c r="E153" s="7"/>
      <c r="F153" s="8"/>
      <c r="G153" s="9"/>
      <c r="H153" s="10"/>
      <c r="I153" s="9"/>
      <c r="J153" s="9"/>
      <c r="K153" s="11"/>
      <c r="L153" s="12"/>
      <c r="M153" s="12"/>
      <c r="N153" s="12"/>
      <c r="O153" s="9"/>
      <c r="P153" s="9"/>
      <c r="Q153" s="13" t="e">
        <f>VLOOKUP(O153, '[1]لیست محصولات اردیبهشت ۱۴۰۳'!B:C,2,0)</f>
        <v>#N/A</v>
      </c>
      <c r="R153" s="9"/>
      <c r="S153" s="12" t="e">
        <f>VLOOKUP(O153, '[1]لیست محصولات اردیبهشت ۱۴۰۳'!B:F,5,0)</f>
        <v>#N/A</v>
      </c>
      <c r="T153" s="14" t="e">
        <f>VLOOKUP(O153, '[1]لیست محصولات اردیبهشت ۱۴۰۳'!B:G,6,0)</f>
        <v>#N/A</v>
      </c>
      <c r="U153" s="15"/>
      <c r="V153" s="16">
        <f t="shared" si="19"/>
        <v>0</v>
      </c>
      <c r="W153" s="12">
        <f t="shared" si="14"/>
        <v>0</v>
      </c>
      <c r="X153" s="14" t="e">
        <f t="shared" si="15"/>
        <v>#N/A</v>
      </c>
      <c r="Y153" s="17"/>
      <c r="Z153" s="14" t="e">
        <f t="shared" si="16"/>
        <v>#N/A</v>
      </c>
      <c r="AA153" s="18"/>
      <c r="AB153" s="13"/>
      <c r="AC153" s="19"/>
      <c r="AD153" s="20"/>
      <c r="AE153" s="19"/>
      <c r="AF153" s="21"/>
      <c r="AG153" s="22"/>
      <c r="AH153" s="23" t="str">
        <f t="shared" si="20"/>
        <v xml:space="preserve">   -   </v>
      </c>
    </row>
    <row r="154" spans="1:34" ht="22.35" customHeight="1">
      <c r="A154" s="7"/>
      <c r="B154" s="7"/>
      <c r="C154" s="7"/>
      <c r="D154" s="7"/>
      <c r="E154" s="7"/>
      <c r="F154" s="8"/>
      <c r="G154" s="9"/>
      <c r="H154" s="10"/>
      <c r="I154" s="9"/>
      <c r="J154" s="9"/>
      <c r="K154" s="11"/>
      <c r="L154" s="12"/>
      <c r="M154" s="12"/>
      <c r="N154" s="12"/>
      <c r="O154" s="9"/>
      <c r="P154" s="9"/>
      <c r="Q154" s="13" t="e">
        <f>VLOOKUP(O154, '[1]لیست محصولات اردیبهشت ۱۴۰۳'!B:C,2,0)</f>
        <v>#N/A</v>
      </c>
      <c r="R154" s="9"/>
      <c r="S154" s="12" t="e">
        <f>VLOOKUP(O154, '[1]لیست محصولات اردیبهشت ۱۴۰۳'!B:F,5,0)</f>
        <v>#N/A</v>
      </c>
      <c r="T154" s="14" t="e">
        <f>VLOOKUP(O154, '[1]لیست محصولات اردیبهشت ۱۴۰۳'!B:G,6,0)</f>
        <v>#N/A</v>
      </c>
      <c r="U154" s="15"/>
      <c r="V154" s="16">
        <f t="shared" si="19"/>
        <v>0</v>
      </c>
      <c r="W154" s="12">
        <f t="shared" si="14"/>
        <v>0</v>
      </c>
      <c r="X154" s="14" t="e">
        <f t="shared" si="15"/>
        <v>#N/A</v>
      </c>
      <c r="Y154" s="17"/>
      <c r="Z154" s="14" t="e">
        <f t="shared" si="16"/>
        <v>#N/A</v>
      </c>
      <c r="AA154" s="18"/>
      <c r="AB154" s="13"/>
      <c r="AC154" s="19"/>
      <c r="AD154" s="20"/>
      <c r="AE154" s="19"/>
      <c r="AF154" s="21"/>
      <c r="AG154" s="22"/>
      <c r="AH154" s="23" t="str">
        <f t="shared" si="20"/>
        <v xml:space="preserve">   -   </v>
      </c>
    </row>
    <row r="155" spans="1:34" ht="22.35" customHeight="1">
      <c r="A155" s="7"/>
      <c r="B155" s="7"/>
      <c r="C155" s="7"/>
      <c r="D155" s="7"/>
      <c r="E155" s="7"/>
      <c r="F155" s="8"/>
      <c r="G155" s="9"/>
      <c r="H155" s="10"/>
      <c r="I155" s="9"/>
      <c r="J155" s="9"/>
      <c r="K155" s="11"/>
      <c r="L155" s="12"/>
      <c r="M155" s="12"/>
      <c r="N155" s="12"/>
      <c r="O155" s="9"/>
      <c r="P155" s="9"/>
      <c r="Q155" s="13" t="e">
        <f>VLOOKUP(O155, '[1]لیست محصولات اردیبهشت ۱۴۰۳'!B:C,2,0)</f>
        <v>#N/A</v>
      </c>
      <c r="R155" s="9"/>
      <c r="S155" s="12" t="e">
        <f>VLOOKUP(O155, '[1]لیست محصولات اردیبهشت ۱۴۰۳'!B:F,5,0)</f>
        <v>#N/A</v>
      </c>
      <c r="T155" s="14" t="e">
        <f>VLOOKUP(O155, '[1]لیست محصولات اردیبهشت ۱۴۰۳'!B:G,6,0)</f>
        <v>#N/A</v>
      </c>
      <c r="U155" s="15"/>
      <c r="V155" s="16">
        <f t="shared" si="19"/>
        <v>0</v>
      </c>
      <c r="W155" s="12">
        <f t="shared" si="14"/>
        <v>0</v>
      </c>
      <c r="X155" s="14" t="e">
        <f t="shared" si="15"/>
        <v>#N/A</v>
      </c>
      <c r="Y155" s="17"/>
      <c r="Z155" s="14" t="e">
        <f t="shared" si="16"/>
        <v>#N/A</v>
      </c>
      <c r="AA155" s="18"/>
      <c r="AB155" s="13"/>
      <c r="AC155" s="19"/>
      <c r="AD155" s="20"/>
      <c r="AE155" s="19"/>
      <c r="AF155" s="21"/>
      <c r="AG155" s="22"/>
      <c r="AH155" s="23" t="str">
        <f t="shared" si="20"/>
        <v xml:space="preserve">   -   </v>
      </c>
    </row>
    <row r="156" spans="1:34" ht="22.35" customHeight="1">
      <c r="A156" s="7"/>
      <c r="B156" s="7"/>
      <c r="C156" s="7"/>
      <c r="D156" s="7"/>
      <c r="E156" s="7"/>
      <c r="F156" s="8"/>
      <c r="G156" s="9"/>
      <c r="H156" s="10"/>
      <c r="I156" s="9"/>
      <c r="J156" s="9"/>
      <c r="K156" s="11"/>
      <c r="L156" s="12"/>
      <c r="M156" s="12"/>
      <c r="N156" s="12"/>
      <c r="O156" s="9"/>
      <c r="P156" s="9"/>
      <c r="Q156" s="13" t="e">
        <f>VLOOKUP(O156, '[1]لیست محصولات اردیبهشت ۱۴۰۳'!B:C,2,0)</f>
        <v>#N/A</v>
      </c>
      <c r="R156" s="9"/>
      <c r="S156" s="12" t="e">
        <f>VLOOKUP(O156, '[1]لیست محصولات اردیبهشت ۱۴۰۳'!B:F,5,0)</f>
        <v>#N/A</v>
      </c>
      <c r="T156" s="14" t="e">
        <f>VLOOKUP(O156, '[1]لیست محصولات اردیبهشت ۱۴۰۳'!B:G,6,0)</f>
        <v>#N/A</v>
      </c>
      <c r="U156" s="15"/>
      <c r="V156" s="16">
        <f t="shared" si="19"/>
        <v>0</v>
      </c>
      <c r="W156" s="12">
        <f t="shared" si="14"/>
        <v>0</v>
      </c>
      <c r="X156" s="14" t="e">
        <f t="shared" si="15"/>
        <v>#N/A</v>
      </c>
      <c r="Y156" s="17"/>
      <c r="Z156" s="14" t="e">
        <f t="shared" si="16"/>
        <v>#N/A</v>
      </c>
      <c r="AA156" s="18"/>
      <c r="AB156" s="13"/>
      <c r="AC156" s="19"/>
      <c r="AD156" s="20"/>
      <c r="AE156" s="19"/>
      <c r="AF156" s="21"/>
      <c r="AG156" s="22"/>
      <c r="AH156" s="23" t="str">
        <f t="shared" si="20"/>
        <v xml:space="preserve">   -   </v>
      </c>
    </row>
    <row r="157" spans="1:34" ht="22.35" customHeight="1">
      <c r="A157" s="7"/>
      <c r="B157" s="7"/>
      <c r="C157" s="7"/>
      <c r="D157" s="7"/>
      <c r="E157" s="7"/>
      <c r="F157" s="8"/>
      <c r="G157" s="9"/>
      <c r="H157" s="10"/>
      <c r="I157" s="9"/>
      <c r="J157" s="9"/>
      <c r="K157" s="11"/>
      <c r="L157" s="12"/>
      <c r="M157" s="12"/>
      <c r="N157" s="12"/>
      <c r="O157" s="9"/>
      <c r="P157" s="9"/>
      <c r="Q157" s="13" t="e">
        <f>VLOOKUP(O157, '[1]لیست محصولات اردیبهشت ۱۴۰۳'!B:C,2,0)</f>
        <v>#N/A</v>
      </c>
      <c r="R157" s="9"/>
      <c r="S157" s="12" t="e">
        <f>VLOOKUP(O157, '[1]لیست محصولات اردیبهشت ۱۴۰۳'!B:F,5,0)</f>
        <v>#N/A</v>
      </c>
      <c r="T157" s="14" t="e">
        <f>VLOOKUP(O157, '[1]لیست محصولات اردیبهشت ۱۴۰۳'!B:G,6,0)</f>
        <v>#N/A</v>
      </c>
      <c r="U157" s="15"/>
      <c r="V157" s="16">
        <f t="shared" si="19"/>
        <v>0</v>
      </c>
      <c r="W157" s="12">
        <f t="shared" si="14"/>
        <v>0</v>
      </c>
      <c r="X157" s="14" t="e">
        <f t="shared" si="15"/>
        <v>#N/A</v>
      </c>
      <c r="Y157" s="17"/>
      <c r="Z157" s="14" t="e">
        <f t="shared" si="16"/>
        <v>#N/A</v>
      </c>
      <c r="AA157" s="18"/>
      <c r="AB157" s="13"/>
      <c r="AC157" s="19"/>
      <c r="AD157" s="20"/>
      <c r="AE157" s="19"/>
      <c r="AF157" s="21"/>
      <c r="AG157" s="22"/>
      <c r="AH157" s="23" t="str">
        <f t="shared" si="20"/>
        <v xml:space="preserve">   -   </v>
      </c>
    </row>
    <row r="158" spans="1:34" ht="22.35" customHeight="1">
      <c r="A158" s="7"/>
      <c r="B158" s="7"/>
      <c r="C158" s="7"/>
      <c r="D158" s="7"/>
      <c r="E158" s="7"/>
      <c r="F158" s="8"/>
      <c r="G158" s="9"/>
      <c r="H158" s="10"/>
      <c r="I158" s="9"/>
      <c r="J158" s="9"/>
      <c r="K158" s="11"/>
      <c r="L158" s="12"/>
      <c r="M158" s="12"/>
      <c r="N158" s="12"/>
      <c r="O158" s="9"/>
      <c r="P158" s="9"/>
      <c r="Q158" s="13" t="e">
        <f>VLOOKUP(O158, '[1]لیست محصولات اردیبهشت ۱۴۰۳'!B:C,2,0)</f>
        <v>#N/A</v>
      </c>
      <c r="R158" s="9"/>
      <c r="S158" s="12" t="e">
        <f>VLOOKUP(O158, '[1]لیست محصولات اردیبهشت ۱۴۰۳'!B:F,5,0)</f>
        <v>#N/A</v>
      </c>
      <c r="T158" s="14" t="e">
        <f>VLOOKUP(O158, '[1]لیست محصولات اردیبهشت ۱۴۰۳'!B:G,6,0)</f>
        <v>#N/A</v>
      </c>
      <c r="U158" s="15"/>
      <c r="V158" s="16">
        <f t="shared" si="19"/>
        <v>0</v>
      </c>
      <c r="W158" s="12">
        <f t="shared" si="14"/>
        <v>0</v>
      </c>
      <c r="X158" s="14" t="e">
        <f t="shared" si="15"/>
        <v>#N/A</v>
      </c>
      <c r="Y158" s="17"/>
      <c r="Z158" s="14" t="e">
        <f t="shared" si="16"/>
        <v>#N/A</v>
      </c>
      <c r="AA158" s="18"/>
      <c r="AB158" s="13"/>
      <c r="AC158" s="19"/>
      <c r="AD158" s="20"/>
      <c r="AE158" s="19"/>
      <c r="AF158" s="21"/>
      <c r="AG158" s="22"/>
      <c r="AH158" s="23" t="str">
        <f t="shared" si="20"/>
        <v xml:space="preserve">   -   </v>
      </c>
    </row>
    <row r="159" spans="1:34" ht="22.35" customHeight="1">
      <c r="A159" s="7"/>
      <c r="B159" s="7"/>
      <c r="C159" s="7"/>
      <c r="D159" s="7"/>
      <c r="E159" s="7"/>
      <c r="F159" s="8"/>
      <c r="G159" s="9"/>
      <c r="H159" s="10"/>
      <c r="I159" s="9"/>
      <c r="J159" s="9"/>
      <c r="K159" s="11"/>
      <c r="L159" s="12"/>
      <c r="M159" s="12"/>
      <c r="N159" s="12"/>
      <c r="O159" s="9"/>
      <c r="P159" s="9"/>
      <c r="Q159" s="13" t="e">
        <f>VLOOKUP(O159, '[1]لیست محصولات اردیبهشت ۱۴۰۳'!B:C,2,0)</f>
        <v>#N/A</v>
      </c>
      <c r="R159" s="9"/>
      <c r="S159" s="12" t="e">
        <f>VLOOKUP(O159, '[1]لیست محصولات اردیبهشت ۱۴۰۳'!B:F,5,0)</f>
        <v>#N/A</v>
      </c>
      <c r="T159" s="14" t="e">
        <f>VLOOKUP(O159, '[1]لیست محصولات اردیبهشت ۱۴۰۳'!B:G,6,0)</f>
        <v>#N/A</v>
      </c>
      <c r="U159" s="15"/>
      <c r="V159" s="16">
        <f t="shared" si="19"/>
        <v>0</v>
      </c>
      <c r="W159" s="12">
        <f t="shared" si="14"/>
        <v>0</v>
      </c>
      <c r="X159" s="14" t="e">
        <f t="shared" si="15"/>
        <v>#N/A</v>
      </c>
      <c r="Y159" s="17"/>
      <c r="Z159" s="14" t="e">
        <f t="shared" si="16"/>
        <v>#N/A</v>
      </c>
      <c r="AA159" s="18"/>
      <c r="AB159" s="13"/>
      <c r="AC159" s="19"/>
      <c r="AD159" s="20"/>
      <c r="AE159" s="19"/>
      <c r="AF159" s="21"/>
      <c r="AG159" s="22"/>
      <c r="AH159" s="23" t="str">
        <f t="shared" si="20"/>
        <v xml:space="preserve">   -   </v>
      </c>
    </row>
    <row r="160" spans="1:34" ht="22.35" customHeight="1">
      <c r="A160" s="7"/>
      <c r="B160" s="7"/>
      <c r="C160" s="7"/>
      <c r="D160" s="7"/>
      <c r="E160" s="7"/>
      <c r="F160" s="8"/>
      <c r="G160" s="9"/>
      <c r="H160" s="10"/>
      <c r="I160" s="9"/>
      <c r="J160" s="9"/>
      <c r="K160" s="11"/>
      <c r="L160" s="12"/>
      <c r="M160" s="12"/>
      <c r="N160" s="12"/>
      <c r="O160" s="9"/>
      <c r="P160" s="9"/>
      <c r="Q160" s="13" t="e">
        <f>VLOOKUP(O160, '[1]لیست محصولات اردیبهشت ۱۴۰۳'!B:C,2,0)</f>
        <v>#N/A</v>
      </c>
      <c r="R160" s="9"/>
      <c r="S160" s="12" t="e">
        <f>VLOOKUP(O160, '[1]لیست محصولات اردیبهشت ۱۴۰۳'!B:F,5,0)</f>
        <v>#N/A</v>
      </c>
      <c r="T160" s="14" t="e">
        <f>VLOOKUP(O160, '[1]لیست محصولات اردیبهشت ۱۴۰۳'!B:G,6,0)</f>
        <v>#N/A</v>
      </c>
      <c r="U160" s="15"/>
      <c r="V160" s="16">
        <f t="shared" si="19"/>
        <v>0</v>
      </c>
      <c r="W160" s="12">
        <f t="shared" si="14"/>
        <v>0</v>
      </c>
      <c r="X160" s="14" t="e">
        <f t="shared" si="15"/>
        <v>#N/A</v>
      </c>
      <c r="Y160" s="17"/>
      <c r="Z160" s="14" t="e">
        <f t="shared" si="16"/>
        <v>#N/A</v>
      </c>
      <c r="AA160" s="18"/>
      <c r="AB160" s="13"/>
      <c r="AC160" s="19"/>
      <c r="AD160" s="20"/>
      <c r="AE160" s="19"/>
      <c r="AF160" s="21"/>
      <c r="AG160" s="22"/>
      <c r="AH160" s="23" t="str">
        <f t="shared" si="20"/>
        <v xml:space="preserve">   -   </v>
      </c>
    </row>
    <row r="161" spans="1:34" ht="22.35" customHeight="1">
      <c r="A161" s="7"/>
      <c r="B161" s="7"/>
      <c r="C161" s="7"/>
      <c r="D161" s="7"/>
      <c r="E161" s="7"/>
      <c r="F161" s="8"/>
      <c r="G161" s="9"/>
      <c r="H161" s="10"/>
      <c r="I161" s="9"/>
      <c r="J161" s="9"/>
      <c r="K161" s="11"/>
      <c r="L161" s="12"/>
      <c r="M161" s="12"/>
      <c r="N161" s="12"/>
      <c r="O161" s="9"/>
      <c r="P161" s="9"/>
      <c r="Q161" s="13" t="e">
        <f>VLOOKUP(O161, '[1]لیست محصولات اردیبهشت ۱۴۰۳'!B:C,2,0)</f>
        <v>#N/A</v>
      </c>
      <c r="R161" s="9"/>
      <c r="S161" s="12" t="e">
        <f>VLOOKUP(O161, '[1]لیست محصولات اردیبهشت ۱۴۰۳'!B:F,5,0)</f>
        <v>#N/A</v>
      </c>
      <c r="T161" s="14" t="e">
        <f>VLOOKUP(O161, '[1]لیست محصولات اردیبهشت ۱۴۰۳'!B:G,6,0)</f>
        <v>#N/A</v>
      </c>
      <c r="U161" s="15"/>
      <c r="V161" s="16">
        <f t="shared" si="19"/>
        <v>0</v>
      </c>
      <c r="W161" s="12">
        <f t="shared" si="14"/>
        <v>0</v>
      </c>
      <c r="X161" s="14" t="e">
        <f t="shared" si="15"/>
        <v>#N/A</v>
      </c>
      <c r="Y161" s="17"/>
      <c r="Z161" s="14" t="e">
        <f t="shared" si="16"/>
        <v>#N/A</v>
      </c>
      <c r="AA161" s="18"/>
      <c r="AB161" s="13"/>
      <c r="AC161" s="19"/>
      <c r="AD161" s="20"/>
      <c r="AE161" s="19"/>
      <c r="AF161" s="21"/>
      <c r="AG161" s="22"/>
      <c r="AH161" s="23" t="str">
        <f t="shared" si="20"/>
        <v xml:space="preserve">   -   </v>
      </c>
    </row>
    <row r="162" spans="1:34" ht="22.35" customHeight="1">
      <c r="A162" s="7"/>
      <c r="B162" s="7"/>
      <c r="C162" s="7"/>
      <c r="D162" s="7"/>
      <c r="E162" s="7"/>
      <c r="F162" s="8"/>
      <c r="G162" s="9"/>
      <c r="H162" s="10"/>
      <c r="I162" s="9"/>
      <c r="J162" s="9"/>
      <c r="K162" s="11"/>
      <c r="L162" s="12"/>
      <c r="M162" s="12"/>
      <c r="N162" s="12"/>
      <c r="O162" s="9"/>
      <c r="P162" s="9"/>
      <c r="Q162" s="13" t="e">
        <f>VLOOKUP(O162, '[1]لیست محصولات اردیبهشت ۱۴۰۳'!B:C,2,0)</f>
        <v>#N/A</v>
      </c>
      <c r="R162" s="9"/>
      <c r="S162" s="12" t="e">
        <f>VLOOKUP(O162, '[1]لیست محصولات اردیبهشت ۱۴۰۳'!B:F,5,0)</f>
        <v>#N/A</v>
      </c>
      <c r="T162" s="14" t="e">
        <f>VLOOKUP(O162, '[1]لیست محصولات اردیبهشت ۱۴۰۳'!B:G,6,0)</f>
        <v>#N/A</v>
      </c>
      <c r="U162" s="15"/>
      <c r="V162" s="16">
        <f t="shared" si="19"/>
        <v>0</v>
      </c>
      <c r="W162" s="12">
        <f t="shared" si="14"/>
        <v>0</v>
      </c>
      <c r="X162" s="14" t="e">
        <f t="shared" si="15"/>
        <v>#N/A</v>
      </c>
      <c r="Y162" s="17"/>
      <c r="Z162" s="14" t="e">
        <f t="shared" si="16"/>
        <v>#N/A</v>
      </c>
      <c r="AA162" s="18"/>
      <c r="AB162" s="13"/>
      <c r="AC162" s="19"/>
      <c r="AD162" s="20"/>
      <c r="AE162" s="19"/>
      <c r="AF162" s="21"/>
      <c r="AG162" s="22"/>
      <c r="AH162" s="23" t="str">
        <f t="shared" si="20"/>
        <v xml:space="preserve">   -   </v>
      </c>
    </row>
    <row r="163" spans="1:34" ht="22.35" customHeight="1">
      <c r="A163" s="7"/>
      <c r="B163" s="7"/>
      <c r="C163" s="7"/>
      <c r="D163" s="7"/>
      <c r="E163" s="7"/>
      <c r="F163" s="8"/>
      <c r="G163" s="9"/>
      <c r="H163" s="10"/>
      <c r="I163" s="9"/>
      <c r="J163" s="9"/>
      <c r="K163" s="11"/>
      <c r="L163" s="12"/>
      <c r="M163" s="12"/>
      <c r="N163" s="12"/>
      <c r="O163" s="9"/>
      <c r="P163" s="9"/>
      <c r="Q163" s="13" t="e">
        <f>VLOOKUP(O163, '[1]لیست محصولات اردیبهشت ۱۴۰۳'!B:C,2,0)</f>
        <v>#N/A</v>
      </c>
      <c r="R163" s="9"/>
      <c r="S163" s="12" t="e">
        <f>VLOOKUP(O163, '[1]لیست محصولات اردیبهشت ۱۴۰۳'!B:F,5,0)</f>
        <v>#N/A</v>
      </c>
      <c r="T163" s="14" t="e">
        <f>VLOOKUP(O163, '[1]لیست محصولات اردیبهشت ۱۴۰۳'!B:G,6,0)</f>
        <v>#N/A</v>
      </c>
      <c r="U163" s="15"/>
      <c r="V163" s="16">
        <f t="shared" si="19"/>
        <v>0</v>
      </c>
      <c r="W163" s="12">
        <f t="shared" si="14"/>
        <v>0</v>
      </c>
      <c r="X163" s="14" t="e">
        <f t="shared" si="15"/>
        <v>#N/A</v>
      </c>
      <c r="Y163" s="17"/>
      <c r="Z163" s="14" t="e">
        <f t="shared" si="16"/>
        <v>#N/A</v>
      </c>
      <c r="AA163" s="18"/>
      <c r="AB163" s="13"/>
      <c r="AC163" s="19"/>
      <c r="AD163" s="20"/>
      <c r="AE163" s="19"/>
      <c r="AF163" s="21"/>
      <c r="AG163" s="22"/>
      <c r="AH163" s="23" t="str">
        <f t="shared" si="20"/>
        <v xml:space="preserve">   -   </v>
      </c>
    </row>
    <row r="164" spans="1:34" ht="22.35" customHeight="1">
      <c r="A164" s="7"/>
      <c r="B164" s="7"/>
      <c r="C164" s="7"/>
      <c r="D164" s="7"/>
      <c r="E164" s="7"/>
      <c r="F164" s="8"/>
      <c r="G164" s="9"/>
      <c r="H164" s="10"/>
      <c r="I164" s="9"/>
      <c r="J164" s="9"/>
      <c r="K164" s="11"/>
      <c r="L164" s="12"/>
      <c r="M164" s="12"/>
      <c r="N164" s="12"/>
      <c r="O164" s="9"/>
      <c r="P164" s="9"/>
      <c r="Q164" s="13" t="e">
        <f>VLOOKUP(O164, '[1]لیست محصولات اردیبهشت ۱۴۰۳'!B:C,2,0)</f>
        <v>#N/A</v>
      </c>
      <c r="R164" s="9"/>
      <c r="S164" s="12" t="e">
        <f>VLOOKUP(O164, '[1]لیست محصولات اردیبهشت ۱۴۰۳'!B:F,5,0)</f>
        <v>#N/A</v>
      </c>
      <c r="T164" s="14" t="e">
        <f>VLOOKUP(O164, '[1]لیست محصولات اردیبهشت ۱۴۰۳'!B:G,6,0)</f>
        <v>#N/A</v>
      </c>
      <c r="U164" s="15"/>
      <c r="V164" s="16">
        <f t="shared" si="19"/>
        <v>0</v>
      </c>
      <c r="W164" s="12">
        <f t="shared" si="14"/>
        <v>0</v>
      </c>
      <c r="X164" s="14" t="e">
        <f t="shared" si="15"/>
        <v>#N/A</v>
      </c>
      <c r="Y164" s="17"/>
      <c r="Z164" s="14" t="e">
        <f t="shared" si="16"/>
        <v>#N/A</v>
      </c>
      <c r="AA164" s="18"/>
      <c r="AB164" s="13"/>
      <c r="AC164" s="19"/>
      <c r="AD164" s="20"/>
      <c r="AE164" s="19"/>
      <c r="AF164" s="21"/>
      <c r="AG164" s="22"/>
      <c r="AH164" s="23" t="str">
        <f t="shared" si="20"/>
        <v xml:space="preserve">   -   </v>
      </c>
    </row>
    <row r="165" spans="1:34" ht="22.35" customHeight="1">
      <c r="A165" s="7"/>
      <c r="B165" s="7"/>
      <c r="C165" s="7"/>
      <c r="D165" s="7"/>
      <c r="E165" s="7"/>
      <c r="F165" s="8"/>
      <c r="G165" s="9"/>
      <c r="H165" s="10"/>
      <c r="I165" s="9"/>
      <c r="J165" s="9"/>
      <c r="K165" s="11"/>
      <c r="L165" s="12"/>
      <c r="M165" s="12"/>
      <c r="N165" s="12"/>
      <c r="O165" s="9"/>
      <c r="P165" s="9"/>
      <c r="Q165" s="13" t="e">
        <f>VLOOKUP(O165, '[1]لیست محصولات اردیبهشت ۱۴۰۳'!B:C,2,0)</f>
        <v>#N/A</v>
      </c>
      <c r="R165" s="9"/>
      <c r="S165" s="12" t="e">
        <f>VLOOKUP(O165, '[1]لیست محصولات اردیبهشت ۱۴۰۳'!B:F,5,0)</f>
        <v>#N/A</v>
      </c>
      <c r="T165" s="14" t="e">
        <f>VLOOKUP(O165, '[1]لیست محصولات اردیبهشت ۱۴۰۳'!B:G,6,0)</f>
        <v>#N/A</v>
      </c>
      <c r="U165" s="15"/>
      <c r="V165" s="16">
        <f t="shared" si="19"/>
        <v>0</v>
      </c>
      <c r="W165" s="12">
        <f t="shared" si="14"/>
        <v>0</v>
      </c>
      <c r="X165" s="14" t="e">
        <f t="shared" si="15"/>
        <v>#N/A</v>
      </c>
      <c r="Y165" s="17"/>
      <c r="Z165" s="14" t="e">
        <f t="shared" si="16"/>
        <v>#N/A</v>
      </c>
      <c r="AA165" s="18"/>
      <c r="AB165" s="13"/>
      <c r="AC165" s="19"/>
      <c r="AD165" s="20"/>
      <c r="AE165" s="19"/>
      <c r="AF165" s="21"/>
      <c r="AG165" s="22"/>
      <c r="AH165" s="23" t="str">
        <f t="shared" si="20"/>
        <v xml:space="preserve">   -   </v>
      </c>
    </row>
    <row r="166" spans="1:34" ht="22.35" customHeight="1">
      <c r="A166" s="7"/>
      <c r="B166" s="7"/>
      <c r="C166" s="7"/>
      <c r="D166" s="7"/>
      <c r="E166" s="7"/>
      <c r="F166" s="8"/>
      <c r="G166" s="9"/>
      <c r="H166" s="10"/>
      <c r="I166" s="9"/>
      <c r="J166" s="9"/>
      <c r="K166" s="11"/>
      <c r="L166" s="12"/>
      <c r="M166" s="12"/>
      <c r="N166" s="12"/>
      <c r="O166" s="9"/>
      <c r="P166" s="9"/>
      <c r="Q166" s="13" t="e">
        <f>VLOOKUP(O166, '[1]لیست محصولات اردیبهشت ۱۴۰۳'!B:C,2,0)</f>
        <v>#N/A</v>
      </c>
      <c r="R166" s="9"/>
      <c r="S166" s="12" t="e">
        <f>VLOOKUP(O166, '[1]لیست محصولات اردیبهشت ۱۴۰۳'!B:F,5,0)</f>
        <v>#N/A</v>
      </c>
      <c r="T166" s="14" t="e">
        <f>VLOOKUP(O166, '[1]لیست محصولات اردیبهشت ۱۴۰۳'!B:G,6,0)</f>
        <v>#N/A</v>
      </c>
      <c r="U166" s="15"/>
      <c r="V166" s="16">
        <f t="shared" si="19"/>
        <v>0</v>
      </c>
      <c r="W166" s="12">
        <f t="shared" si="14"/>
        <v>0</v>
      </c>
      <c r="X166" s="14" t="e">
        <f t="shared" si="15"/>
        <v>#N/A</v>
      </c>
      <c r="Y166" s="17"/>
      <c r="Z166" s="14" t="e">
        <f t="shared" si="16"/>
        <v>#N/A</v>
      </c>
      <c r="AA166" s="18"/>
      <c r="AB166" s="13"/>
      <c r="AC166" s="19"/>
      <c r="AD166" s="20"/>
      <c r="AE166" s="19"/>
      <c r="AF166" s="21"/>
      <c r="AG166" s="22"/>
      <c r="AH166" s="23" t="str">
        <f t="shared" si="20"/>
        <v xml:space="preserve">   -   </v>
      </c>
    </row>
    <row r="167" spans="1:34" ht="22.35" customHeight="1">
      <c r="A167" s="7"/>
      <c r="B167" s="7"/>
      <c r="C167" s="7"/>
      <c r="D167" s="7"/>
      <c r="E167" s="7"/>
      <c r="F167" s="8"/>
      <c r="G167" s="9"/>
      <c r="H167" s="10"/>
      <c r="I167" s="9"/>
      <c r="J167" s="9"/>
      <c r="K167" s="11"/>
      <c r="L167" s="12"/>
      <c r="M167" s="12"/>
      <c r="N167" s="12"/>
      <c r="O167" s="9"/>
      <c r="P167" s="9"/>
      <c r="Q167" s="13" t="e">
        <f>VLOOKUP(O167, '[1]لیست محصولات اردیبهشت ۱۴۰۳'!B:C,2,0)</f>
        <v>#N/A</v>
      </c>
      <c r="R167" s="9"/>
      <c r="S167" s="12" t="e">
        <f>VLOOKUP(O167, '[1]لیست محصولات اردیبهشت ۱۴۰۳'!B:F,5,0)</f>
        <v>#N/A</v>
      </c>
      <c r="T167" s="14" t="e">
        <f>VLOOKUP(O167, '[1]لیست محصولات اردیبهشت ۱۴۰۳'!B:G,6,0)</f>
        <v>#N/A</v>
      </c>
      <c r="U167" s="15"/>
      <c r="V167" s="16">
        <f t="shared" si="19"/>
        <v>0</v>
      </c>
      <c r="W167" s="12">
        <f t="shared" si="14"/>
        <v>0</v>
      </c>
      <c r="X167" s="14" t="e">
        <f t="shared" si="15"/>
        <v>#N/A</v>
      </c>
      <c r="Y167" s="17"/>
      <c r="Z167" s="14" t="e">
        <f t="shared" si="16"/>
        <v>#N/A</v>
      </c>
      <c r="AA167" s="18"/>
      <c r="AB167" s="13"/>
      <c r="AC167" s="19"/>
      <c r="AD167" s="20"/>
      <c r="AE167" s="19"/>
      <c r="AF167" s="21"/>
      <c r="AG167" s="22"/>
      <c r="AH167" s="23" t="str">
        <f t="shared" si="20"/>
        <v xml:space="preserve">   -   </v>
      </c>
    </row>
    <row r="168" spans="1:34" ht="22.35" customHeight="1">
      <c r="A168" s="7"/>
      <c r="B168" s="7"/>
      <c r="C168" s="7"/>
      <c r="D168" s="7"/>
      <c r="E168" s="7"/>
      <c r="F168" s="8"/>
      <c r="G168" s="9"/>
      <c r="H168" s="10"/>
      <c r="I168" s="9"/>
      <c r="J168" s="9"/>
      <c r="K168" s="11"/>
      <c r="L168" s="12"/>
      <c r="M168" s="12"/>
      <c r="N168" s="12"/>
      <c r="O168" s="9"/>
      <c r="P168" s="9"/>
      <c r="Q168" s="13" t="e">
        <f>VLOOKUP(O168, '[1]لیست محصولات اردیبهشت ۱۴۰۳'!B:C,2,0)</f>
        <v>#N/A</v>
      </c>
      <c r="R168" s="9"/>
      <c r="S168" s="12" t="e">
        <f>VLOOKUP(O168, '[1]لیست محصولات اردیبهشت ۱۴۰۳'!B:F,5,0)</f>
        <v>#N/A</v>
      </c>
      <c r="T168" s="14" t="e">
        <f>VLOOKUP(O168, '[1]لیست محصولات اردیبهشت ۱۴۰۳'!B:G,6,0)</f>
        <v>#N/A</v>
      </c>
      <c r="U168" s="15"/>
      <c r="V168" s="16">
        <f t="shared" si="19"/>
        <v>0</v>
      </c>
      <c r="W168" s="12">
        <f t="shared" si="14"/>
        <v>0</v>
      </c>
      <c r="X168" s="14" t="e">
        <f t="shared" si="15"/>
        <v>#N/A</v>
      </c>
      <c r="Y168" s="17"/>
      <c r="Z168" s="14" t="e">
        <f t="shared" si="16"/>
        <v>#N/A</v>
      </c>
      <c r="AA168" s="18"/>
      <c r="AB168" s="13"/>
      <c r="AC168" s="19"/>
      <c r="AD168" s="20"/>
      <c r="AE168" s="19"/>
      <c r="AF168" s="21"/>
      <c r="AG168" s="22"/>
      <c r="AH168" s="23" t="str">
        <f t="shared" si="20"/>
        <v xml:space="preserve">   -   </v>
      </c>
    </row>
    <row r="169" spans="1:34" ht="22.35" customHeight="1">
      <c r="A169" s="7"/>
      <c r="B169" s="7"/>
      <c r="C169" s="7"/>
      <c r="D169" s="7"/>
      <c r="E169" s="7"/>
      <c r="F169" s="8"/>
      <c r="G169" s="9"/>
      <c r="H169" s="10"/>
      <c r="I169" s="9"/>
      <c r="J169" s="9"/>
      <c r="K169" s="11"/>
      <c r="L169" s="12"/>
      <c r="M169" s="12"/>
      <c r="N169" s="12"/>
      <c r="O169" s="9"/>
      <c r="P169" s="9"/>
      <c r="Q169" s="13" t="e">
        <f>VLOOKUP(O169, '[1]لیست محصولات اردیبهشت ۱۴۰۳'!B:C,2,0)</f>
        <v>#N/A</v>
      </c>
      <c r="R169" s="9"/>
      <c r="S169" s="12" t="e">
        <f>VLOOKUP(O169, '[1]لیست محصولات اردیبهشت ۱۴۰۳'!B:F,5,0)</f>
        <v>#N/A</v>
      </c>
      <c r="T169" s="14" t="e">
        <f>VLOOKUP(O169, '[1]لیست محصولات اردیبهشت ۱۴۰۳'!B:G,6,0)</f>
        <v>#N/A</v>
      </c>
      <c r="U169" s="15"/>
      <c r="V169" s="16">
        <f t="shared" si="19"/>
        <v>0</v>
      </c>
      <c r="W169" s="12">
        <f t="shared" si="14"/>
        <v>0</v>
      </c>
      <c r="X169" s="14" t="e">
        <f t="shared" si="15"/>
        <v>#N/A</v>
      </c>
      <c r="Y169" s="17"/>
      <c r="Z169" s="14" t="e">
        <f t="shared" si="16"/>
        <v>#N/A</v>
      </c>
      <c r="AA169" s="18"/>
      <c r="AB169" s="13"/>
      <c r="AC169" s="19"/>
      <c r="AD169" s="20"/>
      <c r="AE169" s="19"/>
      <c r="AF169" s="21"/>
      <c r="AG169" s="22"/>
      <c r="AH169" s="23" t="str">
        <f t="shared" si="20"/>
        <v xml:space="preserve">   -   </v>
      </c>
    </row>
    <row r="170" spans="1:34" ht="22.35" customHeight="1">
      <c r="A170" s="7"/>
      <c r="B170" s="7"/>
      <c r="C170" s="7"/>
      <c r="D170" s="7"/>
      <c r="E170" s="7"/>
      <c r="F170" s="8"/>
      <c r="G170" s="9"/>
      <c r="H170" s="10"/>
      <c r="I170" s="9"/>
      <c r="J170" s="9"/>
      <c r="K170" s="11"/>
      <c r="L170" s="12"/>
      <c r="M170" s="12"/>
      <c r="N170" s="12"/>
      <c r="O170" s="9"/>
      <c r="P170" s="9"/>
      <c r="Q170" s="13" t="e">
        <f>VLOOKUP(O170, '[1]لیست محصولات اردیبهشت ۱۴۰۳'!B:C,2,0)</f>
        <v>#N/A</v>
      </c>
      <c r="R170" s="9"/>
      <c r="S170" s="12" t="e">
        <f>VLOOKUP(O170, '[1]لیست محصولات اردیبهشت ۱۴۰۳'!B:F,5,0)</f>
        <v>#N/A</v>
      </c>
      <c r="T170" s="14" t="e">
        <f>VLOOKUP(O170, '[1]لیست محصولات اردیبهشت ۱۴۰۳'!B:G,6,0)</f>
        <v>#N/A</v>
      </c>
      <c r="U170" s="15"/>
      <c r="V170" s="16">
        <f t="shared" si="19"/>
        <v>0</v>
      </c>
      <c r="W170" s="12">
        <f t="shared" si="14"/>
        <v>0</v>
      </c>
      <c r="X170" s="14" t="e">
        <f t="shared" si="15"/>
        <v>#N/A</v>
      </c>
      <c r="Y170" s="17"/>
      <c r="Z170" s="14" t="e">
        <f t="shared" si="16"/>
        <v>#N/A</v>
      </c>
      <c r="AA170" s="18"/>
      <c r="AB170" s="13"/>
      <c r="AC170" s="19"/>
      <c r="AD170" s="20"/>
      <c r="AE170" s="19"/>
      <c r="AF170" s="21"/>
      <c r="AG170" s="22"/>
      <c r="AH170" s="23" t="str">
        <f t="shared" si="20"/>
        <v xml:space="preserve">   -   </v>
      </c>
    </row>
    <row r="171" spans="1:34" ht="22.35" customHeight="1">
      <c r="A171" s="7"/>
      <c r="B171" s="7"/>
      <c r="C171" s="7"/>
      <c r="D171" s="7"/>
      <c r="E171" s="7"/>
      <c r="F171" s="8"/>
      <c r="G171" s="9"/>
      <c r="H171" s="10"/>
      <c r="I171" s="9"/>
      <c r="J171" s="9"/>
      <c r="K171" s="11"/>
      <c r="L171" s="12"/>
      <c r="M171" s="12"/>
      <c r="N171" s="12"/>
      <c r="O171" s="9"/>
      <c r="P171" s="9"/>
      <c r="Q171" s="13" t="e">
        <f>VLOOKUP(O171, '[1]لیست محصولات اردیبهشت ۱۴۰۳'!B:C,2,0)</f>
        <v>#N/A</v>
      </c>
      <c r="R171" s="9"/>
      <c r="S171" s="12" t="e">
        <f>VLOOKUP(O171, '[1]لیست محصولات اردیبهشت ۱۴۰۳'!B:F,5,0)</f>
        <v>#N/A</v>
      </c>
      <c r="T171" s="14" t="e">
        <f>VLOOKUP(O171, '[1]لیست محصولات اردیبهشت ۱۴۰۳'!B:G,6,0)</f>
        <v>#N/A</v>
      </c>
      <c r="U171" s="15"/>
      <c r="V171" s="16">
        <f t="shared" si="19"/>
        <v>0</v>
      </c>
      <c r="W171" s="12">
        <f t="shared" si="14"/>
        <v>0</v>
      </c>
      <c r="X171" s="14" t="e">
        <f t="shared" si="15"/>
        <v>#N/A</v>
      </c>
      <c r="Y171" s="17"/>
      <c r="Z171" s="14" t="e">
        <f t="shared" si="16"/>
        <v>#N/A</v>
      </c>
      <c r="AA171" s="18"/>
      <c r="AB171" s="13"/>
      <c r="AC171" s="19"/>
      <c r="AD171" s="20"/>
      <c r="AE171" s="19"/>
      <c r="AF171" s="21"/>
      <c r="AG171" s="22"/>
      <c r="AH171" s="23" t="str">
        <f t="shared" si="20"/>
        <v xml:space="preserve">   -   </v>
      </c>
    </row>
    <row r="172" spans="1:34" ht="22.35" customHeight="1">
      <c r="A172" s="7"/>
      <c r="B172" s="7"/>
      <c r="C172" s="7"/>
      <c r="D172" s="7"/>
      <c r="E172" s="7"/>
      <c r="F172" s="8"/>
      <c r="G172" s="9"/>
      <c r="H172" s="10"/>
      <c r="I172" s="9"/>
      <c r="J172" s="9"/>
      <c r="K172" s="11"/>
      <c r="L172" s="12"/>
      <c r="M172" s="12"/>
      <c r="N172" s="12"/>
      <c r="O172" s="9"/>
      <c r="P172" s="9"/>
      <c r="Q172" s="13" t="e">
        <f>VLOOKUP(O172, '[1]لیست محصولات اردیبهشت ۱۴۰۳'!B:C,2,0)</f>
        <v>#N/A</v>
      </c>
      <c r="R172" s="9"/>
      <c r="S172" s="12" t="e">
        <f>VLOOKUP(O172, '[1]لیست محصولات اردیبهشت ۱۴۰۳'!B:F,5,0)</f>
        <v>#N/A</v>
      </c>
      <c r="T172" s="14" t="e">
        <f>VLOOKUP(O172, '[1]لیست محصولات اردیبهشت ۱۴۰۳'!B:G,6,0)</f>
        <v>#N/A</v>
      </c>
      <c r="U172" s="15"/>
      <c r="V172" s="16">
        <f t="shared" si="19"/>
        <v>0</v>
      </c>
      <c r="W172" s="12">
        <f t="shared" si="14"/>
        <v>0</v>
      </c>
      <c r="X172" s="14" t="e">
        <f t="shared" si="15"/>
        <v>#N/A</v>
      </c>
      <c r="Y172" s="17"/>
      <c r="Z172" s="14" t="e">
        <f t="shared" si="16"/>
        <v>#N/A</v>
      </c>
      <c r="AA172" s="18"/>
      <c r="AB172" s="13"/>
      <c r="AC172" s="19"/>
      <c r="AD172" s="20"/>
      <c r="AE172" s="19"/>
      <c r="AF172" s="21"/>
      <c r="AG172" s="22"/>
      <c r="AH172" s="23" t="str">
        <f t="shared" si="20"/>
        <v xml:space="preserve">   -   </v>
      </c>
    </row>
    <row r="173" spans="1:34" ht="22.35" customHeight="1">
      <c r="A173" s="7"/>
      <c r="B173" s="7"/>
      <c r="C173" s="7"/>
      <c r="D173" s="7"/>
      <c r="E173" s="7"/>
      <c r="F173" s="8"/>
      <c r="G173" s="9"/>
      <c r="H173" s="10"/>
      <c r="I173" s="9"/>
      <c r="J173" s="9"/>
      <c r="K173" s="11"/>
      <c r="L173" s="12"/>
      <c r="M173" s="12"/>
      <c r="N173" s="12"/>
      <c r="O173" s="9"/>
      <c r="P173" s="9"/>
      <c r="Q173" s="13" t="e">
        <f>VLOOKUP(O173, '[1]لیست محصولات اردیبهشت ۱۴۰۳'!B:C,2,0)</f>
        <v>#N/A</v>
      </c>
      <c r="R173" s="9"/>
      <c r="S173" s="12" t="e">
        <f>VLOOKUP(O173, '[1]لیست محصولات اردیبهشت ۱۴۰۳'!B:F,5,0)</f>
        <v>#N/A</v>
      </c>
      <c r="T173" s="14" t="e">
        <f>VLOOKUP(O173, '[1]لیست محصولات اردیبهشت ۱۴۰۳'!B:G,6,0)</f>
        <v>#N/A</v>
      </c>
      <c r="U173" s="15"/>
      <c r="V173" s="16">
        <f t="shared" si="19"/>
        <v>0</v>
      </c>
      <c r="W173" s="12">
        <f t="shared" si="14"/>
        <v>0</v>
      </c>
      <c r="X173" s="14" t="e">
        <f t="shared" si="15"/>
        <v>#N/A</v>
      </c>
      <c r="Y173" s="17"/>
      <c r="Z173" s="14" t="e">
        <f t="shared" si="16"/>
        <v>#N/A</v>
      </c>
      <c r="AA173" s="18"/>
      <c r="AB173" s="13"/>
      <c r="AC173" s="19"/>
      <c r="AD173" s="20"/>
      <c r="AE173" s="19"/>
      <c r="AF173" s="21"/>
      <c r="AG173" s="22"/>
      <c r="AH173" s="23" t="str">
        <f t="shared" si="20"/>
        <v xml:space="preserve">   -   </v>
      </c>
    </row>
    <row r="174" spans="1:34" ht="22.35" customHeight="1">
      <c r="A174" s="7"/>
      <c r="B174" s="7"/>
      <c r="C174" s="7"/>
      <c r="D174" s="7"/>
      <c r="E174" s="7"/>
      <c r="F174" s="8"/>
      <c r="G174" s="9"/>
      <c r="H174" s="10"/>
      <c r="I174" s="9"/>
      <c r="J174" s="9"/>
      <c r="K174" s="11"/>
      <c r="L174" s="12"/>
      <c r="M174" s="12"/>
      <c r="N174" s="12"/>
      <c r="O174" s="9"/>
      <c r="P174" s="9"/>
      <c r="Q174" s="13" t="e">
        <f>VLOOKUP(O174, '[1]لیست محصولات اردیبهشت ۱۴۰۳'!B:C,2,0)</f>
        <v>#N/A</v>
      </c>
      <c r="R174" s="9"/>
      <c r="S174" s="12" t="e">
        <f>VLOOKUP(O174, '[1]لیست محصولات اردیبهشت ۱۴۰۳'!B:F,5,0)</f>
        <v>#N/A</v>
      </c>
      <c r="T174" s="14" t="e">
        <f>VLOOKUP(O174, '[1]لیست محصولات اردیبهشت ۱۴۰۳'!B:G,6,0)</f>
        <v>#N/A</v>
      </c>
      <c r="U174" s="15"/>
      <c r="V174" s="16">
        <f t="shared" si="19"/>
        <v>0</v>
      </c>
      <c r="W174" s="12">
        <f t="shared" si="14"/>
        <v>0</v>
      </c>
      <c r="X174" s="14" t="e">
        <f t="shared" si="15"/>
        <v>#N/A</v>
      </c>
      <c r="Y174" s="17"/>
      <c r="Z174" s="14" t="e">
        <f t="shared" si="16"/>
        <v>#N/A</v>
      </c>
      <c r="AA174" s="18"/>
      <c r="AB174" s="13"/>
      <c r="AC174" s="19"/>
      <c r="AD174" s="20"/>
      <c r="AE174" s="19"/>
      <c r="AF174" s="21"/>
      <c r="AG174" s="22"/>
      <c r="AH174" s="23" t="str">
        <f t="shared" si="20"/>
        <v xml:space="preserve">   -   </v>
      </c>
    </row>
    <row r="175" spans="1:34" ht="22.35" customHeight="1">
      <c r="A175" s="7"/>
      <c r="B175" s="7"/>
      <c r="C175" s="7"/>
      <c r="D175" s="7"/>
      <c r="E175" s="7"/>
      <c r="F175" s="8"/>
      <c r="G175" s="9"/>
      <c r="H175" s="10"/>
      <c r="I175" s="9"/>
      <c r="J175" s="9"/>
      <c r="K175" s="11"/>
      <c r="L175" s="12"/>
      <c r="M175" s="12"/>
      <c r="N175" s="12"/>
      <c r="O175" s="9"/>
      <c r="P175" s="9"/>
      <c r="Q175" s="13" t="e">
        <f>VLOOKUP(O175, '[1]لیست محصولات اردیبهشت ۱۴۰۳'!B:C,2,0)</f>
        <v>#N/A</v>
      </c>
      <c r="R175" s="9"/>
      <c r="S175" s="12" t="e">
        <f>VLOOKUP(O175, '[1]لیست محصولات اردیبهشت ۱۴۰۳'!B:F,5,0)</f>
        <v>#N/A</v>
      </c>
      <c r="T175" s="14" t="e">
        <f>VLOOKUP(O175, '[1]لیست محصولات اردیبهشت ۱۴۰۳'!B:G,6,0)</f>
        <v>#N/A</v>
      </c>
      <c r="U175" s="15"/>
      <c r="V175" s="16">
        <f t="shared" si="19"/>
        <v>0</v>
      </c>
      <c r="W175" s="12">
        <f t="shared" si="14"/>
        <v>0</v>
      </c>
      <c r="X175" s="14" t="e">
        <f t="shared" si="15"/>
        <v>#N/A</v>
      </c>
      <c r="Y175" s="17"/>
      <c r="Z175" s="14" t="e">
        <f t="shared" si="16"/>
        <v>#N/A</v>
      </c>
      <c r="AA175" s="18"/>
      <c r="AB175" s="13"/>
      <c r="AC175" s="19"/>
      <c r="AD175" s="20"/>
      <c r="AE175" s="19"/>
      <c r="AF175" s="21"/>
      <c r="AG175" s="22"/>
      <c r="AH175" s="23" t="str">
        <f t="shared" si="20"/>
        <v xml:space="preserve">   -   </v>
      </c>
    </row>
    <row r="176" spans="1:34" ht="22.35" customHeight="1">
      <c r="A176" s="7"/>
      <c r="B176" s="7"/>
      <c r="C176" s="7"/>
      <c r="D176" s="7"/>
      <c r="E176" s="7"/>
      <c r="F176" s="8"/>
      <c r="G176" s="9"/>
      <c r="H176" s="10"/>
      <c r="I176" s="9"/>
      <c r="J176" s="9"/>
      <c r="K176" s="11"/>
      <c r="L176" s="12"/>
      <c r="M176" s="12"/>
      <c r="N176" s="12"/>
      <c r="O176" s="9"/>
      <c r="P176" s="9"/>
      <c r="Q176" s="13" t="e">
        <f>VLOOKUP(O176, '[1]لیست محصولات اردیبهشت ۱۴۰۳'!B:C,2,0)</f>
        <v>#N/A</v>
      </c>
      <c r="R176" s="9"/>
      <c r="S176" s="12" t="e">
        <f>VLOOKUP(O176, '[1]لیست محصولات اردیبهشت ۱۴۰۳'!B:F,5,0)</f>
        <v>#N/A</v>
      </c>
      <c r="T176" s="14" t="e">
        <f>VLOOKUP(O176, '[1]لیست محصولات اردیبهشت ۱۴۰۳'!B:G,6,0)</f>
        <v>#N/A</v>
      </c>
      <c r="U176" s="15"/>
      <c r="V176" s="16">
        <f t="shared" si="19"/>
        <v>0</v>
      </c>
      <c r="W176" s="12">
        <f t="shared" si="14"/>
        <v>0</v>
      </c>
      <c r="X176" s="14" t="e">
        <f t="shared" si="15"/>
        <v>#N/A</v>
      </c>
      <c r="Y176" s="17"/>
      <c r="Z176" s="14" t="e">
        <f t="shared" si="16"/>
        <v>#N/A</v>
      </c>
      <c r="AA176" s="18"/>
      <c r="AB176" s="13"/>
      <c r="AC176" s="19"/>
      <c r="AD176" s="20"/>
      <c r="AE176" s="19"/>
      <c r="AF176" s="21"/>
      <c r="AG176" s="22"/>
      <c r="AH176" s="23" t="str">
        <f t="shared" si="20"/>
        <v xml:space="preserve">   -   </v>
      </c>
    </row>
    <row r="177" spans="1:34" ht="22.35" customHeight="1">
      <c r="A177" s="7"/>
      <c r="B177" s="7"/>
      <c r="C177" s="7"/>
      <c r="D177" s="7"/>
      <c r="E177" s="7"/>
      <c r="F177" s="8"/>
      <c r="G177" s="9"/>
      <c r="H177" s="10"/>
      <c r="I177" s="9"/>
      <c r="J177" s="9"/>
      <c r="K177" s="11"/>
      <c r="L177" s="12"/>
      <c r="M177" s="12"/>
      <c r="N177" s="12"/>
      <c r="O177" s="9"/>
      <c r="P177" s="9"/>
      <c r="Q177" s="13" t="e">
        <f>VLOOKUP(O177, '[1]لیست محصولات اردیبهشت ۱۴۰۳'!B:C,2,0)</f>
        <v>#N/A</v>
      </c>
      <c r="R177" s="9"/>
      <c r="S177" s="12" t="e">
        <f>VLOOKUP(O177, '[1]لیست محصولات اردیبهشت ۱۴۰۳'!B:F,5,0)</f>
        <v>#N/A</v>
      </c>
      <c r="T177" s="14" t="e">
        <f>VLOOKUP(O177, '[1]لیست محصولات اردیبهشت ۱۴۰۳'!B:G,6,0)</f>
        <v>#N/A</v>
      </c>
      <c r="U177" s="15"/>
      <c r="V177" s="16">
        <f t="shared" si="19"/>
        <v>0</v>
      </c>
      <c r="W177" s="12">
        <f t="shared" si="14"/>
        <v>0</v>
      </c>
      <c r="X177" s="14" t="e">
        <f t="shared" si="15"/>
        <v>#N/A</v>
      </c>
      <c r="Y177" s="17"/>
      <c r="Z177" s="14" t="e">
        <f t="shared" si="16"/>
        <v>#N/A</v>
      </c>
      <c r="AA177" s="18"/>
      <c r="AB177" s="13"/>
      <c r="AC177" s="19"/>
      <c r="AD177" s="20"/>
      <c r="AE177" s="19"/>
      <c r="AF177" s="21"/>
      <c r="AG177" s="22"/>
      <c r="AH177" s="23" t="str">
        <f t="shared" si="20"/>
        <v xml:space="preserve">   -   </v>
      </c>
    </row>
    <row r="178" spans="1:34" ht="22.35" customHeight="1">
      <c r="A178" s="7"/>
      <c r="B178" s="7"/>
      <c r="C178" s="7"/>
      <c r="D178" s="7"/>
      <c r="E178" s="7"/>
      <c r="F178" s="8"/>
      <c r="G178" s="9"/>
      <c r="H178" s="10"/>
      <c r="I178" s="9"/>
      <c r="J178" s="9"/>
      <c r="K178" s="11"/>
      <c r="L178" s="12"/>
      <c r="M178" s="12"/>
      <c r="N178" s="12"/>
      <c r="O178" s="9"/>
      <c r="P178" s="9"/>
      <c r="Q178" s="13" t="e">
        <f>VLOOKUP(O178, '[1]لیست محصولات اردیبهشت ۱۴۰۳'!B:C,2,0)</f>
        <v>#N/A</v>
      </c>
      <c r="R178" s="9"/>
      <c r="S178" s="12" t="e">
        <f>VLOOKUP(O178, '[1]لیست محصولات اردیبهشت ۱۴۰۳'!B:F,5,0)</f>
        <v>#N/A</v>
      </c>
      <c r="T178" s="14" t="e">
        <f>VLOOKUP(O178, '[1]لیست محصولات اردیبهشت ۱۴۰۳'!B:G,6,0)</f>
        <v>#N/A</v>
      </c>
      <c r="U178" s="15"/>
      <c r="V178" s="16">
        <f t="shared" si="19"/>
        <v>0</v>
      </c>
      <c r="W178" s="12">
        <f t="shared" si="14"/>
        <v>0</v>
      </c>
      <c r="X178" s="14" t="e">
        <f t="shared" si="15"/>
        <v>#N/A</v>
      </c>
      <c r="Y178" s="17"/>
      <c r="Z178" s="14" t="e">
        <f t="shared" si="16"/>
        <v>#N/A</v>
      </c>
      <c r="AA178" s="18"/>
      <c r="AB178" s="13"/>
      <c r="AC178" s="19"/>
      <c r="AD178" s="20"/>
      <c r="AE178" s="19"/>
      <c r="AF178" s="21"/>
      <c r="AG178" s="22"/>
      <c r="AH178" s="23" t="str">
        <f t="shared" si="20"/>
        <v xml:space="preserve">   -   </v>
      </c>
    </row>
    <row r="179" spans="1:34" ht="22.35" customHeight="1">
      <c r="A179" s="7"/>
      <c r="B179" s="7"/>
      <c r="C179" s="7"/>
      <c r="D179" s="7"/>
      <c r="E179" s="7"/>
      <c r="F179" s="8"/>
      <c r="G179" s="9"/>
      <c r="H179" s="10"/>
      <c r="I179" s="9"/>
      <c r="J179" s="9"/>
      <c r="K179" s="11"/>
      <c r="L179" s="12"/>
      <c r="M179" s="12"/>
      <c r="N179" s="12"/>
      <c r="O179" s="9"/>
      <c r="P179" s="9"/>
      <c r="Q179" s="13" t="e">
        <f>VLOOKUP(O179, '[1]لیست محصولات اردیبهشت ۱۴۰۳'!B:C,2,0)</f>
        <v>#N/A</v>
      </c>
      <c r="R179" s="9"/>
      <c r="S179" s="12" t="e">
        <f>VLOOKUP(O179, '[1]لیست محصولات اردیبهشت ۱۴۰۳'!B:F,5,0)</f>
        <v>#N/A</v>
      </c>
      <c r="T179" s="14" t="e">
        <f>VLOOKUP(O179, '[1]لیست محصولات اردیبهشت ۱۴۰۳'!B:G,6,0)</f>
        <v>#N/A</v>
      </c>
      <c r="U179" s="15"/>
      <c r="V179" s="16">
        <f t="shared" si="19"/>
        <v>0</v>
      </c>
      <c r="W179" s="12">
        <f t="shared" si="14"/>
        <v>0</v>
      </c>
      <c r="X179" s="14" t="e">
        <f t="shared" si="15"/>
        <v>#N/A</v>
      </c>
      <c r="Y179" s="17"/>
      <c r="Z179" s="14" t="e">
        <f t="shared" si="16"/>
        <v>#N/A</v>
      </c>
      <c r="AA179" s="18"/>
      <c r="AB179" s="13"/>
      <c r="AC179" s="19"/>
      <c r="AD179" s="20"/>
      <c r="AE179" s="19"/>
      <c r="AF179" s="21"/>
      <c r="AG179" s="22"/>
      <c r="AH179" s="23" t="str">
        <f t="shared" si="20"/>
        <v xml:space="preserve">   -   </v>
      </c>
    </row>
    <row r="180" spans="1:34" ht="22.35" customHeight="1">
      <c r="A180" s="7"/>
      <c r="B180" s="7"/>
      <c r="C180" s="7"/>
      <c r="D180" s="7"/>
      <c r="E180" s="7"/>
      <c r="F180" s="8"/>
      <c r="G180" s="9"/>
      <c r="H180" s="10"/>
      <c r="I180" s="9"/>
      <c r="J180" s="9"/>
      <c r="K180" s="11"/>
      <c r="L180" s="12"/>
      <c r="M180" s="12"/>
      <c r="N180" s="12"/>
      <c r="O180" s="9"/>
      <c r="P180" s="9"/>
      <c r="Q180" s="13" t="e">
        <f>VLOOKUP(O180, '[1]لیست محصولات اردیبهشت ۱۴۰۳'!B:C,2,0)</f>
        <v>#N/A</v>
      </c>
      <c r="R180" s="9"/>
      <c r="S180" s="12" t="e">
        <f>VLOOKUP(O180, '[1]لیست محصولات اردیبهشت ۱۴۰۳'!B:F,5,0)</f>
        <v>#N/A</v>
      </c>
      <c r="T180" s="14" t="e">
        <f>VLOOKUP(O180, '[1]لیست محصولات اردیبهشت ۱۴۰۳'!B:G,6,0)</f>
        <v>#N/A</v>
      </c>
      <c r="U180" s="15"/>
      <c r="V180" s="16">
        <f t="shared" si="19"/>
        <v>0</v>
      </c>
      <c r="W180" s="12">
        <f t="shared" si="14"/>
        <v>0</v>
      </c>
      <c r="X180" s="14" t="e">
        <f t="shared" si="15"/>
        <v>#N/A</v>
      </c>
      <c r="Y180" s="17"/>
      <c r="Z180" s="14" t="e">
        <f t="shared" si="16"/>
        <v>#N/A</v>
      </c>
      <c r="AA180" s="18"/>
      <c r="AB180" s="13"/>
      <c r="AC180" s="19"/>
      <c r="AD180" s="20"/>
      <c r="AE180" s="19"/>
      <c r="AF180" s="21"/>
      <c r="AG180" s="22"/>
      <c r="AH180" s="23" t="str">
        <f t="shared" si="20"/>
        <v xml:space="preserve">   -   </v>
      </c>
    </row>
    <row r="181" spans="1:34" ht="22.35" customHeight="1">
      <c r="A181" s="7"/>
      <c r="B181" s="7"/>
      <c r="C181" s="7"/>
      <c r="D181" s="7"/>
      <c r="E181" s="7"/>
      <c r="F181" s="8"/>
      <c r="G181" s="9"/>
      <c r="H181" s="10"/>
      <c r="I181" s="9"/>
      <c r="J181" s="9"/>
      <c r="K181" s="11"/>
      <c r="L181" s="12"/>
      <c r="M181" s="12"/>
      <c r="N181" s="12"/>
      <c r="O181" s="9"/>
      <c r="P181" s="9"/>
      <c r="Q181" s="13" t="e">
        <f>VLOOKUP(O181, '[1]لیست محصولات اردیبهشت ۱۴۰۳'!B:C,2,0)</f>
        <v>#N/A</v>
      </c>
      <c r="R181" s="9"/>
      <c r="S181" s="12" t="e">
        <f>VLOOKUP(O181, '[1]لیست محصولات اردیبهشت ۱۴۰۳'!B:F,5,0)</f>
        <v>#N/A</v>
      </c>
      <c r="T181" s="14" t="e">
        <f>VLOOKUP(O181, '[1]لیست محصولات اردیبهشت ۱۴۰۳'!B:G,6,0)</f>
        <v>#N/A</v>
      </c>
      <c r="U181" s="15"/>
      <c r="V181" s="16">
        <f t="shared" si="19"/>
        <v>0</v>
      </c>
      <c r="W181" s="12">
        <f t="shared" si="14"/>
        <v>0</v>
      </c>
      <c r="X181" s="14" t="e">
        <f t="shared" si="15"/>
        <v>#N/A</v>
      </c>
      <c r="Y181" s="17"/>
      <c r="Z181" s="14" t="e">
        <f t="shared" si="16"/>
        <v>#N/A</v>
      </c>
      <c r="AA181" s="18"/>
      <c r="AB181" s="13"/>
      <c r="AC181" s="19"/>
      <c r="AD181" s="20"/>
      <c r="AE181" s="19"/>
      <c r="AF181" s="21"/>
      <c r="AG181" s="22"/>
      <c r="AH181" s="23" t="str">
        <f t="shared" si="20"/>
        <v xml:space="preserve">   -   </v>
      </c>
    </row>
    <row r="182" spans="1:34" ht="22.35" customHeight="1">
      <c r="A182" s="7"/>
      <c r="B182" s="7"/>
      <c r="C182" s="7"/>
      <c r="D182" s="7"/>
      <c r="E182" s="7"/>
      <c r="F182" s="8"/>
      <c r="G182" s="9"/>
      <c r="H182" s="10"/>
      <c r="I182" s="9"/>
      <c r="J182" s="9"/>
      <c r="K182" s="11"/>
      <c r="L182" s="12"/>
      <c r="M182" s="12"/>
      <c r="N182" s="12"/>
      <c r="O182" s="9"/>
      <c r="P182" s="9"/>
      <c r="Q182" s="13" t="e">
        <f>VLOOKUP(O182, '[1]لیست محصولات اردیبهشت ۱۴۰۳'!B:C,2,0)</f>
        <v>#N/A</v>
      </c>
      <c r="R182" s="9"/>
      <c r="S182" s="12" t="e">
        <f>VLOOKUP(O182, '[1]لیست محصولات اردیبهشت ۱۴۰۳'!B:F,5,0)</f>
        <v>#N/A</v>
      </c>
      <c r="T182" s="14" t="e">
        <f>VLOOKUP(O182, '[1]لیست محصولات اردیبهشت ۱۴۰۳'!B:G,6,0)</f>
        <v>#N/A</v>
      </c>
      <c r="U182" s="15"/>
      <c r="V182" s="16">
        <f t="shared" si="19"/>
        <v>0</v>
      </c>
      <c r="W182" s="12">
        <f t="shared" si="14"/>
        <v>0</v>
      </c>
      <c r="X182" s="14" t="e">
        <f t="shared" si="15"/>
        <v>#N/A</v>
      </c>
      <c r="Y182" s="17"/>
      <c r="Z182" s="14" t="e">
        <f t="shared" si="16"/>
        <v>#N/A</v>
      </c>
      <c r="AA182" s="18"/>
      <c r="AB182" s="13"/>
      <c r="AC182" s="19"/>
      <c r="AD182" s="20"/>
      <c r="AE182" s="19"/>
      <c r="AF182" s="21"/>
      <c r="AG182" s="22"/>
      <c r="AH182" s="23" t="str">
        <f t="shared" si="20"/>
        <v xml:space="preserve">   -   </v>
      </c>
    </row>
    <row r="183" spans="1:34" ht="22.35" customHeight="1">
      <c r="A183" s="7"/>
      <c r="B183" s="7"/>
      <c r="C183" s="7"/>
      <c r="D183" s="7"/>
      <c r="E183" s="7"/>
      <c r="F183" s="8"/>
      <c r="G183" s="9"/>
      <c r="H183" s="10"/>
      <c r="I183" s="9"/>
      <c r="J183" s="9"/>
      <c r="K183" s="11"/>
      <c r="L183" s="12"/>
      <c r="M183" s="12"/>
      <c r="N183" s="12"/>
      <c r="O183" s="9"/>
      <c r="P183" s="9"/>
      <c r="Q183" s="13" t="e">
        <f>VLOOKUP(O183, '[1]لیست محصولات اردیبهشت ۱۴۰۳'!B:C,2,0)</f>
        <v>#N/A</v>
      </c>
      <c r="R183" s="9"/>
      <c r="S183" s="12" t="e">
        <f>VLOOKUP(O183, '[1]لیست محصولات اردیبهشت ۱۴۰۳'!B:F,5,0)</f>
        <v>#N/A</v>
      </c>
      <c r="T183" s="14" t="e">
        <f>VLOOKUP(O183, '[1]لیست محصولات اردیبهشت ۱۴۰۳'!B:G,6,0)</f>
        <v>#N/A</v>
      </c>
      <c r="U183" s="15"/>
      <c r="V183" s="16">
        <f t="shared" si="19"/>
        <v>0</v>
      </c>
      <c r="W183" s="12">
        <f t="shared" si="14"/>
        <v>0</v>
      </c>
      <c r="X183" s="14" t="e">
        <f t="shared" si="15"/>
        <v>#N/A</v>
      </c>
      <c r="Y183" s="17"/>
      <c r="Z183" s="14" t="e">
        <f t="shared" si="16"/>
        <v>#N/A</v>
      </c>
      <c r="AA183" s="18"/>
      <c r="AB183" s="13"/>
      <c r="AC183" s="19"/>
      <c r="AD183" s="20"/>
      <c r="AE183" s="19"/>
      <c r="AF183" s="21"/>
      <c r="AG183" s="22"/>
      <c r="AH183" s="23" t="str">
        <f t="shared" si="20"/>
        <v xml:space="preserve">   -   </v>
      </c>
    </row>
    <row r="184" spans="1:34" ht="22.35" customHeight="1">
      <c r="A184" s="7"/>
      <c r="B184" s="7"/>
      <c r="C184" s="7"/>
      <c r="D184" s="7"/>
      <c r="E184" s="7"/>
      <c r="F184" s="8"/>
      <c r="G184" s="9"/>
      <c r="H184" s="10"/>
      <c r="I184" s="9"/>
      <c r="J184" s="9"/>
      <c r="K184" s="11"/>
      <c r="L184" s="12"/>
      <c r="M184" s="12"/>
      <c r="N184" s="12"/>
      <c r="O184" s="9"/>
      <c r="P184" s="9"/>
      <c r="Q184" s="13" t="e">
        <f>VLOOKUP(O184, '[1]لیست محصولات اردیبهشت ۱۴۰۳'!B:C,2,0)</f>
        <v>#N/A</v>
      </c>
      <c r="R184" s="9"/>
      <c r="S184" s="12" t="e">
        <f>VLOOKUP(O184, '[1]لیست محصولات اردیبهشت ۱۴۰۳'!B:F,5,0)</f>
        <v>#N/A</v>
      </c>
      <c r="T184" s="14" t="e">
        <f>VLOOKUP(O184, '[1]لیست محصولات اردیبهشت ۱۴۰۳'!B:G,6,0)</f>
        <v>#N/A</v>
      </c>
      <c r="U184" s="15"/>
      <c r="V184" s="16">
        <f t="shared" si="19"/>
        <v>0</v>
      </c>
      <c r="W184" s="12">
        <f t="shared" si="14"/>
        <v>0</v>
      </c>
      <c r="X184" s="14" t="e">
        <f t="shared" si="15"/>
        <v>#N/A</v>
      </c>
      <c r="Y184" s="17"/>
      <c r="Z184" s="14" t="e">
        <f t="shared" si="16"/>
        <v>#N/A</v>
      </c>
      <c r="AA184" s="18"/>
      <c r="AB184" s="13"/>
      <c r="AC184" s="19"/>
      <c r="AD184" s="20"/>
      <c r="AE184" s="19"/>
      <c r="AF184" s="21"/>
      <c r="AG184" s="22"/>
      <c r="AH184" s="23" t="str">
        <f t="shared" si="20"/>
        <v xml:space="preserve">   -   </v>
      </c>
    </row>
    <row r="185" spans="1:34" ht="22.35" customHeight="1">
      <c r="A185" s="7"/>
      <c r="B185" s="7"/>
      <c r="C185" s="7"/>
      <c r="D185" s="7"/>
      <c r="E185" s="7"/>
      <c r="F185" s="8"/>
      <c r="G185" s="9"/>
      <c r="H185" s="10"/>
      <c r="I185" s="9"/>
      <c r="J185" s="9"/>
      <c r="K185" s="11"/>
      <c r="L185" s="12"/>
      <c r="M185" s="12"/>
      <c r="N185" s="12"/>
      <c r="O185" s="9"/>
      <c r="P185" s="9"/>
      <c r="Q185" s="13" t="e">
        <f>VLOOKUP(O185, '[1]لیست محصولات اردیبهشت ۱۴۰۳'!B:C,2,0)</f>
        <v>#N/A</v>
      </c>
      <c r="R185" s="9"/>
      <c r="S185" s="12" t="e">
        <f>VLOOKUP(O185, '[1]لیست محصولات اردیبهشت ۱۴۰۳'!B:F,5,0)</f>
        <v>#N/A</v>
      </c>
      <c r="T185" s="14" t="e">
        <f>VLOOKUP(O185, '[1]لیست محصولات اردیبهشت ۱۴۰۳'!B:G,6,0)</f>
        <v>#N/A</v>
      </c>
      <c r="U185" s="15"/>
      <c r="V185" s="16">
        <f t="shared" si="19"/>
        <v>0</v>
      </c>
      <c r="W185" s="12">
        <f t="shared" si="14"/>
        <v>0</v>
      </c>
      <c r="X185" s="14" t="e">
        <f t="shared" si="15"/>
        <v>#N/A</v>
      </c>
      <c r="Y185" s="17"/>
      <c r="Z185" s="14" t="e">
        <f t="shared" si="16"/>
        <v>#N/A</v>
      </c>
      <c r="AA185" s="18"/>
      <c r="AB185" s="13"/>
      <c r="AC185" s="19"/>
      <c r="AD185" s="20"/>
      <c r="AE185" s="19"/>
      <c r="AF185" s="21"/>
      <c r="AG185" s="22"/>
      <c r="AH185" s="23" t="str">
        <f t="shared" si="20"/>
        <v xml:space="preserve">   -   </v>
      </c>
    </row>
    <row r="186" spans="1:34" ht="22.35" customHeight="1">
      <c r="A186" s="7"/>
      <c r="B186" s="7"/>
      <c r="C186" s="7"/>
      <c r="D186" s="7"/>
      <c r="E186" s="7"/>
      <c r="F186" s="8"/>
      <c r="G186" s="9"/>
      <c r="H186" s="10"/>
      <c r="I186" s="9"/>
      <c r="J186" s="9"/>
      <c r="K186" s="11"/>
      <c r="L186" s="12"/>
      <c r="M186" s="12"/>
      <c r="N186" s="12"/>
      <c r="O186" s="9"/>
      <c r="P186" s="9"/>
      <c r="Q186" s="13" t="e">
        <f>VLOOKUP(O186, '[1]لیست محصولات اردیبهشت ۱۴۰۳'!B:C,2,0)</f>
        <v>#N/A</v>
      </c>
      <c r="R186" s="9"/>
      <c r="S186" s="12" t="e">
        <f>VLOOKUP(O186, '[1]لیست محصولات اردیبهشت ۱۴۰۳'!B:F,5,0)</f>
        <v>#N/A</v>
      </c>
      <c r="T186" s="14" t="e">
        <f>VLOOKUP(O186, '[1]لیست محصولات اردیبهشت ۱۴۰۳'!B:G,6,0)</f>
        <v>#N/A</v>
      </c>
      <c r="U186" s="15"/>
      <c r="V186" s="16">
        <f t="shared" si="19"/>
        <v>0</v>
      </c>
      <c r="W186" s="12">
        <f t="shared" si="14"/>
        <v>0</v>
      </c>
      <c r="X186" s="14" t="e">
        <f t="shared" si="15"/>
        <v>#N/A</v>
      </c>
      <c r="Y186" s="17"/>
      <c r="Z186" s="14" t="e">
        <f t="shared" si="16"/>
        <v>#N/A</v>
      </c>
      <c r="AA186" s="18"/>
      <c r="AB186" s="13"/>
      <c r="AC186" s="19"/>
      <c r="AD186" s="20"/>
      <c r="AE186" s="19"/>
      <c r="AF186" s="21"/>
      <c r="AG186" s="22"/>
      <c r="AH186" s="23" t="str">
        <f t="shared" si="20"/>
        <v xml:space="preserve">   -   </v>
      </c>
    </row>
    <row r="187" spans="1:34" ht="22.35" customHeight="1">
      <c r="A187" s="7"/>
      <c r="B187" s="7"/>
      <c r="C187" s="7"/>
      <c r="D187" s="7"/>
      <c r="E187" s="7"/>
      <c r="F187" s="8"/>
      <c r="G187" s="9"/>
      <c r="H187" s="10"/>
      <c r="I187" s="9"/>
      <c r="J187" s="9"/>
      <c r="K187" s="11"/>
      <c r="L187" s="12"/>
      <c r="M187" s="12"/>
      <c r="N187" s="12"/>
      <c r="O187" s="9"/>
      <c r="P187" s="9"/>
      <c r="Q187" s="13" t="e">
        <f>VLOOKUP(O187, '[1]لیست محصولات اردیبهشت ۱۴۰۳'!B:C,2,0)</f>
        <v>#N/A</v>
      </c>
      <c r="R187" s="9"/>
      <c r="S187" s="12" t="e">
        <f>VLOOKUP(O187, '[1]لیست محصولات اردیبهشت ۱۴۰۳'!B:F,5,0)</f>
        <v>#N/A</v>
      </c>
      <c r="T187" s="14" t="e">
        <f>VLOOKUP(O187, '[1]لیست محصولات اردیبهشت ۱۴۰۳'!B:G,6,0)</f>
        <v>#N/A</v>
      </c>
      <c r="U187" s="15"/>
      <c r="V187" s="16">
        <f t="shared" si="19"/>
        <v>0</v>
      </c>
      <c r="W187" s="12">
        <f t="shared" si="14"/>
        <v>0</v>
      </c>
      <c r="X187" s="14" t="e">
        <f t="shared" si="15"/>
        <v>#N/A</v>
      </c>
      <c r="Y187" s="17"/>
      <c r="Z187" s="14" t="e">
        <f t="shared" si="16"/>
        <v>#N/A</v>
      </c>
      <c r="AA187" s="18"/>
      <c r="AB187" s="13"/>
      <c r="AC187" s="19"/>
      <c r="AD187" s="20"/>
      <c r="AE187" s="19"/>
      <c r="AF187" s="21"/>
      <c r="AG187" s="22"/>
      <c r="AH187" s="23" t="str">
        <f t="shared" si="20"/>
        <v xml:space="preserve">   -   </v>
      </c>
    </row>
    <row r="188" spans="1:34" ht="22.35" customHeight="1">
      <c r="A188" s="7"/>
      <c r="B188" s="7"/>
      <c r="C188" s="7"/>
      <c r="D188" s="7"/>
      <c r="E188" s="7"/>
      <c r="F188" s="8"/>
      <c r="G188" s="9"/>
      <c r="H188" s="10"/>
      <c r="I188" s="9"/>
      <c r="J188" s="9"/>
      <c r="K188" s="11"/>
      <c r="L188" s="12"/>
      <c r="M188" s="12"/>
      <c r="N188" s="12"/>
      <c r="O188" s="9"/>
      <c r="P188" s="9"/>
      <c r="Q188" s="13" t="e">
        <f>VLOOKUP(O188, '[1]لیست محصولات اردیبهشت ۱۴۰۳'!B:C,2,0)</f>
        <v>#N/A</v>
      </c>
      <c r="R188" s="9"/>
      <c r="S188" s="12" t="e">
        <f>VLOOKUP(O188, '[1]لیست محصولات اردیبهشت ۱۴۰۳'!B:F,5,0)</f>
        <v>#N/A</v>
      </c>
      <c r="T188" s="14" t="e">
        <f>VLOOKUP(O188, '[1]لیست محصولات اردیبهشت ۱۴۰۳'!B:G,6,0)</f>
        <v>#N/A</v>
      </c>
      <c r="U188" s="15"/>
      <c r="V188" s="16">
        <f t="shared" si="19"/>
        <v>0</v>
      </c>
      <c r="W188" s="12">
        <f t="shared" si="14"/>
        <v>0</v>
      </c>
      <c r="X188" s="14" t="e">
        <f t="shared" si="15"/>
        <v>#N/A</v>
      </c>
      <c r="Y188" s="17"/>
      <c r="Z188" s="14" t="e">
        <f t="shared" si="16"/>
        <v>#N/A</v>
      </c>
      <c r="AA188" s="18"/>
      <c r="AB188" s="13"/>
      <c r="AC188" s="19"/>
      <c r="AD188" s="20"/>
      <c r="AE188" s="19"/>
      <c r="AF188" s="21"/>
      <c r="AG188" s="22"/>
      <c r="AH188" s="23" t="str">
        <f t="shared" si="20"/>
        <v xml:space="preserve">   -   </v>
      </c>
    </row>
    <row r="189" spans="1:34" ht="22.35" customHeight="1">
      <c r="A189" s="7"/>
      <c r="B189" s="7"/>
      <c r="C189" s="7"/>
      <c r="D189" s="7"/>
      <c r="E189" s="7"/>
      <c r="F189" s="8"/>
      <c r="G189" s="9"/>
      <c r="H189" s="10"/>
      <c r="I189" s="9"/>
      <c r="J189" s="9"/>
      <c r="K189" s="11"/>
      <c r="L189" s="12"/>
      <c r="M189" s="12"/>
      <c r="N189" s="12"/>
      <c r="O189" s="9"/>
      <c r="P189" s="9"/>
      <c r="Q189" s="13" t="e">
        <f>VLOOKUP(O189, '[1]لیست محصولات اردیبهشت ۱۴۰۳'!B:C,2,0)</f>
        <v>#N/A</v>
      </c>
      <c r="R189" s="9"/>
      <c r="S189" s="12" t="e">
        <f>VLOOKUP(O189, '[1]لیست محصولات اردیبهشت ۱۴۰۳'!B:F,5,0)</f>
        <v>#N/A</v>
      </c>
      <c r="T189" s="14" t="e">
        <f>VLOOKUP(O189, '[1]لیست محصولات اردیبهشت ۱۴۰۳'!B:G,6,0)</f>
        <v>#N/A</v>
      </c>
      <c r="U189" s="15"/>
      <c r="V189" s="16">
        <f t="shared" si="19"/>
        <v>0</v>
      </c>
      <c r="W189" s="12">
        <f t="shared" si="14"/>
        <v>0</v>
      </c>
      <c r="X189" s="14" t="e">
        <f t="shared" si="15"/>
        <v>#N/A</v>
      </c>
      <c r="Y189" s="17"/>
      <c r="Z189" s="14" t="e">
        <f t="shared" si="16"/>
        <v>#N/A</v>
      </c>
      <c r="AA189" s="18"/>
      <c r="AB189" s="13"/>
      <c r="AC189" s="19"/>
      <c r="AD189" s="20"/>
      <c r="AE189" s="19"/>
      <c r="AF189" s="21"/>
      <c r="AG189" s="22"/>
      <c r="AH189" s="23" t="str">
        <f t="shared" si="20"/>
        <v xml:space="preserve">   -   </v>
      </c>
    </row>
    <row r="190" spans="1:34" ht="22.35" customHeight="1">
      <c r="A190" s="7"/>
      <c r="B190" s="7"/>
      <c r="C190" s="7"/>
      <c r="D190" s="7"/>
      <c r="E190" s="7"/>
      <c r="F190" s="8"/>
      <c r="G190" s="9"/>
      <c r="H190" s="10"/>
      <c r="I190" s="9"/>
      <c r="J190" s="9"/>
      <c r="K190" s="11"/>
      <c r="L190" s="12"/>
      <c r="M190" s="12"/>
      <c r="N190" s="12"/>
      <c r="O190" s="9"/>
      <c r="P190" s="9"/>
      <c r="Q190" s="13" t="e">
        <f>VLOOKUP(O190, '[1]لیست محصولات اردیبهشت ۱۴۰۳'!B:C,2,0)</f>
        <v>#N/A</v>
      </c>
      <c r="R190" s="9"/>
      <c r="S190" s="12" t="e">
        <f>VLOOKUP(O190, '[1]لیست محصولات اردیبهشت ۱۴۰۳'!B:F,5,0)</f>
        <v>#N/A</v>
      </c>
      <c r="T190" s="14" t="e">
        <f>VLOOKUP(O190, '[1]لیست محصولات اردیبهشت ۱۴۰۳'!B:G,6,0)</f>
        <v>#N/A</v>
      </c>
      <c r="U190" s="15"/>
      <c r="V190" s="16">
        <f t="shared" si="19"/>
        <v>0</v>
      </c>
      <c r="W190" s="12">
        <f t="shared" si="14"/>
        <v>0</v>
      </c>
      <c r="X190" s="14" t="e">
        <f t="shared" si="15"/>
        <v>#N/A</v>
      </c>
      <c r="Y190" s="17"/>
      <c r="Z190" s="14" t="e">
        <f t="shared" si="16"/>
        <v>#N/A</v>
      </c>
      <c r="AA190" s="18"/>
      <c r="AB190" s="13"/>
      <c r="AC190" s="19"/>
      <c r="AD190" s="20"/>
      <c r="AE190" s="19"/>
      <c r="AF190" s="21"/>
      <c r="AG190" s="22"/>
      <c r="AH190" s="23" t="str">
        <f t="shared" si="20"/>
        <v xml:space="preserve">   -   </v>
      </c>
    </row>
    <row r="191" spans="1:34" ht="22.35" customHeight="1">
      <c r="A191" s="7"/>
      <c r="B191" s="7"/>
      <c r="C191" s="7"/>
      <c r="D191" s="7"/>
      <c r="E191" s="7"/>
      <c r="F191" s="8"/>
      <c r="G191" s="9"/>
      <c r="H191" s="10"/>
      <c r="I191" s="9"/>
      <c r="J191" s="9"/>
      <c r="K191" s="11"/>
      <c r="L191" s="12"/>
      <c r="M191" s="12"/>
      <c r="N191" s="12"/>
      <c r="O191" s="9"/>
      <c r="P191" s="9"/>
      <c r="Q191" s="13" t="e">
        <f>VLOOKUP(O191, '[1]لیست محصولات اردیبهشت ۱۴۰۳'!B:C,2,0)</f>
        <v>#N/A</v>
      </c>
      <c r="R191" s="9"/>
      <c r="S191" s="12" t="e">
        <f>VLOOKUP(O191, '[1]لیست محصولات اردیبهشت ۱۴۰۳'!B:F,5,0)</f>
        <v>#N/A</v>
      </c>
      <c r="T191" s="14" t="e">
        <f>VLOOKUP(O191, '[1]لیست محصولات اردیبهشت ۱۴۰۳'!B:G,6,0)</f>
        <v>#N/A</v>
      </c>
      <c r="U191" s="15"/>
      <c r="V191" s="16">
        <f t="shared" si="19"/>
        <v>0</v>
      </c>
      <c r="W191" s="12">
        <f t="shared" si="14"/>
        <v>0</v>
      </c>
      <c r="X191" s="14" t="e">
        <f t="shared" si="15"/>
        <v>#N/A</v>
      </c>
      <c r="Y191" s="17"/>
      <c r="Z191" s="14" t="e">
        <f t="shared" si="16"/>
        <v>#N/A</v>
      </c>
      <c r="AA191" s="18"/>
      <c r="AB191" s="13"/>
      <c r="AC191" s="19"/>
      <c r="AD191" s="20"/>
      <c r="AE191" s="19"/>
      <c r="AF191" s="21"/>
      <c r="AG191" s="22"/>
      <c r="AH191" s="23" t="str">
        <f t="shared" si="20"/>
        <v xml:space="preserve">   -   </v>
      </c>
    </row>
    <row r="192" spans="1:34" ht="22.35" customHeight="1">
      <c r="A192" s="7"/>
      <c r="B192" s="7"/>
      <c r="C192" s="7"/>
      <c r="D192" s="7"/>
      <c r="E192" s="7"/>
      <c r="F192" s="8"/>
      <c r="G192" s="9"/>
      <c r="H192" s="10"/>
      <c r="I192" s="9"/>
      <c r="J192" s="9"/>
      <c r="K192" s="11"/>
      <c r="L192" s="12"/>
      <c r="M192" s="12"/>
      <c r="N192" s="12"/>
      <c r="O192" s="9"/>
      <c r="P192" s="9"/>
      <c r="Q192" s="13" t="e">
        <f>VLOOKUP(O192, '[1]لیست محصولات اردیبهشت ۱۴۰۳'!B:C,2,0)</f>
        <v>#N/A</v>
      </c>
      <c r="R192" s="9"/>
      <c r="S192" s="12" t="e">
        <f>VLOOKUP(O192, '[1]لیست محصولات اردیبهشت ۱۴۰۳'!B:F,5,0)</f>
        <v>#N/A</v>
      </c>
      <c r="T192" s="14" t="e">
        <f>VLOOKUP(O192, '[1]لیست محصولات اردیبهشت ۱۴۰۳'!B:G,6,0)</f>
        <v>#N/A</v>
      </c>
      <c r="U192" s="15"/>
      <c r="V192" s="16">
        <f t="shared" si="19"/>
        <v>0</v>
      </c>
      <c r="W192" s="12">
        <f t="shared" si="14"/>
        <v>0</v>
      </c>
      <c r="X192" s="14" t="e">
        <f t="shared" si="15"/>
        <v>#N/A</v>
      </c>
      <c r="Y192" s="17"/>
      <c r="Z192" s="14" t="e">
        <f t="shared" si="16"/>
        <v>#N/A</v>
      </c>
      <c r="AA192" s="18"/>
      <c r="AB192" s="13"/>
      <c r="AC192" s="19"/>
      <c r="AD192" s="20"/>
      <c r="AE192" s="19"/>
      <c r="AF192" s="21"/>
      <c r="AG192" s="22"/>
      <c r="AH192" s="23" t="str">
        <f t="shared" si="20"/>
        <v xml:space="preserve">   -   </v>
      </c>
    </row>
    <row r="193" spans="1:44" ht="22.35" customHeight="1">
      <c r="A193" s="7"/>
      <c r="B193" s="7"/>
      <c r="C193" s="7"/>
      <c r="D193" s="7"/>
      <c r="E193" s="7"/>
      <c r="F193" s="8"/>
      <c r="G193" s="9"/>
      <c r="H193" s="10"/>
      <c r="I193" s="9"/>
      <c r="J193" s="9"/>
      <c r="K193" s="11"/>
      <c r="L193" s="12"/>
      <c r="M193" s="12"/>
      <c r="N193" s="12"/>
      <c r="O193" s="9"/>
      <c r="P193" s="9"/>
      <c r="Q193" s="13" t="e">
        <f>VLOOKUP(O193, '[1]لیست محصولات اردیبهشت ۱۴۰۳'!B:C,2,0)</f>
        <v>#N/A</v>
      </c>
      <c r="R193" s="9"/>
      <c r="S193" s="12" t="e">
        <f>VLOOKUP(O193, '[1]لیست محصولات اردیبهشت ۱۴۰۳'!B:F,5,0)</f>
        <v>#N/A</v>
      </c>
      <c r="T193" s="14" t="e">
        <f>VLOOKUP(O193, '[1]لیست محصولات اردیبهشت ۱۴۰۳'!B:G,6,0)</f>
        <v>#N/A</v>
      </c>
      <c r="U193" s="15"/>
      <c r="V193" s="16">
        <f t="shared" si="19"/>
        <v>0</v>
      </c>
      <c r="W193" s="12">
        <f t="shared" si="14"/>
        <v>0</v>
      </c>
      <c r="X193" s="14" t="e">
        <f t="shared" si="15"/>
        <v>#N/A</v>
      </c>
      <c r="Y193" s="17"/>
      <c r="Z193" s="14" t="e">
        <f t="shared" si="16"/>
        <v>#N/A</v>
      </c>
      <c r="AA193" s="18"/>
      <c r="AB193" s="13"/>
      <c r="AC193" s="19"/>
      <c r="AD193" s="20"/>
      <c r="AE193" s="19"/>
      <c r="AF193" s="21"/>
      <c r="AG193" s="22"/>
      <c r="AH193" s="23" t="str">
        <f t="shared" si="20"/>
        <v xml:space="preserve">   -   </v>
      </c>
    </row>
    <row r="194" spans="1:44" ht="22.35" customHeight="1">
      <c r="A194" s="7"/>
      <c r="B194" s="7"/>
      <c r="C194" s="7"/>
      <c r="D194" s="7"/>
      <c r="E194" s="7"/>
      <c r="F194" s="8"/>
      <c r="G194" s="9"/>
      <c r="H194" s="10"/>
      <c r="I194" s="9"/>
      <c r="J194" s="9"/>
      <c r="K194" s="11"/>
      <c r="L194" s="12"/>
      <c r="M194" s="12"/>
      <c r="N194" s="12"/>
      <c r="O194" s="9"/>
      <c r="P194" s="9"/>
      <c r="Q194" s="13" t="e">
        <f>VLOOKUP(O194, '[1]لیست محصولات اردیبهشت ۱۴۰۳'!B:C,2,0)</f>
        <v>#N/A</v>
      </c>
      <c r="R194" s="9"/>
      <c r="S194" s="12" t="e">
        <f>VLOOKUP(O194, '[1]لیست محصولات اردیبهشت ۱۴۰۳'!B:F,5,0)</f>
        <v>#N/A</v>
      </c>
      <c r="T194" s="14" t="e">
        <f>VLOOKUP(O194, '[1]لیست محصولات اردیبهشت ۱۴۰۳'!B:G,6,0)</f>
        <v>#N/A</v>
      </c>
      <c r="U194" s="15"/>
      <c r="V194" s="16">
        <f t="shared" ref="V194:V200" si="21">IF(C194, P194, U194 )</f>
        <v>0</v>
      </c>
      <c r="W194" s="12">
        <f t="shared" si="14"/>
        <v>0</v>
      </c>
      <c r="X194" s="14" t="e">
        <f t="shared" si="15"/>
        <v>#N/A</v>
      </c>
      <c r="Y194" s="17"/>
      <c r="Z194" s="14" t="e">
        <f t="shared" si="16"/>
        <v>#N/A</v>
      </c>
      <c r="AA194" s="18"/>
      <c r="AB194" s="13"/>
      <c r="AC194" s="19"/>
      <c r="AD194" s="20"/>
      <c r="AE194" s="19"/>
      <c r="AF194" s="21"/>
      <c r="AG194" s="22"/>
      <c r="AH194" s="23" t="str">
        <f t="shared" si="20"/>
        <v xml:space="preserve">   -   </v>
      </c>
    </row>
    <row r="195" spans="1:44" ht="22.35" customHeight="1">
      <c r="A195" s="7"/>
      <c r="B195" s="7"/>
      <c r="C195" s="7"/>
      <c r="D195" s="7"/>
      <c r="E195" s="7"/>
      <c r="F195" s="8"/>
      <c r="G195" s="9"/>
      <c r="H195" s="10"/>
      <c r="I195" s="9"/>
      <c r="J195" s="9"/>
      <c r="K195" s="11"/>
      <c r="L195" s="12"/>
      <c r="M195" s="12"/>
      <c r="N195" s="12"/>
      <c r="O195" s="9"/>
      <c r="P195" s="9"/>
      <c r="Q195" s="13" t="e">
        <f>VLOOKUP(O195, '[1]لیست محصولات اردیبهشت ۱۴۰۳'!B:C,2,0)</f>
        <v>#N/A</v>
      </c>
      <c r="R195" s="9"/>
      <c r="S195" s="12" t="e">
        <f>VLOOKUP(O195, '[1]لیست محصولات اردیبهشت ۱۴۰۳'!B:F,5,0)</f>
        <v>#N/A</v>
      </c>
      <c r="T195" s="14" t="e">
        <f>VLOOKUP(O195, '[1]لیست محصولات اردیبهشت ۱۴۰۳'!B:G,6,0)</f>
        <v>#N/A</v>
      </c>
      <c r="U195" s="15"/>
      <c r="V195" s="16">
        <f t="shared" si="21"/>
        <v>0</v>
      </c>
      <c r="W195" s="12">
        <f t="shared" si="14"/>
        <v>0</v>
      </c>
      <c r="X195" s="14" t="e">
        <f t="shared" si="15"/>
        <v>#N/A</v>
      </c>
      <c r="Y195" s="17"/>
      <c r="Z195" s="14" t="e">
        <f t="shared" si="16"/>
        <v>#N/A</v>
      </c>
      <c r="AA195" s="18"/>
      <c r="AB195" s="13"/>
      <c r="AC195" s="19"/>
      <c r="AD195" s="20"/>
      <c r="AE195" s="19"/>
      <c r="AF195" s="21"/>
      <c r="AG195" s="22"/>
      <c r="AH195" s="23" t="str">
        <f t="shared" si="20"/>
        <v xml:space="preserve">   -   </v>
      </c>
    </row>
    <row r="196" spans="1:44" ht="22.35" customHeight="1">
      <c r="A196" s="7"/>
      <c r="B196" s="7"/>
      <c r="C196" s="7"/>
      <c r="D196" s="7"/>
      <c r="E196" s="7"/>
      <c r="F196" s="8"/>
      <c r="G196" s="9"/>
      <c r="H196" s="10"/>
      <c r="I196" s="9"/>
      <c r="J196" s="9"/>
      <c r="K196" s="11"/>
      <c r="L196" s="12"/>
      <c r="M196" s="12"/>
      <c r="N196" s="12"/>
      <c r="O196" s="9"/>
      <c r="P196" s="9"/>
      <c r="Q196" s="13" t="e">
        <f>VLOOKUP(O196, '[1]لیست محصولات اردیبهشت ۱۴۰۳'!B:C,2,0)</f>
        <v>#N/A</v>
      </c>
      <c r="R196" s="9"/>
      <c r="S196" s="12" t="e">
        <f>VLOOKUP(O196, '[1]لیست محصولات اردیبهشت ۱۴۰۳'!B:F,5,0)</f>
        <v>#N/A</v>
      </c>
      <c r="T196" s="14" t="e">
        <f>VLOOKUP(O196, '[1]لیست محصولات اردیبهشت ۱۴۰۳'!B:G,6,0)</f>
        <v>#N/A</v>
      </c>
      <c r="U196" s="15"/>
      <c r="V196" s="16">
        <f t="shared" si="21"/>
        <v>0</v>
      </c>
      <c r="W196" s="12">
        <f t="shared" si="14"/>
        <v>0</v>
      </c>
      <c r="X196" s="14" t="e">
        <f t="shared" si="15"/>
        <v>#N/A</v>
      </c>
      <c r="Y196" s="17"/>
      <c r="Z196" s="14" t="e">
        <f t="shared" si="16"/>
        <v>#N/A</v>
      </c>
      <c r="AA196" s="18"/>
      <c r="AB196" s="13"/>
      <c r="AC196" s="19"/>
      <c r="AD196" s="20"/>
      <c r="AE196" s="19"/>
      <c r="AF196" s="21"/>
      <c r="AG196" s="22"/>
      <c r="AH196" s="23" t="str">
        <f t="shared" ref="AH196:AH200" si="22">AA196&amp;" "&amp;AB196&amp;" "&amp;N196&amp;" - "&amp;L196&amp;" "&amp;M196&amp;" "&amp;AC196</f>
        <v xml:space="preserve">   -   </v>
      </c>
    </row>
    <row r="197" spans="1:44" ht="22.35" customHeight="1">
      <c r="A197" s="7"/>
      <c r="B197" s="7"/>
      <c r="C197" s="7"/>
      <c r="D197" s="7"/>
      <c r="E197" s="7"/>
      <c r="F197" s="8"/>
      <c r="G197" s="9"/>
      <c r="H197" s="10"/>
      <c r="I197" s="9"/>
      <c r="J197" s="9"/>
      <c r="K197" s="11"/>
      <c r="L197" s="12"/>
      <c r="M197" s="12"/>
      <c r="N197" s="12"/>
      <c r="O197" s="9"/>
      <c r="P197" s="9"/>
      <c r="Q197" s="13" t="e">
        <f>VLOOKUP(O197, '[1]لیست محصولات اردیبهشت ۱۴۰۳'!B:C,2,0)</f>
        <v>#N/A</v>
      </c>
      <c r="R197" s="9"/>
      <c r="S197" s="12" t="e">
        <f>VLOOKUP(O197, '[1]لیست محصولات اردیبهشت ۱۴۰۳'!B:F,5,0)</f>
        <v>#N/A</v>
      </c>
      <c r="T197" s="14" t="e">
        <f>VLOOKUP(O197, '[1]لیست محصولات اردیبهشت ۱۴۰۳'!B:G,6,0)</f>
        <v>#N/A</v>
      </c>
      <c r="U197" s="15"/>
      <c r="V197" s="16">
        <f t="shared" si="21"/>
        <v>0</v>
      </c>
      <c r="W197" s="12">
        <f t="shared" si="14"/>
        <v>0</v>
      </c>
      <c r="X197" s="14" t="e">
        <f t="shared" si="15"/>
        <v>#N/A</v>
      </c>
      <c r="Y197" s="17"/>
      <c r="Z197" s="14" t="e">
        <f t="shared" si="16"/>
        <v>#N/A</v>
      </c>
      <c r="AA197" s="18"/>
      <c r="AB197" s="13"/>
      <c r="AC197" s="19"/>
      <c r="AD197" s="20"/>
      <c r="AE197" s="19"/>
      <c r="AF197" s="21"/>
      <c r="AG197" s="22"/>
      <c r="AH197" s="23" t="str">
        <f t="shared" si="22"/>
        <v xml:space="preserve">   -   </v>
      </c>
    </row>
    <row r="198" spans="1:44" ht="22.35" customHeight="1">
      <c r="A198" s="7"/>
      <c r="B198" s="7"/>
      <c r="C198" s="7"/>
      <c r="D198" s="7"/>
      <c r="E198" s="7"/>
      <c r="F198" s="8"/>
      <c r="G198" s="9"/>
      <c r="H198" s="10"/>
      <c r="I198" s="9"/>
      <c r="J198" s="9"/>
      <c r="K198" s="11"/>
      <c r="L198" s="12"/>
      <c r="M198" s="12"/>
      <c r="N198" s="12"/>
      <c r="O198" s="9"/>
      <c r="P198" s="9"/>
      <c r="Q198" s="13" t="e">
        <f>VLOOKUP(O198, '[1]لیست محصولات اردیبهشت ۱۴۰۳'!B:C,2,0)</f>
        <v>#N/A</v>
      </c>
      <c r="R198" s="9"/>
      <c r="S198" s="12" t="e">
        <f>VLOOKUP(O198, '[1]لیست محصولات اردیبهشت ۱۴۰۳'!B:F,5,0)</f>
        <v>#N/A</v>
      </c>
      <c r="T198" s="14" t="e">
        <f>VLOOKUP(O198, '[1]لیست محصولات اردیبهشت ۱۴۰۳'!B:G,6,0)</f>
        <v>#N/A</v>
      </c>
      <c r="U198" s="15"/>
      <c r="V198" s="16">
        <f t="shared" si="21"/>
        <v>0</v>
      </c>
      <c r="W198" s="12">
        <f t="shared" si="14"/>
        <v>0</v>
      </c>
      <c r="X198" s="14" t="e">
        <f t="shared" si="15"/>
        <v>#N/A</v>
      </c>
      <c r="Y198" s="17"/>
      <c r="Z198" s="14" t="e">
        <f t="shared" si="16"/>
        <v>#N/A</v>
      </c>
      <c r="AA198" s="18"/>
      <c r="AB198" s="13"/>
      <c r="AC198" s="19"/>
      <c r="AD198" s="20"/>
      <c r="AE198" s="19"/>
      <c r="AF198" s="21"/>
      <c r="AG198" s="22"/>
      <c r="AH198" s="23" t="str">
        <f t="shared" si="22"/>
        <v xml:space="preserve">   -   </v>
      </c>
    </row>
    <row r="199" spans="1:44" ht="22.35" customHeight="1">
      <c r="A199" s="7"/>
      <c r="B199" s="7"/>
      <c r="C199" s="7"/>
      <c r="D199" s="7"/>
      <c r="E199" s="7"/>
      <c r="F199" s="8"/>
      <c r="G199" s="9"/>
      <c r="H199" s="10"/>
      <c r="I199" s="9"/>
      <c r="J199" s="9"/>
      <c r="K199" s="11"/>
      <c r="L199" s="12"/>
      <c r="M199" s="12"/>
      <c r="N199" s="12"/>
      <c r="O199" s="9"/>
      <c r="P199" s="9"/>
      <c r="Q199" s="13" t="e">
        <f>VLOOKUP(O199, '[1]لیست محصولات اردیبهشت ۱۴۰۳'!B:C,2,0)</f>
        <v>#N/A</v>
      </c>
      <c r="R199" s="9"/>
      <c r="S199" s="12" t="e">
        <f>VLOOKUP(O199, '[1]لیست محصولات اردیبهشت ۱۴۰۳'!B:F,5,0)</f>
        <v>#N/A</v>
      </c>
      <c r="T199" s="14" t="e">
        <f>VLOOKUP(O199, '[1]لیست محصولات اردیبهشت ۱۴۰۳'!B:G,6,0)</f>
        <v>#N/A</v>
      </c>
      <c r="U199" s="15"/>
      <c r="V199" s="16">
        <f t="shared" si="21"/>
        <v>0</v>
      </c>
      <c r="W199" s="12">
        <f t="shared" si="14"/>
        <v>0</v>
      </c>
      <c r="X199" s="14" t="e">
        <f t="shared" si="15"/>
        <v>#N/A</v>
      </c>
      <c r="Y199" s="17"/>
      <c r="Z199" s="14" t="e">
        <f t="shared" si="16"/>
        <v>#N/A</v>
      </c>
      <c r="AA199" s="18"/>
      <c r="AB199" s="13"/>
      <c r="AC199" s="19"/>
      <c r="AD199" s="20"/>
      <c r="AE199" s="19"/>
      <c r="AF199" s="21"/>
      <c r="AG199" s="22"/>
      <c r="AH199" s="23" t="str">
        <f t="shared" si="22"/>
        <v xml:space="preserve">   -   </v>
      </c>
    </row>
    <row r="200" spans="1:44" ht="22.35" customHeight="1">
      <c r="A200" s="7" t="b">
        <v>0</v>
      </c>
      <c r="B200" s="7"/>
      <c r="C200" s="7" t="b">
        <v>0</v>
      </c>
      <c r="D200" s="7"/>
      <c r="E200" s="7" t="b">
        <v>0</v>
      </c>
      <c r="F200" s="8"/>
      <c r="G200" s="9"/>
      <c r="H200" s="10"/>
      <c r="I200" s="9"/>
      <c r="J200" s="9"/>
      <c r="K200" s="11" t="str">
        <f ca="1">IF(C200, TODAY(), "" )</f>
        <v/>
      </c>
      <c r="L200" s="12"/>
      <c r="M200" s="12"/>
      <c r="N200" s="12"/>
      <c r="O200" s="9"/>
      <c r="P200" s="9"/>
      <c r="Q200" s="13" t="e">
        <f>VLOOKUP(O200, '[1]لیست محصولات اردیبهشت ۱۴۰۳'!B:C,2,0)</f>
        <v>#N/A</v>
      </c>
      <c r="R200" s="9"/>
      <c r="S200" s="12" t="e">
        <f>VLOOKUP(O200, '[1]لیست محصولات اردیبهشت ۱۴۰۳'!B:F,5,0)</f>
        <v>#N/A</v>
      </c>
      <c r="T200" s="14" t="e">
        <f>VLOOKUP(O200, '[1]لیست محصولات اردیبهشت ۱۴۰۳'!B:G,6,0)</f>
        <v>#N/A</v>
      </c>
      <c r="U200" s="15"/>
      <c r="V200" s="16">
        <f t="shared" si="21"/>
        <v>0</v>
      </c>
      <c r="W200" s="12">
        <f t="shared" si="14"/>
        <v>0</v>
      </c>
      <c r="X200" s="14" t="e">
        <f t="shared" si="15"/>
        <v>#N/A</v>
      </c>
      <c r="Y200" s="17"/>
      <c r="Z200" s="14" t="e">
        <f t="shared" si="16"/>
        <v>#N/A</v>
      </c>
      <c r="AA200" s="18"/>
      <c r="AB200" s="13"/>
      <c r="AC200" s="19"/>
      <c r="AD200" s="20"/>
      <c r="AE200" s="19"/>
      <c r="AF200" s="21"/>
      <c r="AG200" s="22" t="str">
        <f>IF(V200=P200, "FALSE", "TRUE" )</f>
        <v>FALSE</v>
      </c>
      <c r="AH200" s="23" t="str">
        <f t="shared" si="22"/>
        <v xml:space="preserve">   -   </v>
      </c>
    </row>
    <row r="201" spans="1:44" ht="22.35" customHeight="1">
      <c r="U201" s="30"/>
    </row>
    <row r="202" spans="1:44" ht="22.35" customHeight="1">
      <c r="AA202" s="34" t="s">
        <v>11</v>
      </c>
      <c r="AB202" s="34" t="s">
        <v>13</v>
      </c>
      <c r="AC202" s="35" t="s">
        <v>30</v>
      </c>
      <c r="AE202" s="34"/>
      <c r="AF202" s="34" t="s">
        <v>31</v>
      </c>
      <c r="AG202" s="34" t="s">
        <v>15</v>
      </c>
      <c r="AH202" s="36" t="s">
        <v>32</v>
      </c>
      <c r="AI202" s="37" t="s">
        <v>33</v>
      </c>
      <c r="AJ202" s="38"/>
      <c r="AK202" s="34" t="s">
        <v>34</v>
      </c>
      <c r="AL202" s="34" t="s">
        <v>35</v>
      </c>
      <c r="AM202" s="34" t="s">
        <v>36</v>
      </c>
      <c r="AN202" s="34" t="s">
        <v>37</v>
      </c>
      <c r="AO202" s="34" t="s">
        <v>38</v>
      </c>
      <c r="AP202" s="34" t="s">
        <v>39</v>
      </c>
      <c r="AQ202" s="34" t="s">
        <v>40</v>
      </c>
    </row>
    <row r="203" spans="1:44" ht="22.35" customHeight="1">
      <c r="AA203" s="39"/>
      <c r="AB203" s="39"/>
      <c r="AC203" s="40" t="s">
        <v>41</v>
      </c>
      <c r="AE203" s="39"/>
      <c r="AF203" s="39" t="s">
        <v>42</v>
      </c>
      <c r="AG203" s="39">
        <v>80</v>
      </c>
      <c r="AH203" s="41">
        <f t="shared" ref="AH203:AH266" si="23">SUMIF(O:O,AA203,P:P)</f>
        <v>0</v>
      </c>
      <c r="AI203" s="42">
        <f t="shared" ref="AI203:AI266" si="24">SUMIF(O:O,AA203,V:V)</f>
        <v>0</v>
      </c>
      <c r="AJ203" s="43">
        <f>AH203-AI203</f>
        <v>0</v>
      </c>
      <c r="AK203" s="44">
        <f>AH203*AG203/1000</f>
        <v>0</v>
      </c>
      <c r="AL203" s="45">
        <f>AO203+AQ203-[2]Sheet1!$AH204</f>
        <v>0</v>
      </c>
      <c r="AM203" s="45">
        <f>AL203-AJ203</f>
        <v>0</v>
      </c>
      <c r="AN203" s="44">
        <f>AL203*AG203/1000</f>
        <v>0</v>
      </c>
      <c r="AO203" s="45"/>
      <c r="AP203" s="44" t="str">
        <f>IF(AM203&lt;0,AM203*AG203/1000,"")</f>
        <v/>
      </c>
      <c r="AQ203" s="45"/>
      <c r="AR203" s="22">
        <v>4</v>
      </c>
    </row>
    <row r="204" spans="1:44" ht="22.35" customHeight="1">
      <c r="AA204" s="39"/>
      <c r="AB204" s="39"/>
      <c r="AC204" s="40" t="s">
        <v>41</v>
      </c>
      <c r="AE204" s="39"/>
      <c r="AF204" s="39" t="s">
        <v>42</v>
      </c>
      <c r="AG204" s="39">
        <v>80</v>
      </c>
      <c r="AH204" s="41">
        <f t="shared" si="23"/>
        <v>0</v>
      </c>
      <c r="AI204" s="42">
        <f t="shared" si="24"/>
        <v>0</v>
      </c>
      <c r="AJ204" s="43">
        <f t="shared" ref="AJ204:AJ222" si="25">AH204-AI204</f>
        <v>0</v>
      </c>
      <c r="AK204" s="44">
        <f>AH204*AG204/1000</f>
        <v>0</v>
      </c>
      <c r="AL204" s="45">
        <f>AO204+AQ204-[2]Sheet1!$AH205</f>
        <v>0</v>
      </c>
      <c r="AM204" s="45">
        <f>AL204-AJ204</f>
        <v>0</v>
      </c>
      <c r="AN204" s="44">
        <f t="shared" ref="AN204:AN267" si="26">AL204*AG204/1000</f>
        <v>0</v>
      </c>
      <c r="AO204" s="45"/>
      <c r="AP204" s="44" t="str">
        <f t="shared" ref="AP204:AP267" si="27">IF(AM204&lt;0,AM204*AG204/1000,"")</f>
        <v/>
      </c>
      <c r="AQ204" s="45"/>
      <c r="AR204" s="22">
        <v>4</v>
      </c>
    </row>
    <row r="205" spans="1:44" ht="22.35" customHeight="1">
      <c r="AA205" s="39"/>
      <c r="AB205" s="39"/>
      <c r="AC205" s="40" t="s">
        <v>41</v>
      </c>
      <c r="AE205" s="39"/>
      <c r="AF205" s="39" t="s">
        <v>42</v>
      </c>
      <c r="AG205" s="39">
        <v>40</v>
      </c>
      <c r="AH205" s="41">
        <f t="shared" si="23"/>
        <v>0</v>
      </c>
      <c r="AI205" s="42">
        <f t="shared" si="24"/>
        <v>0</v>
      </c>
      <c r="AJ205" s="43">
        <f t="shared" si="25"/>
        <v>0</v>
      </c>
      <c r="AK205" s="44">
        <f>AH205*AG205/1000</f>
        <v>0</v>
      </c>
      <c r="AL205" s="45"/>
      <c r="AM205" s="45"/>
      <c r="AN205" s="44">
        <f t="shared" si="26"/>
        <v>0</v>
      </c>
      <c r="AO205" s="44"/>
      <c r="AP205" s="44" t="str">
        <f t="shared" si="27"/>
        <v/>
      </c>
      <c r="AQ205" s="45"/>
      <c r="AR205" s="22">
        <v>8</v>
      </c>
    </row>
    <row r="206" spans="1:44" ht="22.35" customHeight="1">
      <c r="AA206" s="39">
        <v>1110.0999999999999</v>
      </c>
      <c r="AB206" s="39" t="s">
        <v>43</v>
      </c>
      <c r="AC206" s="40" t="s">
        <v>41</v>
      </c>
      <c r="AE206" s="39"/>
      <c r="AF206" s="39" t="s">
        <v>42</v>
      </c>
      <c r="AG206" s="39">
        <v>80</v>
      </c>
      <c r="AH206" s="41">
        <f t="shared" si="23"/>
        <v>0</v>
      </c>
      <c r="AI206" s="42">
        <f t="shared" si="24"/>
        <v>0</v>
      </c>
      <c r="AJ206" s="43">
        <f t="shared" si="25"/>
        <v>0</v>
      </c>
      <c r="AK206" s="44">
        <f>AH206*AG206/1000</f>
        <v>0</v>
      </c>
      <c r="AL206" s="45">
        <f>AO206+AQ206-[2]Sheet1!$AH207</f>
        <v>0</v>
      </c>
      <c r="AM206" s="45">
        <f>AL206-AJ206</f>
        <v>0</v>
      </c>
      <c r="AN206" s="44">
        <f t="shared" si="26"/>
        <v>0</v>
      </c>
      <c r="AO206" s="45"/>
      <c r="AP206" s="44" t="str">
        <f t="shared" si="27"/>
        <v/>
      </c>
      <c r="AQ206" s="45"/>
      <c r="AR206" s="22">
        <v>4</v>
      </c>
    </row>
    <row r="207" spans="1:44" ht="22.35" customHeight="1">
      <c r="AA207" s="39">
        <v>1110.2</v>
      </c>
      <c r="AB207" s="39" t="str">
        <f>" Ethiopia Alo Villageدهکده آلو +"</f>
        <v xml:space="preserve"> Ethiopia Alo Villageدهکده آلو +</v>
      </c>
      <c r="AC207" s="40" t="s">
        <v>41</v>
      </c>
      <c r="AE207" s="39"/>
      <c r="AF207" s="39" t="s">
        <v>42</v>
      </c>
      <c r="AG207" s="39">
        <v>80</v>
      </c>
      <c r="AH207" s="41">
        <f t="shared" si="23"/>
        <v>0</v>
      </c>
      <c r="AI207" s="42">
        <f t="shared" si="24"/>
        <v>0</v>
      </c>
      <c r="AJ207" s="43">
        <f t="shared" si="25"/>
        <v>0</v>
      </c>
      <c r="AK207" s="44">
        <f t="shared" ref="AK207:AK240" si="28">AH207*AG207/1000</f>
        <v>0</v>
      </c>
      <c r="AL207" s="45">
        <f>AO207+AQ207-[2]Sheet1!$AH208</f>
        <v>0</v>
      </c>
      <c r="AM207" s="45">
        <f t="shared" ref="AM207:AM216" si="29">AL207-AJ207</f>
        <v>0</v>
      </c>
      <c r="AN207" s="44">
        <f t="shared" si="26"/>
        <v>0</v>
      </c>
      <c r="AO207" s="45"/>
      <c r="AP207" s="44" t="str">
        <f t="shared" si="27"/>
        <v/>
      </c>
      <c r="AQ207" s="45"/>
      <c r="AR207" s="22">
        <v>4</v>
      </c>
    </row>
    <row r="208" spans="1:44" ht="22.35" customHeight="1">
      <c r="AA208" s="39">
        <v>1110.3</v>
      </c>
      <c r="AB208" s="39" t="s">
        <v>43</v>
      </c>
      <c r="AC208" s="40" t="s">
        <v>41</v>
      </c>
      <c r="AE208" s="39"/>
      <c r="AF208" s="39" t="s">
        <v>42</v>
      </c>
      <c r="AG208" s="39">
        <v>40</v>
      </c>
      <c r="AH208" s="41">
        <f t="shared" si="23"/>
        <v>0</v>
      </c>
      <c r="AI208" s="42">
        <f t="shared" si="24"/>
        <v>0</v>
      </c>
      <c r="AJ208" s="43">
        <f t="shared" si="25"/>
        <v>0</v>
      </c>
      <c r="AK208" s="44">
        <f t="shared" si="28"/>
        <v>0</v>
      </c>
      <c r="AL208" s="45">
        <f>AO208+AQ208-[2]Sheet1!$AH209</f>
        <v>0</v>
      </c>
      <c r="AM208" s="45">
        <f t="shared" si="29"/>
        <v>0</v>
      </c>
      <c r="AN208" s="44">
        <f t="shared" si="26"/>
        <v>0</v>
      </c>
      <c r="AO208" s="45"/>
      <c r="AP208" s="44" t="str">
        <f t="shared" si="27"/>
        <v/>
      </c>
      <c r="AQ208" s="45"/>
      <c r="AR208" s="22">
        <v>8</v>
      </c>
    </row>
    <row r="209" spans="27:44" ht="22.35" customHeight="1">
      <c r="AA209" s="39"/>
      <c r="AB209" s="39"/>
      <c r="AC209" s="40" t="s">
        <v>41</v>
      </c>
      <c r="AE209" s="39"/>
      <c r="AF209" s="39" t="s">
        <v>42</v>
      </c>
      <c r="AG209" s="39">
        <v>80</v>
      </c>
      <c r="AH209" s="41">
        <f t="shared" si="23"/>
        <v>0</v>
      </c>
      <c r="AI209" s="42">
        <f t="shared" si="24"/>
        <v>0</v>
      </c>
      <c r="AJ209" s="43">
        <f t="shared" si="25"/>
        <v>0</v>
      </c>
      <c r="AK209" s="44">
        <f t="shared" si="28"/>
        <v>0</v>
      </c>
      <c r="AL209" s="45">
        <f>AO209+AQ209-[2]Sheet1!$AH210</f>
        <v>0</v>
      </c>
      <c r="AM209" s="45">
        <f t="shared" si="29"/>
        <v>0</v>
      </c>
      <c r="AN209" s="44">
        <f t="shared" si="26"/>
        <v>0</v>
      </c>
      <c r="AO209" s="45"/>
      <c r="AP209" s="44" t="str">
        <f t="shared" si="27"/>
        <v/>
      </c>
      <c r="AQ209" s="45"/>
      <c r="AR209" s="22">
        <v>4</v>
      </c>
    </row>
    <row r="210" spans="27:44" ht="22.35" customHeight="1">
      <c r="AA210" s="39"/>
      <c r="AB210" s="39"/>
      <c r="AC210" s="40" t="s">
        <v>41</v>
      </c>
      <c r="AE210" s="39"/>
      <c r="AF210" s="39" t="s">
        <v>42</v>
      </c>
      <c r="AG210" s="39">
        <v>80</v>
      </c>
      <c r="AH210" s="41">
        <f t="shared" si="23"/>
        <v>0</v>
      </c>
      <c r="AI210" s="42">
        <f t="shared" si="24"/>
        <v>0</v>
      </c>
      <c r="AJ210" s="43">
        <f t="shared" si="25"/>
        <v>0</v>
      </c>
      <c r="AK210" s="44">
        <f t="shared" si="28"/>
        <v>0</v>
      </c>
      <c r="AL210" s="45">
        <f>AO210+AQ210-[2]Sheet1!$AH211</f>
        <v>0</v>
      </c>
      <c r="AM210" s="45">
        <f t="shared" si="29"/>
        <v>0</v>
      </c>
      <c r="AN210" s="44">
        <f t="shared" si="26"/>
        <v>0</v>
      </c>
      <c r="AO210" s="45"/>
      <c r="AP210" s="44" t="str">
        <f t="shared" si="27"/>
        <v/>
      </c>
      <c r="AQ210" s="45"/>
      <c r="AR210" s="22">
        <v>4</v>
      </c>
    </row>
    <row r="211" spans="27:44" ht="22.35" customHeight="1">
      <c r="AA211" s="39"/>
      <c r="AB211" s="39"/>
      <c r="AC211" s="40" t="s">
        <v>41</v>
      </c>
      <c r="AE211" s="39"/>
      <c r="AF211" s="39" t="s">
        <v>42</v>
      </c>
      <c r="AG211" s="39">
        <v>40</v>
      </c>
      <c r="AH211" s="41">
        <f t="shared" si="23"/>
        <v>0</v>
      </c>
      <c r="AI211" s="42">
        <f t="shared" si="24"/>
        <v>0</v>
      </c>
      <c r="AJ211" s="43">
        <f t="shared" si="25"/>
        <v>0</v>
      </c>
      <c r="AK211" s="44">
        <f t="shared" si="28"/>
        <v>0</v>
      </c>
      <c r="AL211" s="45">
        <f>AO211+AQ211-[2]Sheet1!$AH212</f>
        <v>0</v>
      </c>
      <c r="AM211" s="45">
        <f t="shared" si="29"/>
        <v>0</v>
      </c>
      <c r="AN211" s="44">
        <f t="shared" si="26"/>
        <v>0</v>
      </c>
      <c r="AO211" s="45"/>
      <c r="AP211" s="44" t="str">
        <f t="shared" si="27"/>
        <v/>
      </c>
      <c r="AQ211" s="45"/>
      <c r="AR211" s="22">
        <v>8</v>
      </c>
    </row>
    <row r="212" spans="27:44" ht="22.35" customHeight="1">
      <c r="AA212" s="39">
        <v>1112.0999999999999</v>
      </c>
      <c r="AB212" s="39" t="s">
        <v>44</v>
      </c>
      <c r="AC212" s="40" t="s">
        <v>41</v>
      </c>
      <c r="AE212" s="39"/>
      <c r="AF212" s="39" t="s">
        <v>42</v>
      </c>
      <c r="AG212" s="39">
        <v>80</v>
      </c>
      <c r="AH212" s="41">
        <f t="shared" si="23"/>
        <v>0</v>
      </c>
      <c r="AI212" s="42">
        <f t="shared" si="24"/>
        <v>0</v>
      </c>
      <c r="AJ212" s="43">
        <f t="shared" si="25"/>
        <v>0</v>
      </c>
      <c r="AK212" s="44">
        <f t="shared" si="28"/>
        <v>0</v>
      </c>
      <c r="AL212" s="45">
        <f>AO212+AQ212-[2]Sheet1!$AH213</f>
        <v>0</v>
      </c>
      <c r="AM212" s="45">
        <f t="shared" si="29"/>
        <v>0</v>
      </c>
      <c r="AN212" s="44">
        <f t="shared" si="26"/>
        <v>0</v>
      </c>
      <c r="AO212" s="45"/>
      <c r="AP212" s="44" t="str">
        <f t="shared" si="27"/>
        <v/>
      </c>
      <c r="AQ212" s="45"/>
      <c r="AR212" s="22">
        <v>4</v>
      </c>
    </row>
    <row r="213" spans="27:44" ht="22.35" customHeight="1">
      <c r="AA213" s="39">
        <v>1112.2</v>
      </c>
      <c r="AB213" s="39" t="s">
        <v>45</v>
      </c>
      <c r="AC213" s="40" t="s">
        <v>41</v>
      </c>
      <c r="AE213" s="39"/>
      <c r="AF213" s="39" t="s">
        <v>42</v>
      </c>
      <c r="AG213" s="39">
        <v>80</v>
      </c>
      <c r="AH213" s="41">
        <f t="shared" si="23"/>
        <v>0</v>
      </c>
      <c r="AI213" s="42">
        <f t="shared" si="24"/>
        <v>0</v>
      </c>
      <c r="AJ213" s="43">
        <f t="shared" si="25"/>
        <v>0</v>
      </c>
      <c r="AK213" s="44">
        <f t="shared" si="28"/>
        <v>0</v>
      </c>
      <c r="AL213" s="45">
        <f>AO213+AQ213-[2]Sheet1!$AH214</f>
        <v>0</v>
      </c>
      <c r="AM213" s="45">
        <f t="shared" si="29"/>
        <v>0</v>
      </c>
      <c r="AN213" s="44">
        <f t="shared" si="26"/>
        <v>0</v>
      </c>
      <c r="AO213" s="45"/>
      <c r="AP213" s="44" t="str">
        <f t="shared" si="27"/>
        <v/>
      </c>
      <c r="AQ213" s="45"/>
      <c r="AR213" s="22">
        <v>4</v>
      </c>
    </row>
    <row r="214" spans="27:44" ht="22.35" customHeight="1">
      <c r="AA214" s="39">
        <v>1112.3</v>
      </c>
      <c r="AB214" s="39" t="s">
        <v>44</v>
      </c>
      <c r="AC214" s="40" t="s">
        <v>41</v>
      </c>
      <c r="AE214" s="39"/>
      <c r="AF214" s="39" t="s">
        <v>42</v>
      </c>
      <c r="AG214" s="39">
        <v>40</v>
      </c>
      <c r="AH214" s="41">
        <f t="shared" si="23"/>
        <v>0</v>
      </c>
      <c r="AI214" s="42">
        <f t="shared" si="24"/>
        <v>0</v>
      </c>
      <c r="AJ214" s="43">
        <f t="shared" si="25"/>
        <v>0</v>
      </c>
      <c r="AK214" s="44">
        <f t="shared" si="28"/>
        <v>0</v>
      </c>
      <c r="AL214" s="45">
        <f>AO214+AQ214-[2]Sheet1!$AH215</f>
        <v>0</v>
      </c>
      <c r="AM214" s="45">
        <f t="shared" si="29"/>
        <v>0</v>
      </c>
      <c r="AN214" s="44">
        <f t="shared" si="26"/>
        <v>0</v>
      </c>
      <c r="AO214" s="45"/>
      <c r="AP214" s="44" t="str">
        <f t="shared" si="27"/>
        <v/>
      </c>
      <c r="AQ214" s="45"/>
      <c r="AR214" s="22">
        <v>8</v>
      </c>
    </row>
    <row r="215" spans="27:44" ht="22.35" customHeight="1">
      <c r="AA215" s="39">
        <v>1113.0999999999999</v>
      </c>
      <c r="AB215" s="39" t="s">
        <v>46</v>
      </c>
      <c r="AC215" s="40" t="s">
        <v>41</v>
      </c>
      <c r="AE215" s="39"/>
      <c r="AF215" s="39" t="s">
        <v>42</v>
      </c>
      <c r="AG215" s="39">
        <v>80</v>
      </c>
      <c r="AH215" s="41">
        <f t="shared" si="23"/>
        <v>0</v>
      </c>
      <c r="AI215" s="42">
        <f t="shared" si="24"/>
        <v>0</v>
      </c>
      <c r="AJ215" s="43">
        <f t="shared" si="25"/>
        <v>0</v>
      </c>
      <c r="AK215" s="44">
        <f t="shared" si="28"/>
        <v>0</v>
      </c>
      <c r="AL215" s="45">
        <f>AO215+AQ215-[2]Sheet1!$AH216</f>
        <v>0</v>
      </c>
      <c r="AM215" s="45">
        <f t="shared" si="29"/>
        <v>0</v>
      </c>
      <c r="AN215" s="44">
        <f t="shared" si="26"/>
        <v>0</v>
      </c>
      <c r="AO215" s="45"/>
      <c r="AP215" s="44" t="str">
        <f t="shared" si="27"/>
        <v/>
      </c>
      <c r="AQ215" s="45"/>
      <c r="AR215" s="22">
        <v>4</v>
      </c>
    </row>
    <row r="216" spans="27:44" ht="22.35" customHeight="1">
      <c r="AA216" s="39">
        <v>1113.2</v>
      </c>
      <c r="AB216" s="39" t="s">
        <v>47</v>
      </c>
      <c r="AC216" s="40" t="s">
        <v>41</v>
      </c>
      <c r="AE216" s="39"/>
      <c r="AF216" s="39" t="s">
        <v>42</v>
      </c>
      <c r="AG216" s="39">
        <v>80</v>
      </c>
      <c r="AH216" s="41">
        <f t="shared" si="23"/>
        <v>0</v>
      </c>
      <c r="AI216" s="42">
        <f t="shared" si="24"/>
        <v>0</v>
      </c>
      <c r="AJ216" s="43">
        <f t="shared" si="25"/>
        <v>0</v>
      </c>
      <c r="AK216" s="44">
        <f t="shared" si="28"/>
        <v>0</v>
      </c>
      <c r="AL216" s="45">
        <f>AO216+AQ216-[2]Sheet1!$AH217</f>
        <v>0</v>
      </c>
      <c r="AM216" s="45">
        <f t="shared" si="29"/>
        <v>0</v>
      </c>
      <c r="AN216" s="44">
        <f t="shared" si="26"/>
        <v>0</v>
      </c>
      <c r="AO216" s="44"/>
      <c r="AP216" s="44" t="str">
        <f t="shared" si="27"/>
        <v/>
      </c>
      <c r="AQ216" s="45"/>
      <c r="AR216" s="22">
        <v>4</v>
      </c>
    </row>
    <row r="217" spans="27:44" ht="22.35" customHeight="1">
      <c r="AA217" s="39">
        <v>1113.3</v>
      </c>
      <c r="AB217" s="39" t="s">
        <v>46</v>
      </c>
      <c r="AC217" s="40" t="s">
        <v>41</v>
      </c>
      <c r="AE217" s="39"/>
      <c r="AF217" s="39" t="s">
        <v>42</v>
      </c>
      <c r="AG217" s="39">
        <v>40</v>
      </c>
      <c r="AH217" s="41">
        <f t="shared" si="23"/>
        <v>0</v>
      </c>
      <c r="AI217" s="42">
        <f t="shared" si="24"/>
        <v>0</v>
      </c>
      <c r="AJ217" s="43">
        <f t="shared" si="25"/>
        <v>0</v>
      </c>
      <c r="AK217" s="44">
        <f t="shared" si="28"/>
        <v>0</v>
      </c>
      <c r="AL217" s="45">
        <f>AO217+AQ217-[2]Sheet1!$AH218</f>
        <v>0</v>
      </c>
      <c r="AM217" s="45">
        <f>AL217-AJ217</f>
        <v>0</v>
      </c>
      <c r="AN217" s="44">
        <f t="shared" si="26"/>
        <v>0</v>
      </c>
      <c r="AO217" s="45"/>
      <c r="AP217" s="44" t="str">
        <f t="shared" si="27"/>
        <v/>
      </c>
      <c r="AQ217" s="45"/>
      <c r="AR217" s="22">
        <v>8</v>
      </c>
    </row>
    <row r="218" spans="27:44" ht="22.35" customHeight="1">
      <c r="AA218" s="39">
        <v>1114.0999999999999</v>
      </c>
      <c r="AB218" s="39" t="s">
        <v>48</v>
      </c>
      <c r="AC218" s="40" t="s">
        <v>41</v>
      </c>
      <c r="AE218" s="39"/>
      <c r="AF218" s="39" t="s">
        <v>42</v>
      </c>
      <c r="AG218" s="39">
        <v>80</v>
      </c>
      <c r="AH218" s="41">
        <f t="shared" si="23"/>
        <v>0</v>
      </c>
      <c r="AI218" s="42">
        <f t="shared" si="24"/>
        <v>0</v>
      </c>
      <c r="AJ218" s="43">
        <f t="shared" si="25"/>
        <v>0</v>
      </c>
      <c r="AK218" s="44">
        <f t="shared" si="28"/>
        <v>0</v>
      </c>
      <c r="AL218" s="45">
        <f>AO218+AQ218-[2]Sheet1!$AH219</f>
        <v>0</v>
      </c>
      <c r="AM218" s="45">
        <f t="shared" ref="AM218:AM267" si="30">AL218-AJ218</f>
        <v>0</v>
      </c>
      <c r="AN218" s="44">
        <f t="shared" si="26"/>
        <v>0</v>
      </c>
      <c r="AO218" s="45"/>
      <c r="AP218" s="44" t="str">
        <f t="shared" si="27"/>
        <v/>
      </c>
      <c r="AQ218" s="45"/>
      <c r="AR218" s="22">
        <v>4</v>
      </c>
    </row>
    <row r="219" spans="27:44" ht="22.35" customHeight="1">
      <c r="AA219" s="39">
        <v>1114.2</v>
      </c>
      <c r="AB219" s="39" t="s">
        <v>49</v>
      </c>
      <c r="AC219" s="40" t="s">
        <v>41</v>
      </c>
      <c r="AE219" s="39"/>
      <c r="AF219" s="39" t="s">
        <v>42</v>
      </c>
      <c r="AG219" s="39">
        <v>80</v>
      </c>
      <c r="AH219" s="41">
        <f t="shared" si="23"/>
        <v>0</v>
      </c>
      <c r="AI219" s="42">
        <f t="shared" si="24"/>
        <v>0</v>
      </c>
      <c r="AJ219" s="43">
        <f t="shared" si="25"/>
        <v>0</v>
      </c>
      <c r="AK219" s="44">
        <f t="shared" si="28"/>
        <v>0</v>
      </c>
      <c r="AL219" s="45">
        <f>AO219+AQ219-[2]Sheet1!$AH220</f>
        <v>0</v>
      </c>
      <c r="AM219" s="45">
        <f t="shared" si="30"/>
        <v>0</v>
      </c>
      <c r="AN219" s="44">
        <f t="shared" si="26"/>
        <v>0</v>
      </c>
      <c r="AO219" s="45"/>
      <c r="AP219" s="44" t="str">
        <f t="shared" si="27"/>
        <v/>
      </c>
      <c r="AQ219" s="45"/>
      <c r="AR219" s="22">
        <v>4</v>
      </c>
    </row>
    <row r="220" spans="27:44" ht="22.35" customHeight="1">
      <c r="AA220" s="39">
        <v>1114.3</v>
      </c>
      <c r="AB220" s="39" t="s">
        <v>48</v>
      </c>
      <c r="AC220" s="40" t="s">
        <v>41</v>
      </c>
      <c r="AE220" s="39"/>
      <c r="AF220" s="39" t="s">
        <v>42</v>
      </c>
      <c r="AG220" s="39">
        <v>40</v>
      </c>
      <c r="AH220" s="41">
        <f t="shared" si="23"/>
        <v>0</v>
      </c>
      <c r="AI220" s="42">
        <f t="shared" si="24"/>
        <v>0</v>
      </c>
      <c r="AJ220" s="43">
        <f t="shared" si="25"/>
        <v>0</v>
      </c>
      <c r="AK220" s="44">
        <f t="shared" si="28"/>
        <v>0</v>
      </c>
      <c r="AL220" s="45">
        <f>AO220+AQ220-[2]Sheet1!$AH221</f>
        <v>0</v>
      </c>
      <c r="AM220" s="45">
        <f t="shared" si="30"/>
        <v>0</v>
      </c>
      <c r="AN220" s="44">
        <f t="shared" si="26"/>
        <v>0</v>
      </c>
      <c r="AO220" s="45"/>
      <c r="AP220" s="44" t="str">
        <f t="shared" si="27"/>
        <v/>
      </c>
      <c r="AQ220" s="45"/>
      <c r="AR220" s="22">
        <v>8</v>
      </c>
    </row>
    <row r="221" spans="27:44" ht="22.35" customHeight="1">
      <c r="AA221" s="39"/>
      <c r="AB221" s="39"/>
      <c r="AC221" s="40" t="s">
        <v>41</v>
      </c>
      <c r="AE221" s="39"/>
      <c r="AF221" s="39" t="s">
        <v>42</v>
      </c>
      <c r="AG221" s="39"/>
      <c r="AH221" s="41">
        <f t="shared" si="23"/>
        <v>0</v>
      </c>
      <c r="AI221" s="42">
        <f t="shared" si="24"/>
        <v>0</v>
      </c>
      <c r="AJ221" s="43">
        <f t="shared" si="25"/>
        <v>0</v>
      </c>
      <c r="AK221" s="44">
        <f t="shared" si="28"/>
        <v>0</v>
      </c>
      <c r="AL221" s="45">
        <f>AO221+AQ221-[2]Sheet1!$AH222</f>
        <v>0</v>
      </c>
      <c r="AM221" s="45">
        <f t="shared" si="30"/>
        <v>0</v>
      </c>
      <c r="AN221" s="44">
        <f t="shared" si="26"/>
        <v>0</v>
      </c>
      <c r="AO221" s="45"/>
      <c r="AP221" s="44" t="str">
        <f t="shared" si="27"/>
        <v/>
      </c>
      <c r="AQ221" s="45"/>
      <c r="AR221" s="22"/>
    </row>
    <row r="222" spans="27:44" ht="22.35" customHeight="1">
      <c r="AA222" s="39"/>
      <c r="AB222" s="39"/>
      <c r="AC222" s="40" t="s">
        <v>41</v>
      </c>
      <c r="AE222" s="39"/>
      <c r="AF222" s="39" t="s">
        <v>42</v>
      </c>
      <c r="AG222" s="39"/>
      <c r="AH222" s="41">
        <f t="shared" si="23"/>
        <v>0</v>
      </c>
      <c r="AI222" s="42">
        <f t="shared" si="24"/>
        <v>0</v>
      </c>
      <c r="AJ222" s="43">
        <f t="shared" si="25"/>
        <v>0</v>
      </c>
      <c r="AK222" s="44">
        <f t="shared" si="28"/>
        <v>0</v>
      </c>
      <c r="AL222" s="45">
        <f>AO222+AQ222-[2]Sheet1!$AH223</f>
        <v>0</v>
      </c>
      <c r="AM222" s="45">
        <f t="shared" si="30"/>
        <v>0</v>
      </c>
      <c r="AN222" s="44">
        <f t="shared" si="26"/>
        <v>0</v>
      </c>
      <c r="AO222" s="45"/>
      <c r="AP222" s="44" t="str">
        <f t="shared" si="27"/>
        <v/>
      </c>
      <c r="AQ222" s="45"/>
      <c r="AR222" s="22"/>
    </row>
    <row r="223" spans="27:44" ht="22.35" customHeight="1">
      <c r="AA223" s="46">
        <v>3309.1</v>
      </c>
      <c r="AB223" s="46" t="s">
        <v>50</v>
      </c>
      <c r="AC223" s="47" t="s">
        <v>41</v>
      </c>
      <c r="AE223" s="46"/>
      <c r="AF223" s="46" t="s">
        <v>51</v>
      </c>
      <c r="AG223" s="46">
        <v>150</v>
      </c>
      <c r="AH223" s="48">
        <f t="shared" si="23"/>
        <v>0</v>
      </c>
      <c r="AI223" s="49">
        <f t="shared" si="24"/>
        <v>0</v>
      </c>
      <c r="AJ223" s="50">
        <f>AH223-AI223</f>
        <v>0</v>
      </c>
      <c r="AK223" s="51">
        <f t="shared" si="28"/>
        <v>0</v>
      </c>
      <c r="AL223" s="52">
        <f>AO223+AQ223-[2]Sheet1!$AH224</f>
        <v>0</v>
      </c>
      <c r="AM223" s="52">
        <f t="shared" si="30"/>
        <v>0</v>
      </c>
      <c r="AN223" s="51">
        <f t="shared" si="26"/>
        <v>0</v>
      </c>
      <c r="AO223" s="52"/>
      <c r="AP223" s="51" t="str">
        <f t="shared" si="27"/>
        <v/>
      </c>
      <c r="AQ223" s="52"/>
      <c r="AR223" s="22">
        <v>30</v>
      </c>
    </row>
    <row r="224" spans="27:44" ht="22.35" customHeight="1">
      <c r="AA224" s="46">
        <v>3309.2</v>
      </c>
      <c r="AB224" s="46" t="s">
        <v>50</v>
      </c>
      <c r="AC224" s="47" t="s">
        <v>41</v>
      </c>
      <c r="AE224" s="46"/>
      <c r="AF224" s="46" t="s">
        <v>51</v>
      </c>
      <c r="AG224" s="46">
        <v>750</v>
      </c>
      <c r="AH224" s="48">
        <f t="shared" si="23"/>
        <v>0</v>
      </c>
      <c r="AI224" s="49">
        <f t="shared" si="24"/>
        <v>0</v>
      </c>
      <c r="AJ224" s="50">
        <f t="shared" ref="AJ224:AJ239" si="31">AH224-AI224</f>
        <v>0</v>
      </c>
      <c r="AK224" s="51">
        <f t="shared" si="28"/>
        <v>0</v>
      </c>
      <c r="AL224" s="52">
        <f>AO224+AQ224-[2]Sheet1!$AH225</f>
        <v>0</v>
      </c>
      <c r="AM224" s="52">
        <f t="shared" si="30"/>
        <v>0</v>
      </c>
      <c r="AN224" s="51">
        <f t="shared" si="26"/>
        <v>0</v>
      </c>
      <c r="AO224" s="52"/>
      <c r="AP224" s="51" t="str">
        <f t="shared" si="27"/>
        <v/>
      </c>
      <c r="AQ224" s="52"/>
      <c r="AR224" s="22">
        <v>8</v>
      </c>
    </row>
    <row r="225" spans="27:44" ht="22.35" customHeight="1">
      <c r="AA225" s="46">
        <v>3309.3</v>
      </c>
      <c r="AB225" s="46" t="s">
        <v>50</v>
      </c>
      <c r="AC225" s="47" t="s">
        <v>41</v>
      </c>
      <c r="AE225" s="46"/>
      <c r="AF225" s="46" t="s">
        <v>51</v>
      </c>
      <c r="AG225" s="46">
        <v>40</v>
      </c>
      <c r="AH225" s="48">
        <f t="shared" si="23"/>
        <v>0</v>
      </c>
      <c r="AI225" s="49">
        <f t="shared" si="24"/>
        <v>0</v>
      </c>
      <c r="AJ225" s="50">
        <f t="shared" si="31"/>
        <v>0</v>
      </c>
      <c r="AK225" s="51">
        <f t="shared" si="28"/>
        <v>0</v>
      </c>
      <c r="AL225" s="52">
        <f>AO225+AQ225-[2]Sheet1!$AH226</f>
        <v>0</v>
      </c>
      <c r="AM225" s="52">
        <f t="shared" si="30"/>
        <v>0</v>
      </c>
      <c r="AN225" s="51">
        <f t="shared" si="26"/>
        <v>0</v>
      </c>
      <c r="AO225" s="52"/>
      <c r="AP225" s="51" t="str">
        <f t="shared" si="27"/>
        <v/>
      </c>
      <c r="AQ225" s="52"/>
      <c r="AR225" s="22">
        <v>8</v>
      </c>
    </row>
    <row r="226" spans="27:44" ht="22.35" customHeight="1">
      <c r="AA226" s="46">
        <v>3313.1</v>
      </c>
      <c r="AB226" s="46" t="s">
        <v>52</v>
      </c>
      <c r="AC226" s="47" t="s">
        <v>41</v>
      </c>
      <c r="AE226" s="46"/>
      <c r="AF226" s="46" t="s">
        <v>51</v>
      </c>
      <c r="AG226" s="46">
        <v>150</v>
      </c>
      <c r="AH226" s="48">
        <f t="shared" si="23"/>
        <v>0</v>
      </c>
      <c r="AI226" s="49">
        <f t="shared" si="24"/>
        <v>0</v>
      </c>
      <c r="AJ226" s="50">
        <f t="shared" si="31"/>
        <v>0</v>
      </c>
      <c r="AK226" s="51">
        <f t="shared" si="28"/>
        <v>0</v>
      </c>
      <c r="AL226" s="52">
        <f>AO226+AQ226-[2]Sheet1!$AH227</f>
        <v>0</v>
      </c>
      <c r="AM226" s="52">
        <f t="shared" si="30"/>
        <v>0</v>
      </c>
      <c r="AN226" s="51">
        <f t="shared" si="26"/>
        <v>0</v>
      </c>
      <c r="AO226" s="52"/>
      <c r="AP226" s="51" t="str">
        <f t="shared" si="27"/>
        <v/>
      </c>
      <c r="AQ226" s="52"/>
      <c r="AR226" s="22">
        <v>30</v>
      </c>
    </row>
    <row r="227" spans="27:44" ht="22.35" customHeight="1">
      <c r="AA227" s="46">
        <v>3313.2</v>
      </c>
      <c r="AB227" s="46" t="s">
        <v>52</v>
      </c>
      <c r="AC227" s="47" t="s">
        <v>41</v>
      </c>
      <c r="AE227" s="46"/>
      <c r="AF227" s="46" t="s">
        <v>51</v>
      </c>
      <c r="AG227" s="46">
        <v>750</v>
      </c>
      <c r="AH227" s="48">
        <f t="shared" si="23"/>
        <v>0</v>
      </c>
      <c r="AI227" s="49">
        <f t="shared" si="24"/>
        <v>0</v>
      </c>
      <c r="AJ227" s="50">
        <f t="shared" si="31"/>
        <v>0</v>
      </c>
      <c r="AK227" s="51">
        <f t="shared" si="28"/>
        <v>0</v>
      </c>
      <c r="AL227" s="52">
        <f>AO227+AQ227-[2]Sheet1!$AH228</f>
        <v>0</v>
      </c>
      <c r="AM227" s="52">
        <f t="shared" si="30"/>
        <v>0</v>
      </c>
      <c r="AN227" s="51">
        <f t="shared" si="26"/>
        <v>0</v>
      </c>
      <c r="AO227" s="52"/>
      <c r="AP227" s="51" t="str">
        <f t="shared" si="27"/>
        <v/>
      </c>
      <c r="AQ227" s="52"/>
      <c r="AR227" s="22">
        <v>8</v>
      </c>
    </row>
    <row r="228" spans="27:44" ht="22.35" customHeight="1">
      <c r="AA228" s="46">
        <v>3313.3</v>
      </c>
      <c r="AB228" s="46" t="s">
        <v>52</v>
      </c>
      <c r="AC228" s="47" t="s">
        <v>41</v>
      </c>
      <c r="AE228" s="46"/>
      <c r="AF228" s="46" t="s">
        <v>51</v>
      </c>
      <c r="AG228" s="46">
        <v>40</v>
      </c>
      <c r="AH228" s="48">
        <f t="shared" si="23"/>
        <v>0</v>
      </c>
      <c r="AI228" s="49">
        <f t="shared" si="24"/>
        <v>0</v>
      </c>
      <c r="AJ228" s="50">
        <f t="shared" si="31"/>
        <v>0</v>
      </c>
      <c r="AK228" s="51">
        <f t="shared" si="28"/>
        <v>0</v>
      </c>
      <c r="AL228" s="52">
        <f>AO228+AQ228-[2]Sheet1!$AH229</f>
        <v>0</v>
      </c>
      <c r="AM228" s="52">
        <f t="shared" si="30"/>
        <v>0</v>
      </c>
      <c r="AN228" s="51">
        <f t="shared" si="26"/>
        <v>0</v>
      </c>
      <c r="AO228" s="52"/>
      <c r="AP228" s="51" t="str">
        <f t="shared" si="27"/>
        <v/>
      </c>
      <c r="AQ228" s="52"/>
      <c r="AR228" s="22">
        <v>8</v>
      </c>
    </row>
    <row r="229" spans="27:44" ht="22.35" customHeight="1">
      <c r="AA229" s="46">
        <v>3314.1</v>
      </c>
      <c r="AB229" s="46" t="s">
        <v>53</v>
      </c>
      <c r="AC229" s="47" t="s">
        <v>41</v>
      </c>
      <c r="AE229" s="46"/>
      <c r="AF229" s="46" t="s">
        <v>51</v>
      </c>
      <c r="AG229" s="46">
        <v>150</v>
      </c>
      <c r="AH229" s="48">
        <f t="shared" si="23"/>
        <v>0</v>
      </c>
      <c r="AI229" s="49">
        <f t="shared" si="24"/>
        <v>0</v>
      </c>
      <c r="AJ229" s="50">
        <f t="shared" si="31"/>
        <v>0</v>
      </c>
      <c r="AK229" s="51">
        <f t="shared" si="28"/>
        <v>0</v>
      </c>
      <c r="AL229" s="52">
        <f>AO229+AQ229-[2]Sheet1!$AH230</f>
        <v>0</v>
      </c>
      <c r="AM229" s="52">
        <f t="shared" si="30"/>
        <v>0</v>
      </c>
      <c r="AN229" s="51">
        <f t="shared" si="26"/>
        <v>0</v>
      </c>
      <c r="AO229" s="52"/>
      <c r="AP229" s="51" t="str">
        <f t="shared" si="27"/>
        <v/>
      </c>
      <c r="AQ229" s="52"/>
      <c r="AR229" s="22">
        <v>30</v>
      </c>
    </row>
    <row r="230" spans="27:44" ht="22.35" customHeight="1">
      <c r="AA230" s="46">
        <v>3314.2</v>
      </c>
      <c r="AB230" s="46" t="s">
        <v>53</v>
      </c>
      <c r="AC230" s="47" t="s">
        <v>41</v>
      </c>
      <c r="AE230" s="46"/>
      <c r="AF230" s="46" t="s">
        <v>51</v>
      </c>
      <c r="AG230" s="46">
        <v>750</v>
      </c>
      <c r="AH230" s="48">
        <f t="shared" si="23"/>
        <v>0</v>
      </c>
      <c r="AI230" s="49">
        <f t="shared" si="24"/>
        <v>0</v>
      </c>
      <c r="AJ230" s="50">
        <f t="shared" si="31"/>
        <v>0</v>
      </c>
      <c r="AK230" s="51">
        <f t="shared" si="28"/>
        <v>0</v>
      </c>
      <c r="AL230" s="52">
        <f>AO230+AQ230-[2]Sheet1!$AH231</f>
        <v>0</v>
      </c>
      <c r="AM230" s="52">
        <f t="shared" si="30"/>
        <v>0</v>
      </c>
      <c r="AN230" s="51">
        <f t="shared" si="26"/>
        <v>0</v>
      </c>
      <c r="AO230" s="52"/>
      <c r="AP230" s="51" t="str">
        <f t="shared" si="27"/>
        <v/>
      </c>
      <c r="AQ230" s="52"/>
      <c r="AR230" s="22">
        <v>8</v>
      </c>
    </row>
    <row r="231" spans="27:44" ht="22.35" customHeight="1">
      <c r="AA231" s="46">
        <v>3314.3</v>
      </c>
      <c r="AB231" s="46" t="s">
        <v>53</v>
      </c>
      <c r="AC231" s="47" t="s">
        <v>41</v>
      </c>
      <c r="AE231" s="46"/>
      <c r="AF231" s="46" t="s">
        <v>51</v>
      </c>
      <c r="AG231" s="46">
        <v>40</v>
      </c>
      <c r="AH231" s="48">
        <f t="shared" si="23"/>
        <v>0</v>
      </c>
      <c r="AI231" s="49">
        <f t="shared" si="24"/>
        <v>0</v>
      </c>
      <c r="AJ231" s="50">
        <f t="shared" si="31"/>
        <v>0</v>
      </c>
      <c r="AK231" s="51">
        <f t="shared" si="28"/>
        <v>0</v>
      </c>
      <c r="AL231" s="52">
        <f>AO231+AQ231-[2]Sheet1!$AH232</f>
        <v>0</v>
      </c>
      <c r="AM231" s="52">
        <f t="shared" si="30"/>
        <v>0</v>
      </c>
      <c r="AN231" s="51">
        <f t="shared" si="26"/>
        <v>0</v>
      </c>
      <c r="AO231" s="52"/>
      <c r="AP231" s="51" t="str">
        <f t="shared" si="27"/>
        <v/>
      </c>
      <c r="AQ231" s="52"/>
      <c r="AR231" s="22">
        <v>8</v>
      </c>
    </row>
    <row r="232" spans="27:44" ht="22.35" customHeight="1">
      <c r="AA232" s="46">
        <v>3315.1</v>
      </c>
      <c r="AB232" s="46" t="s">
        <v>54</v>
      </c>
      <c r="AC232" s="47" t="s">
        <v>41</v>
      </c>
      <c r="AE232" s="46"/>
      <c r="AF232" s="46" t="s">
        <v>51</v>
      </c>
      <c r="AG232" s="46">
        <v>150</v>
      </c>
      <c r="AH232" s="48">
        <f t="shared" si="23"/>
        <v>0</v>
      </c>
      <c r="AI232" s="49">
        <f t="shared" si="24"/>
        <v>0</v>
      </c>
      <c r="AJ232" s="50">
        <f t="shared" si="31"/>
        <v>0</v>
      </c>
      <c r="AK232" s="51">
        <f t="shared" si="28"/>
        <v>0</v>
      </c>
      <c r="AL232" s="52">
        <f>AO232+AQ232-[2]Sheet1!$AH233</f>
        <v>0</v>
      </c>
      <c r="AM232" s="52">
        <f t="shared" si="30"/>
        <v>0</v>
      </c>
      <c r="AN232" s="51">
        <f t="shared" si="26"/>
        <v>0</v>
      </c>
      <c r="AO232" s="52"/>
      <c r="AP232" s="51" t="str">
        <f t="shared" si="27"/>
        <v/>
      </c>
      <c r="AQ232" s="52"/>
      <c r="AR232" s="22">
        <v>30</v>
      </c>
    </row>
    <row r="233" spans="27:44" ht="22.35" customHeight="1">
      <c r="AA233" s="46">
        <v>3315.2</v>
      </c>
      <c r="AB233" s="46" t="s">
        <v>54</v>
      </c>
      <c r="AC233" s="47" t="s">
        <v>41</v>
      </c>
      <c r="AE233" s="46"/>
      <c r="AF233" s="46" t="s">
        <v>51</v>
      </c>
      <c r="AG233" s="46">
        <v>750</v>
      </c>
      <c r="AH233" s="48">
        <f t="shared" si="23"/>
        <v>0</v>
      </c>
      <c r="AI233" s="49">
        <f t="shared" si="24"/>
        <v>0</v>
      </c>
      <c r="AJ233" s="50">
        <f t="shared" si="31"/>
        <v>0</v>
      </c>
      <c r="AK233" s="51">
        <f t="shared" si="28"/>
        <v>0</v>
      </c>
      <c r="AL233" s="52">
        <f>AO233+AQ233-[2]Sheet1!$AH234</f>
        <v>0</v>
      </c>
      <c r="AM233" s="52">
        <f t="shared" si="30"/>
        <v>0</v>
      </c>
      <c r="AN233" s="51">
        <f t="shared" si="26"/>
        <v>0</v>
      </c>
      <c r="AO233" s="52"/>
      <c r="AP233" s="51" t="str">
        <f t="shared" si="27"/>
        <v/>
      </c>
      <c r="AQ233" s="52"/>
      <c r="AR233" s="22">
        <v>8</v>
      </c>
    </row>
    <row r="234" spans="27:44" ht="22.35" customHeight="1">
      <c r="AA234" s="46">
        <v>3315.3</v>
      </c>
      <c r="AB234" s="46" t="s">
        <v>54</v>
      </c>
      <c r="AC234" s="47" t="s">
        <v>41</v>
      </c>
      <c r="AE234" s="46"/>
      <c r="AF234" s="46" t="s">
        <v>51</v>
      </c>
      <c r="AG234" s="46">
        <v>40</v>
      </c>
      <c r="AH234" s="48">
        <f t="shared" si="23"/>
        <v>0</v>
      </c>
      <c r="AI234" s="49">
        <f t="shared" si="24"/>
        <v>0</v>
      </c>
      <c r="AJ234" s="50">
        <f t="shared" si="31"/>
        <v>0</v>
      </c>
      <c r="AK234" s="51">
        <f t="shared" si="28"/>
        <v>0</v>
      </c>
      <c r="AL234" s="52">
        <f>AO234+AQ234-[2]Sheet1!$AH235</f>
        <v>0</v>
      </c>
      <c r="AM234" s="52">
        <f t="shared" si="30"/>
        <v>0</v>
      </c>
      <c r="AN234" s="51">
        <f t="shared" si="26"/>
        <v>0</v>
      </c>
      <c r="AO234" s="52"/>
      <c r="AP234" s="51" t="str">
        <f t="shared" si="27"/>
        <v/>
      </c>
      <c r="AQ234" s="52"/>
      <c r="AR234" s="22">
        <v>8</v>
      </c>
    </row>
    <row r="235" spans="27:44" ht="22.35" customHeight="1">
      <c r="AA235" s="46"/>
      <c r="AB235" s="46"/>
      <c r="AC235" s="47" t="s">
        <v>41</v>
      </c>
      <c r="AE235" s="46"/>
      <c r="AF235" s="46" t="s">
        <v>51</v>
      </c>
      <c r="AG235" s="46"/>
      <c r="AH235" s="48">
        <f t="shared" si="23"/>
        <v>0</v>
      </c>
      <c r="AI235" s="49">
        <f t="shared" si="24"/>
        <v>0</v>
      </c>
      <c r="AJ235" s="50">
        <f t="shared" si="31"/>
        <v>0</v>
      </c>
      <c r="AK235" s="51">
        <f t="shared" si="28"/>
        <v>0</v>
      </c>
      <c r="AL235" s="52">
        <f>AO235+AQ235-[2]Sheet1!$AH236</f>
        <v>0</v>
      </c>
      <c r="AM235" s="52">
        <f t="shared" si="30"/>
        <v>0</v>
      </c>
      <c r="AN235" s="51">
        <f t="shared" si="26"/>
        <v>0</v>
      </c>
      <c r="AO235" s="52"/>
      <c r="AP235" s="51" t="str">
        <f t="shared" si="27"/>
        <v/>
      </c>
      <c r="AQ235" s="52"/>
      <c r="AR235" s="22">
        <v>15</v>
      </c>
    </row>
    <row r="236" spans="27:44" ht="22.35" customHeight="1">
      <c r="AA236" s="46"/>
      <c r="AB236" s="46"/>
      <c r="AC236" s="47" t="s">
        <v>41</v>
      </c>
      <c r="AE236" s="46"/>
      <c r="AF236" s="46" t="s">
        <v>51</v>
      </c>
      <c r="AG236" s="46"/>
      <c r="AH236" s="48">
        <f t="shared" si="23"/>
        <v>0</v>
      </c>
      <c r="AI236" s="49">
        <f t="shared" si="24"/>
        <v>0</v>
      </c>
      <c r="AJ236" s="50">
        <f t="shared" si="31"/>
        <v>0</v>
      </c>
      <c r="AK236" s="51">
        <f t="shared" si="28"/>
        <v>0</v>
      </c>
      <c r="AL236" s="52">
        <f>AO236+AQ236-[2]Sheet1!$AH237</f>
        <v>0</v>
      </c>
      <c r="AM236" s="52">
        <f t="shared" si="30"/>
        <v>0</v>
      </c>
      <c r="AN236" s="51">
        <f t="shared" si="26"/>
        <v>0</v>
      </c>
      <c r="AO236" s="52"/>
      <c r="AP236" s="51" t="str">
        <f t="shared" si="27"/>
        <v/>
      </c>
      <c r="AQ236" s="52"/>
      <c r="AR236" s="22">
        <v>3</v>
      </c>
    </row>
    <row r="237" spans="27:44" ht="22.35" customHeight="1">
      <c r="AA237" s="46"/>
      <c r="AB237" s="46"/>
      <c r="AC237" s="47" t="s">
        <v>41</v>
      </c>
      <c r="AE237" s="46"/>
      <c r="AF237" s="46" t="s">
        <v>51</v>
      </c>
      <c r="AG237" s="46"/>
      <c r="AH237" s="48">
        <f t="shared" si="23"/>
        <v>0</v>
      </c>
      <c r="AI237" s="49">
        <f t="shared" si="24"/>
        <v>0</v>
      </c>
      <c r="AJ237" s="50">
        <f t="shared" si="31"/>
        <v>0</v>
      </c>
      <c r="AK237" s="51">
        <f t="shared" si="28"/>
        <v>0</v>
      </c>
      <c r="AL237" s="52">
        <f>AO237+AQ237-[2]Sheet1!$AH238</f>
        <v>0</v>
      </c>
      <c r="AM237" s="52">
        <f t="shared" si="30"/>
        <v>0</v>
      </c>
      <c r="AN237" s="51">
        <f t="shared" si="26"/>
        <v>0</v>
      </c>
      <c r="AO237" s="52"/>
      <c r="AP237" s="51" t="str">
        <f t="shared" si="27"/>
        <v/>
      </c>
      <c r="AQ237" s="52"/>
      <c r="AR237" s="22">
        <v>15</v>
      </c>
    </row>
    <row r="238" spans="27:44" ht="22.35" customHeight="1">
      <c r="AA238" s="46"/>
      <c r="AB238" s="46"/>
      <c r="AC238" s="47" t="s">
        <v>41</v>
      </c>
      <c r="AE238" s="46"/>
      <c r="AF238" s="46" t="s">
        <v>51</v>
      </c>
      <c r="AG238" s="46"/>
      <c r="AH238" s="48">
        <f t="shared" si="23"/>
        <v>0</v>
      </c>
      <c r="AI238" s="49">
        <f t="shared" si="24"/>
        <v>0</v>
      </c>
      <c r="AJ238" s="50">
        <f t="shared" si="31"/>
        <v>0</v>
      </c>
      <c r="AK238" s="51">
        <f t="shared" si="28"/>
        <v>0</v>
      </c>
      <c r="AL238" s="52">
        <f>AO238+AQ238-[2]Sheet1!$AH239</f>
        <v>0</v>
      </c>
      <c r="AM238" s="52">
        <f t="shared" si="30"/>
        <v>0</v>
      </c>
      <c r="AN238" s="51">
        <f t="shared" si="26"/>
        <v>0</v>
      </c>
      <c r="AO238" s="52"/>
      <c r="AP238" s="51" t="str">
        <f t="shared" si="27"/>
        <v/>
      </c>
      <c r="AQ238" s="52"/>
      <c r="AR238" s="22">
        <v>3</v>
      </c>
    </row>
    <row r="239" spans="27:44" ht="22.35" customHeight="1">
      <c r="AA239" s="46"/>
      <c r="AB239" s="46"/>
      <c r="AC239" s="47" t="s">
        <v>41</v>
      </c>
      <c r="AE239" s="46"/>
      <c r="AF239" s="46" t="s">
        <v>51</v>
      </c>
      <c r="AG239" s="46"/>
      <c r="AH239" s="48">
        <f t="shared" si="23"/>
        <v>0</v>
      </c>
      <c r="AI239" s="49">
        <f t="shared" si="24"/>
        <v>0</v>
      </c>
      <c r="AJ239" s="50">
        <f t="shared" si="31"/>
        <v>0</v>
      </c>
      <c r="AK239" s="51">
        <f t="shared" si="28"/>
        <v>0</v>
      </c>
      <c r="AL239" s="52">
        <f>AO239+AQ239-[2]Sheet1!$AH240</f>
        <v>0</v>
      </c>
      <c r="AM239" s="52">
        <f t="shared" si="30"/>
        <v>0</v>
      </c>
      <c r="AN239" s="51">
        <f t="shared" si="26"/>
        <v>0</v>
      </c>
      <c r="AO239" s="52"/>
      <c r="AP239" s="51" t="str">
        <f t="shared" si="27"/>
        <v/>
      </c>
      <c r="AQ239" s="52"/>
      <c r="AR239" s="22"/>
    </row>
    <row r="240" spans="27:44" ht="22.35" customHeight="1">
      <c r="AA240" s="53">
        <v>5501.1</v>
      </c>
      <c r="AB240" s="53" t="s">
        <v>55</v>
      </c>
      <c r="AC240" s="54" t="s">
        <v>41</v>
      </c>
      <c r="AE240" s="53"/>
      <c r="AF240" s="53" t="s">
        <v>56</v>
      </c>
      <c r="AG240" s="53">
        <v>150</v>
      </c>
      <c r="AH240" s="55">
        <f t="shared" si="23"/>
        <v>0</v>
      </c>
      <c r="AI240" s="56">
        <f t="shared" si="24"/>
        <v>0</v>
      </c>
      <c r="AJ240" s="57">
        <f>AH240-AI240</f>
        <v>0</v>
      </c>
      <c r="AK240" s="58">
        <f t="shared" si="28"/>
        <v>0</v>
      </c>
      <c r="AL240" s="59">
        <f>AO240+AQ240-[2]Sheet1!$AH241</f>
        <v>0</v>
      </c>
      <c r="AM240" s="59">
        <f t="shared" si="30"/>
        <v>0</v>
      </c>
      <c r="AN240" s="58">
        <f t="shared" si="26"/>
        <v>0</v>
      </c>
      <c r="AO240" s="59"/>
      <c r="AP240" s="58" t="str">
        <f t="shared" si="27"/>
        <v/>
      </c>
      <c r="AQ240" s="59"/>
      <c r="AR240" s="22">
        <v>30</v>
      </c>
    </row>
    <row r="241" spans="27:44" ht="22.35" customHeight="1">
      <c r="AA241" s="53">
        <v>5501.2</v>
      </c>
      <c r="AB241" s="53" t="s">
        <v>55</v>
      </c>
      <c r="AC241" s="54" t="s">
        <v>41</v>
      </c>
      <c r="AE241" s="53"/>
      <c r="AF241" s="53" t="s">
        <v>56</v>
      </c>
      <c r="AG241" s="53">
        <v>750</v>
      </c>
      <c r="AH241" s="55">
        <f t="shared" si="23"/>
        <v>0</v>
      </c>
      <c r="AI241" s="56">
        <f t="shared" si="24"/>
        <v>0</v>
      </c>
      <c r="AJ241" s="57">
        <f t="shared" ref="AJ241:AJ264" si="32">AH241-AI241</f>
        <v>0</v>
      </c>
      <c r="AK241" s="58">
        <f>AH241*AG241/1000</f>
        <v>0</v>
      </c>
      <c r="AL241" s="59">
        <f>AO241+AQ241-[2]Sheet1!$AH242</f>
        <v>0</v>
      </c>
      <c r="AM241" s="59">
        <f t="shared" si="30"/>
        <v>0</v>
      </c>
      <c r="AN241" s="58">
        <f t="shared" si="26"/>
        <v>0</v>
      </c>
      <c r="AO241" s="59"/>
      <c r="AP241" s="58" t="str">
        <f t="shared" si="27"/>
        <v/>
      </c>
      <c r="AQ241" s="59"/>
      <c r="AR241" s="22">
        <v>20</v>
      </c>
    </row>
    <row r="242" spans="27:44" ht="22.35" customHeight="1">
      <c r="AA242" s="53">
        <v>5501.3</v>
      </c>
      <c r="AB242" s="53" t="s">
        <v>55</v>
      </c>
      <c r="AC242" s="54" t="s">
        <v>41</v>
      </c>
      <c r="AE242" s="53"/>
      <c r="AF242" s="53" t="s">
        <v>56</v>
      </c>
      <c r="AG242" s="53">
        <v>4000</v>
      </c>
      <c r="AH242" s="55">
        <f t="shared" si="23"/>
        <v>11</v>
      </c>
      <c r="AI242" s="56">
        <f t="shared" si="24"/>
        <v>0</v>
      </c>
      <c r="AJ242" s="57">
        <f t="shared" si="32"/>
        <v>11</v>
      </c>
      <c r="AK242" s="58">
        <f t="shared" ref="AK242:AK267" si="33">AH242*AG242/1000</f>
        <v>44</v>
      </c>
      <c r="AL242" s="59">
        <f>AO242+AQ242-[2]Sheet1!$AH243</f>
        <v>0</v>
      </c>
      <c r="AM242" s="59">
        <f t="shared" si="30"/>
        <v>-11</v>
      </c>
      <c r="AN242" s="58">
        <f t="shared" si="26"/>
        <v>0</v>
      </c>
      <c r="AO242" s="59"/>
      <c r="AP242" s="58">
        <f t="shared" si="27"/>
        <v>-44</v>
      </c>
      <c r="AQ242" s="59"/>
      <c r="AR242" s="22">
        <v>42</v>
      </c>
    </row>
    <row r="243" spans="27:44" ht="22.35" customHeight="1">
      <c r="AA243" s="53">
        <v>5504.1</v>
      </c>
      <c r="AB243" s="53" t="s">
        <v>57</v>
      </c>
      <c r="AC243" s="54" t="s">
        <v>41</v>
      </c>
      <c r="AE243" s="53"/>
      <c r="AF243" s="53" t="s">
        <v>56</v>
      </c>
      <c r="AG243" s="53">
        <v>150</v>
      </c>
      <c r="AH243" s="55">
        <f t="shared" si="23"/>
        <v>0</v>
      </c>
      <c r="AI243" s="56">
        <f t="shared" si="24"/>
        <v>0</v>
      </c>
      <c r="AJ243" s="57">
        <f t="shared" si="32"/>
        <v>0</v>
      </c>
      <c r="AK243" s="58">
        <f t="shared" si="33"/>
        <v>0</v>
      </c>
      <c r="AL243" s="59">
        <f>AO243+AQ243-[2]Sheet1!$AH244</f>
        <v>0</v>
      </c>
      <c r="AM243" s="59">
        <f t="shared" si="30"/>
        <v>0</v>
      </c>
      <c r="AN243" s="58">
        <f t="shared" si="26"/>
        <v>0</v>
      </c>
      <c r="AO243" s="59"/>
      <c r="AP243" s="58" t="str">
        <f t="shared" si="27"/>
        <v/>
      </c>
      <c r="AQ243" s="59"/>
      <c r="AR243" s="22">
        <v>20</v>
      </c>
    </row>
    <row r="244" spans="27:44" ht="22.35" customHeight="1">
      <c r="AA244" s="53">
        <v>5504.2</v>
      </c>
      <c r="AB244" s="53" t="s">
        <v>57</v>
      </c>
      <c r="AC244" s="54" t="s">
        <v>41</v>
      </c>
      <c r="AE244" s="53"/>
      <c r="AF244" s="53" t="s">
        <v>56</v>
      </c>
      <c r="AG244" s="53">
        <v>750</v>
      </c>
      <c r="AH244" s="55">
        <f t="shared" si="23"/>
        <v>0</v>
      </c>
      <c r="AI244" s="56">
        <f t="shared" si="24"/>
        <v>0</v>
      </c>
      <c r="AJ244" s="57">
        <f t="shared" si="32"/>
        <v>0</v>
      </c>
      <c r="AK244" s="58">
        <f t="shared" si="33"/>
        <v>0</v>
      </c>
      <c r="AL244" s="59">
        <f>AO244+AQ244-[2]Sheet1!$AH245</f>
        <v>0</v>
      </c>
      <c r="AM244" s="59">
        <f t="shared" si="30"/>
        <v>0</v>
      </c>
      <c r="AN244" s="58">
        <f t="shared" si="26"/>
        <v>0</v>
      </c>
      <c r="AO244" s="59"/>
      <c r="AP244" s="58" t="str">
        <f t="shared" si="27"/>
        <v/>
      </c>
      <c r="AQ244" s="59"/>
      <c r="AR244" s="22">
        <v>72</v>
      </c>
    </row>
    <row r="245" spans="27:44" ht="22.35" customHeight="1">
      <c r="AA245" s="53">
        <v>5505.1</v>
      </c>
      <c r="AB245" s="53" t="s">
        <v>58</v>
      </c>
      <c r="AC245" s="54" t="s">
        <v>41</v>
      </c>
      <c r="AE245" s="53"/>
      <c r="AF245" s="53" t="s">
        <v>56</v>
      </c>
      <c r="AG245" s="53">
        <v>150</v>
      </c>
      <c r="AH245" s="55">
        <f t="shared" si="23"/>
        <v>0</v>
      </c>
      <c r="AI245" s="56">
        <f t="shared" si="24"/>
        <v>0</v>
      </c>
      <c r="AJ245" s="57">
        <f t="shared" si="32"/>
        <v>0</v>
      </c>
      <c r="AK245" s="58">
        <f t="shared" si="33"/>
        <v>0</v>
      </c>
      <c r="AL245" s="59">
        <f>AO245+AQ245-[2]Sheet1!$AH246</f>
        <v>0</v>
      </c>
      <c r="AM245" s="59">
        <f t="shared" si="30"/>
        <v>0</v>
      </c>
      <c r="AN245" s="58">
        <f t="shared" si="26"/>
        <v>0</v>
      </c>
      <c r="AO245" s="59"/>
      <c r="AP245" s="58" t="str">
        <f t="shared" si="27"/>
        <v/>
      </c>
      <c r="AQ245" s="59"/>
      <c r="AR245" s="22">
        <v>30</v>
      </c>
    </row>
    <row r="246" spans="27:44" ht="22.35" customHeight="1">
      <c r="AA246" s="53">
        <v>5505.2</v>
      </c>
      <c r="AB246" s="53" t="s">
        <v>58</v>
      </c>
      <c r="AC246" s="54" t="s">
        <v>41</v>
      </c>
      <c r="AE246" s="53"/>
      <c r="AF246" s="53" t="s">
        <v>56</v>
      </c>
      <c r="AG246" s="53">
        <v>750</v>
      </c>
      <c r="AH246" s="55">
        <f t="shared" si="23"/>
        <v>0</v>
      </c>
      <c r="AI246" s="56">
        <f t="shared" si="24"/>
        <v>0</v>
      </c>
      <c r="AJ246" s="57">
        <f t="shared" si="32"/>
        <v>0</v>
      </c>
      <c r="AK246" s="58">
        <f t="shared" si="33"/>
        <v>0</v>
      </c>
      <c r="AL246" s="59">
        <f>AO246+AQ246-[2]Sheet1!$AH247</f>
        <v>0</v>
      </c>
      <c r="AM246" s="59">
        <f t="shared" si="30"/>
        <v>0</v>
      </c>
      <c r="AN246" s="58">
        <f t="shared" si="26"/>
        <v>0</v>
      </c>
      <c r="AO246" s="59"/>
      <c r="AP246" s="58" t="str">
        <f t="shared" si="27"/>
        <v/>
      </c>
      <c r="AQ246" s="59"/>
      <c r="AR246" s="22">
        <v>20</v>
      </c>
    </row>
    <row r="247" spans="27:44" ht="22.35" customHeight="1">
      <c r="AA247" s="53">
        <v>5505.3</v>
      </c>
      <c r="AB247" s="53" t="s">
        <v>58</v>
      </c>
      <c r="AC247" s="54" t="s">
        <v>41</v>
      </c>
      <c r="AE247" s="53"/>
      <c r="AF247" s="53" t="s">
        <v>56</v>
      </c>
      <c r="AG247" s="53">
        <v>4000</v>
      </c>
      <c r="AH247" s="55">
        <f t="shared" si="23"/>
        <v>0</v>
      </c>
      <c r="AI247" s="56">
        <f t="shared" si="24"/>
        <v>0</v>
      </c>
      <c r="AJ247" s="57">
        <f t="shared" si="32"/>
        <v>0</v>
      </c>
      <c r="AK247" s="58">
        <f t="shared" si="33"/>
        <v>0</v>
      </c>
      <c r="AL247" s="59">
        <f>AO247+AQ247-[2]Sheet1!$AH248</f>
        <v>0</v>
      </c>
      <c r="AM247" s="59">
        <f t="shared" si="30"/>
        <v>0</v>
      </c>
      <c r="AN247" s="58">
        <f t="shared" si="26"/>
        <v>0</v>
      </c>
      <c r="AO247" s="59"/>
      <c r="AP247" s="58" t="str">
        <f t="shared" si="27"/>
        <v/>
      </c>
      <c r="AQ247" s="59"/>
      <c r="AR247" s="22">
        <v>42</v>
      </c>
    </row>
    <row r="248" spans="27:44" ht="22.35" customHeight="1">
      <c r="AA248" s="53"/>
      <c r="AB248" s="60"/>
      <c r="AC248" s="54" t="s">
        <v>41</v>
      </c>
      <c r="AE248" s="53"/>
      <c r="AF248" s="53" t="s">
        <v>56</v>
      </c>
      <c r="AG248" s="53">
        <v>150</v>
      </c>
      <c r="AH248" s="55">
        <f t="shared" si="23"/>
        <v>0</v>
      </c>
      <c r="AI248" s="56">
        <f t="shared" si="24"/>
        <v>0</v>
      </c>
      <c r="AJ248" s="57">
        <f t="shared" si="32"/>
        <v>0</v>
      </c>
      <c r="AK248" s="58">
        <f t="shared" si="33"/>
        <v>0</v>
      </c>
      <c r="AL248" s="59">
        <f>AO248+AQ248-[2]Sheet1!$AH249</f>
        <v>0</v>
      </c>
      <c r="AM248" s="59">
        <f t="shared" si="30"/>
        <v>0</v>
      </c>
      <c r="AN248" s="58">
        <f t="shared" si="26"/>
        <v>0</v>
      </c>
      <c r="AO248" s="59"/>
      <c r="AP248" s="58" t="str">
        <f t="shared" si="27"/>
        <v/>
      </c>
      <c r="AQ248" s="59"/>
      <c r="AR248" s="22">
        <v>30</v>
      </c>
    </row>
    <row r="249" spans="27:44" ht="22.35" customHeight="1">
      <c r="AA249" s="53"/>
      <c r="AB249" s="60"/>
      <c r="AC249" s="54" t="s">
        <v>41</v>
      </c>
      <c r="AE249" s="53"/>
      <c r="AF249" s="53" t="s">
        <v>56</v>
      </c>
      <c r="AG249" s="53">
        <v>750</v>
      </c>
      <c r="AH249" s="55">
        <f t="shared" si="23"/>
        <v>0</v>
      </c>
      <c r="AI249" s="56">
        <f t="shared" si="24"/>
        <v>0</v>
      </c>
      <c r="AJ249" s="57">
        <f t="shared" si="32"/>
        <v>0</v>
      </c>
      <c r="AK249" s="58">
        <f t="shared" si="33"/>
        <v>0</v>
      </c>
      <c r="AL249" s="59">
        <f>AO249+AQ249-[2]Sheet1!$AH250</f>
        <v>0</v>
      </c>
      <c r="AM249" s="59">
        <f t="shared" si="30"/>
        <v>0</v>
      </c>
      <c r="AN249" s="58">
        <f t="shared" si="26"/>
        <v>0</v>
      </c>
      <c r="AO249" s="59"/>
      <c r="AP249" s="58" t="str">
        <f t="shared" si="27"/>
        <v/>
      </c>
      <c r="AQ249" s="59"/>
      <c r="AR249" s="22">
        <v>20</v>
      </c>
    </row>
    <row r="250" spans="27:44" ht="22.35" customHeight="1">
      <c r="AA250" s="53"/>
      <c r="AB250" s="60"/>
      <c r="AC250" s="54" t="s">
        <v>41</v>
      </c>
      <c r="AE250" s="53"/>
      <c r="AF250" s="53" t="s">
        <v>56</v>
      </c>
      <c r="AG250" s="53">
        <v>4000</v>
      </c>
      <c r="AH250" s="55">
        <f t="shared" si="23"/>
        <v>0</v>
      </c>
      <c r="AI250" s="56">
        <f t="shared" si="24"/>
        <v>0</v>
      </c>
      <c r="AJ250" s="57">
        <f t="shared" si="32"/>
        <v>0</v>
      </c>
      <c r="AK250" s="58">
        <f t="shared" si="33"/>
        <v>0</v>
      </c>
      <c r="AL250" s="59">
        <f>AO250+AQ250-[2]Sheet1!$AH251</f>
        <v>0</v>
      </c>
      <c r="AM250" s="59">
        <f t="shared" si="30"/>
        <v>0</v>
      </c>
      <c r="AN250" s="58">
        <f t="shared" si="26"/>
        <v>0</v>
      </c>
      <c r="AO250" s="59"/>
      <c r="AP250" s="58" t="str">
        <f t="shared" si="27"/>
        <v/>
      </c>
      <c r="AQ250" s="59"/>
      <c r="AR250" s="22">
        <v>42</v>
      </c>
    </row>
    <row r="251" spans="27:44" ht="22.35" customHeight="1">
      <c r="AA251" s="53">
        <v>5511.1</v>
      </c>
      <c r="AB251" s="60" t="s">
        <v>59</v>
      </c>
      <c r="AC251" s="54" t="s">
        <v>41</v>
      </c>
      <c r="AE251" s="53"/>
      <c r="AF251" s="53" t="s">
        <v>56</v>
      </c>
      <c r="AG251" s="53">
        <v>150</v>
      </c>
      <c r="AH251" s="55">
        <f t="shared" si="23"/>
        <v>0</v>
      </c>
      <c r="AI251" s="56">
        <f t="shared" si="24"/>
        <v>0</v>
      </c>
      <c r="AJ251" s="57">
        <f t="shared" si="32"/>
        <v>0</v>
      </c>
      <c r="AK251" s="58">
        <f t="shared" si="33"/>
        <v>0</v>
      </c>
      <c r="AL251" s="59">
        <f>AO251+AQ251-[2]Sheet1!$AH252</f>
        <v>0</v>
      </c>
      <c r="AM251" s="59">
        <f t="shared" si="30"/>
        <v>0</v>
      </c>
      <c r="AN251" s="58">
        <f t="shared" si="26"/>
        <v>0</v>
      </c>
      <c r="AO251" s="59"/>
      <c r="AP251" s="58" t="str">
        <f t="shared" si="27"/>
        <v/>
      </c>
      <c r="AQ251" s="59"/>
      <c r="AR251" s="22">
        <v>20</v>
      </c>
    </row>
    <row r="252" spans="27:44" ht="22.35" customHeight="1">
      <c r="AA252" s="53">
        <v>5511.2</v>
      </c>
      <c r="AB252" s="60" t="s">
        <v>59</v>
      </c>
      <c r="AC252" s="54" t="s">
        <v>41</v>
      </c>
      <c r="AE252" s="53"/>
      <c r="AF252" s="53" t="s">
        <v>56</v>
      </c>
      <c r="AG252" s="53">
        <v>750</v>
      </c>
      <c r="AH252" s="55">
        <f t="shared" si="23"/>
        <v>0</v>
      </c>
      <c r="AI252" s="56">
        <f t="shared" si="24"/>
        <v>0</v>
      </c>
      <c r="AJ252" s="57">
        <f t="shared" si="32"/>
        <v>0</v>
      </c>
      <c r="AK252" s="58">
        <f t="shared" si="33"/>
        <v>0</v>
      </c>
      <c r="AL252" s="59">
        <f>AO252+AQ252-[2]Sheet1!$AH253</f>
        <v>0</v>
      </c>
      <c r="AM252" s="59">
        <f t="shared" si="30"/>
        <v>0</v>
      </c>
      <c r="AN252" s="58">
        <f t="shared" si="26"/>
        <v>0</v>
      </c>
      <c r="AO252" s="59"/>
      <c r="AP252" s="58" t="str">
        <f t="shared" si="27"/>
        <v/>
      </c>
      <c r="AQ252" s="59"/>
      <c r="AR252" s="22">
        <v>36</v>
      </c>
    </row>
    <row r="253" spans="27:44" ht="22.35" customHeight="1">
      <c r="AA253" s="53">
        <v>5511.11</v>
      </c>
      <c r="AB253" s="60" t="s">
        <v>60</v>
      </c>
      <c r="AC253" s="54" t="s">
        <v>41</v>
      </c>
      <c r="AE253" s="53"/>
      <c r="AF253" s="53" t="s">
        <v>56</v>
      </c>
      <c r="AG253" s="53">
        <v>150</v>
      </c>
      <c r="AH253" s="55">
        <f t="shared" si="23"/>
        <v>0</v>
      </c>
      <c r="AI253" s="56">
        <f t="shared" si="24"/>
        <v>0</v>
      </c>
      <c r="AJ253" s="57">
        <f t="shared" si="32"/>
        <v>0</v>
      </c>
      <c r="AK253" s="58">
        <f t="shared" si="33"/>
        <v>0</v>
      </c>
      <c r="AL253" s="59">
        <f>AO253+AQ253-[2]Sheet1!$AH254</f>
        <v>0</v>
      </c>
      <c r="AM253" s="59">
        <f t="shared" si="30"/>
        <v>0</v>
      </c>
      <c r="AN253" s="58">
        <f t="shared" si="26"/>
        <v>0</v>
      </c>
      <c r="AO253" s="59"/>
      <c r="AP253" s="58" t="str">
        <f t="shared" si="27"/>
        <v/>
      </c>
      <c r="AQ253" s="59"/>
      <c r="AR253" s="22">
        <v>20</v>
      </c>
    </row>
    <row r="254" spans="27:44" ht="22.35" customHeight="1">
      <c r="AA254" s="53">
        <v>5511.22</v>
      </c>
      <c r="AB254" s="60" t="s">
        <v>61</v>
      </c>
      <c r="AC254" s="54" t="s">
        <v>41</v>
      </c>
      <c r="AE254" s="53"/>
      <c r="AF254" s="53" t="s">
        <v>56</v>
      </c>
      <c r="AG254" s="53">
        <v>750</v>
      </c>
      <c r="AH254" s="55">
        <f t="shared" si="23"/>
        <v>0</v>
      </c>
      <c r="AI254" s="56">
        <f t="shared" si="24"/>
        <v>0</v>
      </c>
      <c r="AJ254" s="57">
        <f t="shared" si="32"/>
        <v>0</v>
      </c>
      <c r="AK254" s="58">
        <f t="shared" si="33"/>
        <v>0</v>
      </c>
      <c r="AL254" s="59">
        <f>AO254+AQ254-[2]Sheet1!$AH255</f>
        <v>0</v>
      </c>
      <c r="AM254" s="59">
        <f t="shared" si="30"/>
        <v>0</v>
      </c>
      <c r="AN254" s="58">
        <f t="shared" si="26"/>
        <v>0</v>
      </c>
      <c r="AO254" s="59"/>
      <c r="AP254" s="58" t="str">
        <f t="shared" si="27"/>
        <v/>
      </c>
      <c r="AQ254" s="59"/>
      <c r="AR254" s="22">
        <v>36</v>
      </c>
    </row>
    <row r="255" spans="27:44" ht="22.35" customHeight="1">
      <c r="AA255" s="53">
        <v>5513.1</v>
      </c>
      <c r="AB255" s="60" t="s">
        <v>62</v>
      </c>
      <c r="AC255" s="54" t="s">
        <v>41</v>
      </c>
      <c r="AE255" s="53"/>
      <c r="AF255" s="53" t="s">
        <v>56</v>
      </c>
      <c r="AG255" s="53">
        <v>150</v>
      </c>
      <c r="AH255" s="55">
        <f t="shared" si="23"/>
        <v>0</v>
      </c>
      <c r="AI255" s="56">
        <f t="shared" si="24"/>
        <v>0</v>
      </c>
      <c r="AJ255" s="57">
        <f t="shared" si="32"/>
        <v>0</v>
      </c>
      <c r="AK255" s="58">
        <f t="shared" si="33"/>
        <v>0</v>
      </c>
      <c r="AL255" s="59">
        <f>AO255+AQ255-[2]Sheet1!$AH256</f>
        <v>0</v>
      </c>
      <c r="AM255" s="59">
        <f t="shared" si="30"/>
        <v>0</v>
      </c>
      <c r="AN255" s="58">
        <f t="shared" si="26"/>
        <v>0</v>
      </c>
      <c r="AO255" s="59"/>
      <c r="AP255" s="58" t="str">
        <f t="shared" si="27"/>
        <v/>
      </c>
      <c r="AQ255" s="59"/>
      <c r="AR255" s="22">
        <v>20</v>
      </c>
    </row>
    <row r="256" spans="27:44" ht="22.35" customHeight="1">
      <c r="AA256" s="53">
        <v>5513.2</v>
      </c>
      <c r="AB256" s="60" t="s">
        <v>62</v>
      </c>
      <c r="AC256" s="54" t="s">
        <v>41</v>
      </c>
      <c r="AE256" s="53"/>
      <c r="AF256" s="53" t="s">
        <v>56</v>
      </c>
      <c r="AG256" s="53">
        <v>750</v>
      </c>
      <c r="AH256" s="55">
        <f t="shared" si="23"/>
        <v>0</v>
      </c>
      <c r="AI256" s="56">
        <f t="shared" si="24"/>
        <v>0</v>
      </c>
      <c r="AJ256" s="57">
        <f t="shared" si="32"/>
        <v>0</v>
      </c>
      <c r="AK256" s="58">
        <f t="shared" si="33"/>
        <v>0</v>
      </c>
      <c r="AL256" s="59">
        <f>AO256+AQ256-[2]Sheet1!$AH257</f>
        <v>0</v>
      </c>
      <c r="AM256" s="59">
        <f t="shared" si="30"/>
        <v>0</v>
      </c>
      <c r="AN256" s="58">
        <f t="shared" si="26"/>
        <v>0</v>
      </c>
      <c r="AO256" s="59"/>
      <c r="AP256" s="58" t="str">
        <f t="shared" si="27"/>
        <v/>
      </c>
      <c r="AQ256" s="59"/>
      <c r="AR256" s="22">
        <v>36</v>
      </c>
    </row>
    <row r="257" spans="27:44" ht="22.35" customHeight="1">
      <c r="AA257" s="53">
        <v>5517.1</v>
      </c>
      <c r="AB257" s="60" t="s">
        <v>63</v>
      </c>
      <c r="AC257" s="54" t="s">
        <v>41</v>
      </c>
      <c r="AE257" s="53"/>
      <c r="AF257" s="53" t="s">
        <v>56</v>
      </c>
      <c r="AG257" s="53">
        <v>150</v>
      </c>
      <c r="AH257" s="55">
        <f t="shared" si="23"/>
        <v>0</v>
      </c>
      <c r="AI257" s="56">
        <f t="shared" si="24"/>
        <v>0</v>
      </c>
      <c r="AJ257" s="57">
        <f t="shared" si="32"/>
        <v>0</v>
      </c>
      <c r="AK257" s="58">
        <f t="shared" si="33"/>
        <v>0</v>
      </c>
      <c r="AL257" s="59">
        <f>AO257+AQ257-[2]Sheet1!$AH258</f>
        <v>0</v>
      </c>
      <c r="AM257" s="59">
        <f t="shared" si="30"/>
        <v>0</v>
      </c>
      <c r="AN257" s="58">
        <f t="shared" si="26"/>
        <v>0</v>
      </c>
      <c r="AO257" s="59"/>
      <c r="AP257" s="58" t="str">
        <f t="shared" si="27"/>
        <v/>
      </c>
      <c r="AQ257" s="59"/>
      <c r="AR257" s="22">
        <v>20</v>
      </c>
    </row>
    <row r="258" spans="27:44" ht="22.35" customHeight="1">
      <c r="AA258" s="53">
        <v>5517.2</v>
      </c>
      <c r="AB258" s="60" t="s">
        <v>63</v>
      </c>
      <c r="AC258" s="54" t="s">
        <v>41</v>
      </c>
      <c r="AE258" s="53"/>
      <c r="AF258" s="53" t="s">
        <v>56</v>
      </c>
      <c r="AG258" s="53">
        <v>750</v>
      </c>
      <c r="AH258" s="55">
        <f t="shared" si="23"/>
        <v>0</v>
      </c>
      <c r="AI258" s="56">
        <f t="shared" si="24"/>
        <v>0</v>
      </c>
      <c r="AJ258" s="57">
        <f t="shared" si="32"/>
        <v>0</v>
      </c>
      <c r="AK258" s="58">
        <f t="shared" si="33"/>
        <v>0</v>
      </c>
      <c r="AL258" s="59">
        <f>AO258+AQ258-[2]Sheet1!$AH259</f>
        <v>0</v>
      </c>
      <c r="AM258" s="59">
        <f t="shared" si="30"/>
        <v>0</v>
      </c>
      <c r="AN258" s="58">
        <f t="shared" si="26"/>
        <v>0</v>
      </c>
      <c r="AO258" s="59"/>
      <c r="AP258" s="58" t="str">
        <f t="shared" si="27"/>
        <v/>
      </c>
      <c r="AQ258" s="59"/>
      <c r="AR258" s="22">
        <v>36</v>
      </c>
    </row>
    <row r="259" spans="27:44" ht="22.35" customHeight="1">
      <c r="AA259" s="53">
        <v>5518.1</v>
      </c>
      <c r="AB259" s="60" t="s">
        <v>64</v>
      </c>
      <c r="AC259" s="54" t="s">
        <v>41</v>
      </c>
      <c r="AE259" s="53"/>
      <c r="AF259" s="53" t="s">
        <v>56</v>
      </c>
      <c r="AG259" s="53">
        <v>150</v>
      </c>
      <c r="AH259" s="55">
        <f t="shared" si="23"/>
        <v>0</v>
      </c>
      <c r="AI259" s="56">
        <f t="shared" si="24"/>
        <v>0</v>
      </c>
      <c r="AJ259" s="57">
        <f t="shared" si="32"/>
        <v>0</v>
      </c>
      <c r="AK259" s="58">
        <f t="shared" si="33"/>
        <v>0</v>
      </c>
      <c r="AL259" s="59">
        <f>AO259+AQ259-[2]Sheet1!$AH260</f>
        <v>0</v>
      </c>
      <c r="AM259" s="59">
        <f t="shared" si="30"/>
        <v>0</v>
      </c>
      <c r="AN259" s="58">
        <f t="shared" si="26"/>
        <v>0</v>
      </c>
      <c r="AO259" s="59"/>
      <c r="AP259" s="58" t="str">
        <f t="shared" si="27"/>
        <v/>
      </c>
      <c r="AQ259" s="59"/>
      <c r="AR259" s="22">
        <v>20</v>
      </c>
    </row>
    <row r="260" spans="27:44" ht="22.35" customHeight="1">
      <c r="AA260" s="53">
        <v>5518.2</v>
      </c>
      <c r="AB260" s="60" t="s">
        <v>64</v>
      </c>
      <c r="AC260" s="54" t="s">
        <v>41</v>
      </c>
      <c r="AE260" s="53"/>
      <c r="AF260" s="53" t="s">
        <v>56</v>
      </c>
      <c r="AG260" s="53">
        <v>750</v>
      </c>
      <c r="AH260" s="55">
        <f t="shared" si="23"/>
        <v>0</v>
      </c>
      <c r="AI260" s="56">
        <f t="shared" si="24"/>
        <v>0</v>
      </c>
      <c r="AJ260" s="57">
        <f t="shared" si="32"/>
        <v>0</v>
      </c>
      <c r="AK260" s="58">
        <f t="shared" si="33"/>
        <v>0</v>
      </c>
      <c r="AL260" s="59">
        <f>AO260+AQ260-[2]Sheet1!$AH261</f>
        <v>0</v>
      </c>
      <c r="AM260" s="59">
        <f t="shared" si="30"/>
        <v>0</v>
      </c>
      <c r="AN260" s="58">
        <f t="shared" si="26"/>
        <v>0</v>
      </c>
      <c r="AO260" s="59"/>
      <c r="AP260" s="58" t="str">
        <f t="shared" si="27"/>
        <v/>
      </c>
      <c r="AQ260" s="59"/>
      <c r="AR260" s="22">
        <v>15</v>
      </c>
    </row>
    <row r="261" spans="27:44" ht="22.35" customHeight="1">
      <c r="AA261" s="53">
        <v>5518.3</v>
      </c>
      <c r="AB261" s="60" t="s">
        <v>64</v>
      </c>
      <c r="AC261" s="54" t="s">
        <v>41</v>
      </c>
      <c r="AE261" s="53"/>
      <c r="AF261" s="53" t="s">
        <v>56</v>
      </c>
      <c r="AG261" s="53">
        <v>4000</v>
      </c>
      <c r="AH261" s="55">
        <f t="shared" si="23"/>
        <v>0</v>
      </c>
      <c r="AI261" s="56">
        <f t="shared" si="24"/>
        <v>0</v>
      </c>
      <c r="AJ261" s="57">
        <f t="shared" si="32"/>
        <v>0</v>
      </c>
      <c r="AK261" s="58">
        <f t="shared" si="33"/>
        <v>0</v>
      </c>
      <c r="AL261" s="59">
        <f>AO261+AQ261-[2]Sheet1!$AH262</f>
        <v>0</v>
      </c>
      <c r="AM261" s="59">
        <f t="shared" si="30"/>
        <v>0</v>
      </c>
      <c r="AN261" s="58">
        <f t="shared" si="26"/>
        <v>0</v>
      </c>
      <c r="AO261" s="59"/>
      <c r="AP261" s="58" t="str">
        <f t="shared" si="27"/>
        <v/>
      </c>
      <c r="AQ261" s="59"/>
      <c r="AR261" s="22">
        <v>42</v>
      </c>
    </row>
    <row r="262" spans="27:44" ht="22.35" customHeight="1">
      <c r="AA262" s="53">
        <v>5516.1</v>
      </c>
      <c r="AB262" s="60" t="s">
        <v>65</v>
      </c>
      <c r="AC262" s="54" t="s">
        <v>41</v>
      </c>
      <c r="AE262" s="53"/>
      <c r="AF262" s="53" t="s">
        <v>56</v>
      </c>
      <c r="AG262" s="53">
        <v>150</v>
      </c>
      <c r="AH262" s="55">
        <f t="shared" si="23"/>
        <v>0</v>
      </c>
      <c r="AI262" s="56">
        <f t="shared" si="24"/>
        <v>0</v>
      </c>
      <c r="AJ262" s="57">
        <f t="shared" si="32"/>
        <v>0</v>
      </c>
      <c r="AK262" s="58">
        <f t="shared" si="33"/>
        <v>0</v>
      </c>
      <c r="AL262" s="59">
        <f>AO262+AQ262-[2]Sheet1!$AH263</f>
        <v>0</v>
      </c>
      <c r="AM262" s="59">
        <f t="shared" si="30"/>
        <v>0</v>
      </c>
      <c r="AN262" s="58">
        <f t="shared" si="26"/>
        <v>0</v>
      </c>
      <c r="AO262" s="59"/>
      <c r="AP262" s="58" t="str">
        <f t="shared" si="27"/>
        <v/>
      </c>
      <c r="AQ262" s="59"/>
      <c r="AR262" s="22">
        <v>15</v>
      </c>
    </row>
    <row r="263" spans="27:44" ht="22.35" customHeight="1">
      <c r="AA263" s="53">
        <v>5516.2</v>
      </c>
      <c r="AB263" s="60" t="s">
        <v>65</v>
      </c>
      <c r="AC263" s="54" t="s">
        <v>41</v>
      </c>
      <c r="AE263" s="53"/>
      <c r="AF263" s="53" t="s">
        <v>56</v>
      </c>
      <c r="AG263" s="53">
        <v>750</v>
      </c>
      <c r="AH263" s="55">
        <f t="shared" si="23"/>
        <v>0</v>
      </c>
      <c r="AI263" s="56">
        <f t="shared" si="24"/>
        <v>0</v>
      </c>
      <c r="AJ263" s="57">
        <f t="shared" si="32"/>
        <v>0</v>
      </c>
      <c r="AK263" s="58">
        <f t="shared" si="33"/>
        <v>0</v>
      </c>
      <c r="AL263" s="59">
        <f>AO263+AQ263-[2]Sheet1!$AH264</f>
        <v>0</v>
      </c>
      <c r="AM263" s="59">
        <f t="shared" si="30"/>
        <v>0</v>
      </c>
      <c r="AN263" s="58">
        <f t="shared" si="26"/>
        <v>0</v>
      </c>
      <c r="AO263" s="59"/>
      <c r="AP263" s="58" t="str">
        <f t="shared" si="27"/>
        <v/>
      </c>
      <c r="AQ263" s="59"/>
      <c r="AR263" s="22">
        <v>10</v>
      </c>
    </row>
    <row r="264" spans="27:44" ht="22.35" customHeight="1">
      <c r="AA264" s="53">
        <v>5516.3</v>
      </c>
      <c r="AB264" s="60" t="s">
        <v>65</v>
      </c>
      <c r="AC264" s="54" t="s">
        <v>41</v>
      </c>
      <c r="AE264" s="53"/>
      <c r="AF264" s="53" t="s">
        <v>56</v>
      </c>
      <c r="AG264" s="53">
        <v>4000</v>
      </c>
      <c r="AH264" s="55">
        <f t="shared" si="23"/>
        <v>0</v>
      </c>
      <c r="AI264" s="56">
        <f t="shared" si="24"/>
        <v>0</v>
      </c>
      <c r="AJ264" s="57">
        <f t="shared" si="32"/>
        <v>0</v>
      </c>
      <c r="AK264" s="58">
        <f t="shared" si="33"/>
        <v>0</v>
      </c>
      <c r="AL264" s="59">
        <f>AO264+AQ264-[2]Sheet1!$AH265</f>
        <v>0</v>
      </c>
      <c r="AM264" s="59">
        <f t="shared" si="30"/>
        <v>0</v>
      </c>
      <c r="AN264" s="58">
        <f t="shared" si="26"/>
        <v>0</v>
      </c>
      <c r="AO264" s="59"/>
      <c r="AP264" s="58" t="str">
        <f t="shared" si="27"/>
        <v/>
      </c>
      <c r="AQ264" s="59"/>
      <c r="AR264" s="22">
        <v>28</v>
      </c>
    </row>
    <row r="265" spans="27:44" ht="22.35" customHeight="1">
      <c r="AA265" s="61">
        <v>8800</v>
      </c>
      <c r="AB265" s="61" t="s">
        <v>66</v>
      </c>
      <c r="AC265" s="62" t="s">
        <v>67</v>
      </c>
      <c r="AE265" s="61" t="s">
        <v>68</v>
      </c>
      <c r="AF265" s="61" t="s">
        <v>69</v>
      </c>
      <c r="AG265" s="61" t="s">
        <v>70</v>
      </c>
      <c r="AH265" s="63">
        <f t="shared" si="23"/>
        <v>0</v>
      </c>
      <c r="AI265" s="61">
        <f t="shared" si="24"/>
        <v>0</v>
      </c>
      <c r="AJ265" s="61"/>
      <c r="AK265" s="64" t="e">
        <f t="shared" si="33"/>
        <v>#VALUE!</v>
      </c>
      <c r="AL265" s="64">
        <f>AO265+AQ265-[2]Sheet1!$AH266</f>
        <v>0</v>
      </c>
      <c r="AM265" s="64">
        <f t="shared" si="30"/>
        <v>0</v>
      </c>
      <c r="AN265" s="64" t="e">
        <f t="shared" si="26"/>
        <v>#VALUE!</v>
      </c>
      <c r="AO265" s="65"/>
      <c r="AP265" s="64" t="str">
        <f t="shared" si="27"/>
        <v/>
      </c>
      <c r="AQ265" s="65"/>
    </row>
    <row r="266" spans="27:44" ht="22.35" customHeight="1">
      <c r="AA266" s="61">
        <v>8810</v>
      </c>
      <c r="AB266" s="61" t="s">
        <v>71</v>
      </c>
      <c r="AC266" s="62" t="s">
        <v>67</v>
      </c>
      <c r="AE266" s="61" t="s">
        <v>68</v>
      </c>
      <c r="AF266" s="61" t="s">
        <v>72</v>
      </c>
      <c r="AG266" s="61" t="s">
        <v>70</v>
      </c>
      <c r="AH266" s="63">
        <f t="shared" si="23"/>
        <v>0</v>
      </c>
      <c r="AI266" s="61">
        <f t="shared" si="24"/>
        <v>0</v>
      </c>
      <c r="AJ266" s="61"/>
      <c r="AK266" s="64" t="e">
        <f t="shared" si="33"/>
        <v>#VALUE!</v>
      </c>
      <c r="AL266" s="64">
        <f>AO266+AQ266-[2]Sheet1!$AH267</f>
        <v>0</v>
      </c>
      <c r="AM266" s="64">
        <f t="shared" si="30"/>
        <v>0</v>
      </c>
      <c r="AN266" s="64" t="e">
        <f t="shared" si="26"/>
        <v>#VALUE!</v>
      </c>
      <c r="AO266" s="65"/>
      <c r="AP266" s="64" t="str">
        <f t="shared" si="27"/>
        <v/>
      </c>
      <c r="AQ266" s="65"/>
    </row>
    <row r="267" spans="27:44" ht="22.35" customHeight="1">
      <c r="AA267" s="61">
        <v>8820</v>
      </c>
      <c r="AB267" s="61" t="s">
        <v>73</v>
      </c>
      <c r="AC267" s="62" t="s">
        <v>67</v>
      </c>
      <c r="AE267" s="61" t="s">
        <v>68</v>
      </c>
      <c r="AF267" s="61" t="s">
        <v>72</v>
      </c>
      <c r="AG267" s="61" t="s">
        <v>70</v>
      </c>
      <c r="AH267" s="63">
        <f t="shared" ref="AH267" si="34">SUMIF(O:O,AA267,P:P)</f>
        <v>0</v>
      </c>
      <c r="AI267" s="61">
        <f t="shared" ref="AI267" si="35">SUMIF(O:O,AA267,V:V)</f>
        <v>0</v>
      </c>
      <c r="AJ267" s="61"/>
      <c r="AK267" s="64" t="e">
        <f t="shared" si="33"/>
        <v>#VALUE!</v>
      </c>
      <c r="AL267" s="64">
        <f>AO267+AQ267-[2]Sheet1!$AH268</f>
        <v>0</v>
      </c>
      <c r="AM267" s="64">
        <f t="shared" si="30"/>
        <v>0</v>
      </c>
      <c r="AN267" s="64" t="e">
        <f t="shared" si="26"/>
        <v>#VALUE!</v>
      </c>
      <c r="AO267" s="65"/>
      <c r="AP267" s="64" t="str">
        <f t="shared" si="27"/>
        <v/>
      </c>
      <c r="AQ267" s="65"/>
    </row>
  </sheetData>
  <protectedRanges>
    <protectedRange algorithmName="SHA-512" hashValue="jjrV5Hy6JwvVqOO7tKoZVoRg7rpBcjqvT96GSIFiDncBaImziwFUF2JC6d0rT0SfgZv+eJ/5g2VdqSB7bdW0mg==" saltValue="0Igh3j97EZBwjtfDd8U1wg==" spinCount="100000" sqref="W5:W200" name="باقیمانده_5"/>
    <protectedRange algorithmName="SHA-512" hashValue="f5WsBkExWTs/LKakVBbNBXjGjwaAPcOxHhJFt4MnEAAY0TgGUtLBwc6BQDnps5THm9Gccqda3SWXIrg2Z9o+GA==" saltValue="9EXh0tvvNrwpkDbSuYJ+Uw==" spinCount="100000" sqref="V5:V200" name="تعداد ارسال شده_4"/>
    <protectedRange algorithmName="SHA-512" hashValue="jjrV5Hy6JwvVqOO7tKoZVoRg7rpBcjqvT96GSIFiDncBaImziwFUF2JC6d0rT0SfgZv+eJ/5g2VdqSB7bdW0mg==" saltValue="0Igh3j97EZBwjtfDd8U1wg==" spinCount="100000" sqref="W2:W3" name="باقیمانده_5_1"/>
    <protectedRange algorithmName="SHA-512" hashValue="f5WsBkExWTs/LKakVBbNBXjGjwaAPcOxHhJFt4MnEAAY0TgGUtLBwc6BQDnps5THm9Gccqda3SWXIrg2Z9o+GA==" saltValue="9EXh0tvvNrwpkDbSuYJ+Uw==" spinCount="100000" sqref="V2:V3" name="تعداد ارسال شده_4_1"/>
    <protectedRange algorithmName="SHA-512" hashValue="jjrV5Hy6JwvVqOO7tKoZVoRg7rpBcjqvT96GSIFiDncBaImziwFUF2JC6d0rT0SfgZv+eJ/5g2VdqSB7bdW0mg==" saltValue="0Igh3j97EZBwjtfDd8U1wg==" spinCount="100000" sqref="W4" name="باقیمانده_5_2"/>
    <protectedRange algorithmName="SHA-512" hashValue="f5WsBkExWTs/LKakVBbNBXjGjwaAPcOxHhJFt4MnEAAY0TgGUtLBwc6BQDnps5THm9Gccqda3SWXIrg2Z9o+GA==" saltValue="9EXh0tvvNrwpkDbSuYJ+Uw==" spinCount="100000" sqref="V4" name="تعداد ارسال شده_4_2"/>
  </protectedRanges>
  <mergeCells count="25">
    <mergeCell ref="AA2:AA3"/>
    <mergeCell ref="AB2:AB3"/>
    <mergeCell ref="AC2:AC3"/>
    <mergeCell ref="AD2:AD3"/>
    <mergeCell ref="A1:B1"/>
    <mergeCell ref="C1:D1"/>
    <mergeCell ref="E1:F1"/>
    <mergeCell ref="U1:V1"/>
    <mergeCell ref="G2:G3"/>
    <mergeCell ref="H2:H3"/>
    <mergeCell ref="I2:I3"/>
    <mergeCell ref="J2:J3"/>
    <mergeCell ref="L2:L3"/>
    <mergeCell ref="M2:M3"/>
    <mergeCell ref="N2:N3"/>
    <mergeCell ref="G4:G5"/>
    <mergeCell ref="AD4:AD5"/>
    <mergeCell ref="AC4:AC5"/>
    <mergeCell ref="AB4:AB5"/>
    <mergeCell ref="AA4:AA5"/>
    <mergeCell ref="N4:N5"/>
    <mergeCell ref="M4:M5"/>
    <mergeCell ref="L4:L5"/>
    <mergeCell ref="J4:J5"/>
    <mergeCell ref="H4:H5"/>
  </mergeCells>
  <conditionalFormatting sqref="G11:I200 Q5:Z5 J6:J200 Q6:AF200 AE5:AF5 K5:K10 O5:P10 K11:P200">
    <cfRule type="expression" dxfId="14" priority="72">
      <formula>$C5</formula>
    </cfRule>
  </conditionalFormatting>
  <conditionalFormatting sqref="G11:I200">
    <cfRule type="expression" dxfId="13" priority="71">
      <formula>$A11</formula>
    </cfRule>
  </conditionalFormatting>
  <conditionalFormatting sqref="G2:J2 AD2 Z2:Z3">
    <cfRule type="expression" dxfId="12" priority="8">
      <formula>$E2</formula>
    </cfRule>
  </conditionalFormatting>
  <conditionalFormatting sqref="G2:J2 AD2">
    <cfRule type="expression" dxfId="11" priority="6">
      <formula>$A2</formula>
    </cfRule>
  </conditionalFormatting>
  <conditionalFormatting sqref="G2:AF2 O3:Z3 K3 AE3:AF3">
    <cfRule type="expression" dxfId="10" priority="7">
      <formula>$C2</formula>
    </cfRule>
  </conditionalFormatting>
  <conditionalFormatting sqref="J4 Z4 AD4">
    <cfRule type="expression" dxfId="9" priority="4">
      <formula>$E4</formula>
    </cfRule>
  </conditionalFormatting>
  <conditionalFormatting sqref="J4:K4 O4:AF4 H4 H6:H10">
    <cfRule type="expression" dxfId="8" priority="3">
      <formula>$C4</formula>
    </cfRule>
  </conditionalFormatting>
  <conditionalFormatting sqref="W2:W200">
    <cfRule type="expression" dxfId="7" priority="1">
      <formula>$AG2</formula>
    </cfRule>
  </conditionalFormatting>
  <conditionalFormatting sqref="Z2:Z200 J4 AD4 J6:J200 AD6:AD200">
    <cfRule type="expression" dxfId="6" priority="2">
      <formula>$A2</formula>
    </cfRule>
  </conditionalFormatting>
  <conditionalFormatting sqref="Z5:Z200 J6:J200 AD6:AD200 G11:I200">
    <cfRule type="expression" dxfId="5" priority="73">
      <formula>$E5</formula>
    </cfRule>
  </conditionalFormatting>
  <conditionalFormatting sqref="AL203:AM203">
    <cfRule type="dataBar" priority="35">
      <dataBar>
        <cfvo type="min"/>
        <cfvo type="formula" val="$AR$91"/>
        <color rgb="FF63C384"/>
      </dataBar>
      <extLst>
        <ext xmlns:x14="http://schemas.microsoft.com/office/spreadsheetml/2009/9/main" uri="{B025F937-C7B1-47D3-B67F-A62EFF666E3E}">
          <x14:id>{027FA6EC-4AC4-44D7-8D34-953C53AC8A57}</x14:id>
        </ext>
      </extLst>
    </cfRule>
  </conditionalFormatting>
  <conditionalFormatting sqref="AL204:AM204">
    <cfRule type="dataBar" priority="34">
      <dataBar>
        <cfvo type="min"/>
        <cfvo type="formula" val="$AR$92"/>
        <color rgb="FF63C384"/>
      </dataBar>
      <extLst>
        <ext xmlns:x14="http://schemas.microsoft.com/office/spreadsheetml/2009/9/main" uri="{B025F937-C7B1-47D3-B67F-A62EFF666E3E}">
          <x14:id>{22D23142-0084-4F81-8668-F8EBF95058B0}</x14:id>
        </ext>
      </extLst>
    </cfRule>
  </conditionalFormatting>
  <conditionalFormatting sqref="AL205:AM205">
    <cfRule type="dataBar" priority="33">
      <dataBar>
        <cfvo type="min"/>
        <cfvo type="formula" val="$AN$93"/>
        <color rgb="FF63C384"/>
      </dataBar>
      <extLst>
        <ext xmlns:x14="http://schemas.microsoft.com/office/spreadsheetml/2009/9/main" uri="{B025F937-C7B1-47D3-B67F-A62EFF666E3E}">
          <x14:id>{EED65EBA-AE82-4521-B429-0CCD240CEABA}</x14:id>
        </ext>
      </extLst>
    </cfRule>
  </conditionalFormatting>
  <conditionalFormatting sqref="AL206:AM206">
    <cfRule type="dataBar" priority="32">
      <dataBar>
        <cfvo type="min"/>
        <cfvo type="formula" val="$AR$94"/>
        <color rgb="FF63C384"/>
      </dataBar>
      <extLst>
        <ext xmlns:x14="http://schemas.microsoft.com/office/spreadsheetml/2009/9/main" uri="{B025F937-C7B1-47D3-B67F-A62EFF666E3E}">
          <x14:id>{FFE795BB-A96E-45CA-B28D-E8143EAE4D8F}</x14:id>
        </ext>
      </extLst>
    </cfRule>
  </conditionalFormatting>
  <conditionalFormatting sqref="AL207:AM207">
    <cfRule type="dataBar" priority="31">
      <dataBar>
        <cfvo type="min"/>
        <cfvo type="formula" val="$AR$95"/>
        <color rgb="FF63C384"/>
      </dataBar>
      <extLst>
        <ext xmlns:x14="http://schemas.microsoft.com/office/spreadsheetml/2009/9/main" uri="{B025F937-C7B1-47D3-B67F-A62EFF666E3E}">
          <x14:id>{CA36987F-C146-442E-B28D-9F7B07BF66DA}</x14:id>
        </ext>
      </extLst>
    </cfRule>
  </conditionalFormatting>
  <conditionalFormatting sqref="AL208:AM208">
    <cfRule type="dataBar" priority="30">
      <dataBar>
        <cfvo type="min"/>
        <cfvo type="formula" val="$AR$96"/>
        <color rgb="FF63C384"/>
      </dataBar>
      <extLst>
        <ext xmlns:x14="http://schemas.microsoft.com/office/spreadsheetml/2009/9/main" uri="{B025F937-C7B1-47D3-B67F-A62EFF666E3E}">
          <x14:id>{192ACEE8-198C-45F1-959F-5AD60A9D4EAB}</x14:id>
        </ext>
      </extLst>
    </cfRule>
  </conditionalFormatting>
  <conditionalFormatting sqref="AL209:AM209">
    <cfRule type="dataBar" priority="29">
      <dataBar>
        <cfvo type="min"/>
        <cfvo type="formula" val="$AR$97"/>
        <color rgb="FF63C384"/>
      </dataBar>
      <extLst>
        <ext xmlns:x14="http://schemas.microsoft.com/office/spreadsheetml/2009/9/main" uri="{B025F937-C7B1-47D3-B67F-A62EFF666E3E}">
          <x14:id>{F380DC2D-F246-4572-BF65-22FB632A6AC7}</x14:id>
        </ext>
      </extLst>
    </cfRule>
  </conditionalFormatting>
  <conditionalFormatting sqref="AL210:AM210">
    <cfRule type="dataBar" priority="28">
      <dataBar>
        <cfvo type="min"/>
        <cfvo type="formula" val="$AR$98"/>
        <color rgb="FF63C384"/>
      </dataBar>
      <extLst>
        <ext xmlns:x14="http://schemas.microsoft.com/office/spreadsheetml/2009/9/main" uri="{B025F937-C7B1-47D3-B67F-A62EFF666E3E}">
          <x14:id>{E0D3E917-18FB-4D3F-8696-0DC35D22860F}</x14:id>
        </ext>
      </extLst>
    </cfRule>
  </conditionalFormatting>
  <conditionalFormatting sqref="AL211:AM211">
    <cfRule type="dataBar" priority="27">
      <dataBar>
        <cfvo type="min"/>
        <cfvo type="formula" val="$AR$99"/>
        <color rgb="FF63C384"/>
      </dataBar>
      <extLst>
        <ext xmlns:x14="http://schemas.microsoft.com/office/spreadsheetml/2009/9/main" uri="{B025F937-C7B1-47D3-B67F-A62EFF666E3E}">
          <x14:id>{47EB5E07-19B7-49F6-82B1-4F5E6B09361D}</x14:id>
        </ext>
      </extLst>
    </cfRule>
  </conditionalFormatting>
  <conditionalFormatting sqref="AL212:AM212">
    <cfRule type="dataBar" priority="26">
      <dataBar>
        <cfvo type="min"/>
        <cfvo type="formula" val="$AR$100"/>
        <color rgb="FF63C384"/>
      </dataBar>
      <extLst>
        <ext xmlns:x14="http://schemas.microsoft.com/office/spreadsheetml/2009/9/main" uri="{B025F937-C7B1-47D3-B67F-A62EFF666E3E}">
          <x14:id>{9E1CFA9E-C328-42FC-86F7-F953CFFBE5F1}</x14:id>
        </ext>
      </extLst>
    </cfRule>
  </conditionalFormatting>
  <conditionalFormatting sqref="AL213:AM213">
    <cfRule type="dataBar" priority="25">
      <dataBar>
        <cfvo type="min"/>
        <cfvo type="formula" val="$AR$101"/>
        <color rgb="FF63C384"/>
      </dataBar>
      <extLst>
        <ext xmlns:x14="http://schemas.microsoft.com/office/spreadsheetml/2009/9/main" uri="{B025F937-C7B1-47D3-B67F-A62EFF666E3E}">
          <x14:id>{9AD18103-5042-4CED-BA79-49DDA3CFC913}</x14:id>
        </ext>
      </extLst>
    </cfRule>
  </conditionalFormatting>
  <conditionalFormatting sqref="AL214:AM214">
    <cfRule type="dataBar" priority="24">
      <dataBar>
        <cfvo type="min"/>
        <cfvo type="formula" val="$AR$102"/>
        <color rgb="FF63C384"/>
      </dataBar>
      <extLst>
        <ext xmlns:x14="http://schemas.microsoft.com/office/spreadsheetml/2009/9/main" uri="{B025F937-C7B1-47D3-B67F-A62EFF666E3E}">
          <x14:id>{07C47690-ECE2-4503-9DDA-50BA404ABBE5}</x14:id>
        </ext>
      </extLst>
    </cfRule>
  </conditionalFormatting>
  <conditionalFormatting sqref="AL215:AM215">
    <cfRule type="dataBar" priority="23">
      <dataBar>
        <cfvo type="min"/>
        <cfvo type="formula" val="$AR$103"/>
        <color rgb="FF63C384"/>
      </dataBar>
      <extLst>
        <ext xmlns:x14="http://schemas.microsoft.com/office/spreadsheetml/2009/9/main" uri="{B025F937-C7B1-47D3-B67F-A62EFF666E3E}">
          <x14:id>{B1432BA3-4C0C-48C0-8B77-E0EB56FE549D}</x14:id>
        </ext>
      </extLst>
    </cfRule>
  </conditionalFormatting>
  <conditionalFormatting sqref="AL216:AM216">
    <cfRule type="dataBar" priority="22">
      <dataBar>
        <cfvo type="min"/>
        <cfvo type="formula" val="$AR$104"/>
        <color rgb="FF63C384"/>
      </dataBar>
      <extLst>
        <ext xmlns:x14="http://schemas.microsoft.com/office/spreadsheetml/2009/9/main" uri="{B025F937-C7B1-47D3-B67F-A62EFF666E3E}">
          <x14:id>{F55B2335-EC9A-4F5C-BAFF-91A9F835C818}</x14:id>
        </ext>
      </extLst>
    </cfRule>
  </conditionalFormatting>
  <conditionalFormatting sqref="AL217:AM217">
    <cfRule type="dataBar" priority="21">
      <dataBar>
        <cfvo type="min"/>
        <cfvo type="formula" val="$AR$105"/>
        <color rgb="FF63C384"/>
      </dataBar>
      <extLst>
        <ext xmlns:x14="http://schemas.microsoft.com/office/spreadsheetml/2009/9/main" uri="{B025F937-C7B1-47D3-B67F-A62EFF666E3E}">
          <x14:id>{C0D451D2-C325-44C0-A339-50A61FAA60F2}</x14:id>
        </ext>
      </extLst>
    </cfRule>
  </conditionalFormatting>
  <conditionalFormatting sqref="AL218:AM218">
    <cfRule type="dataBar" priority="20">
      <dataBar>
        <cfvo type="min"/>
        <cfvo type="formula" val="$AR$106"/>
        <color rgb="FF63C384"/>
      </dataBar>
      <extLst>
        <ext xmlns:x14="http://schemas.microsoft.com/office/spreadsheetml/2009/9/main" uri="{B025F937-C7B1-47D3-B67F-A62EFF666E3E}">
          <x14:id>{3FDBF6B8-4FFD-4F5D-B6EA-C7A3C7301B2F}</x14:id>
        </ext>
      </extLst>
    </cfRule>
  </conditionalFormatting>
  <conditionalFormatting sqref="AL219:AM219">
    <cfRule type="dataBar" priority="19">
      <dataBar>
        <cfvo type="min"/>
        <cfvo type="formula" val="$AR$107"/>
        <color rgb="FF63C384"/>
      </dataBar>
      <extLst>
        <ext xmlns:x14="http://schemas.microsoft.com/office/spreadsheetml/2009/9/main" uri="{B025F937-C7B1-47D3-B67F-A62EFF666E3E}">
          <x14:id>{D9F7F8B9-107D-49E3-882E-46F4DCDF8883}</x14:id>
        </ext>
      </extLst>
    </cfRule>
  </conditionalFormatting>
  <conditionalFormatting sqref="AL220:AM220">
    <cfRule type="dataBar" priority="18">
      <dataBar>
        <cfvo type="min"/>
        <cfvo type="formula" val="$AR$108"/>
        <color rgb="FF63C384"/>
      </dataBar>
      <extLst>
        <ext xmlns:x14="http://schemas.microsoft.com/office/spreadsheetml/2009/9/main" uri="{B025F937-C7B1-47D3-B67F-A62EFF666E3E}">
          <x14:id>{CDDC8F98-AB46-49C4-B911-48204BE18918}</x14:id>
        </ext>
      </extLst>
    </cfRule>
  </conditionalFormatting>
  <conditionalFormatting sqref="AL221:AM221">
    <cfRule type="dataBar" priority="36">
      <dataBar>
        <cfvo type="min"/>
        <cfvo type="formula" val="$AR$109"/>
        <color rgb="FF63C384"/>
      </dataBar>
      <extLst>
        <ext xmlns:x14="http://schemas.microsoft.com/office/spreadsheetml/2009/9/main" uri="{B025F937-C7B1-47D3-B67F-A62EFF666E3E}">
          <x14:id>{EBC7F090-2EFB-4418-8938-3530BD03C729}</x14:id>
        </ext>
      </extLst>
    </cfRule>
  </conditionalFormatting>
  <conditionalFormatting sqref="AL223:AM223">
    <cfRule type="dataBar" priority="37">
      <dataBar>
        <cfvo type="min"/>
        <cfvo type="formula" val="$AR$111"/>
        <color rgb="FF63C384"/>
      </dataBar>
      <extLst>
        <ext xmlns:x14="http://schemas.microsoft.com/office/spreadsheetml/2009/9/main" uri="{B025F937-C7B1-47D3-B67F-A62EFF666E3E}">
          <x14:id>{E4E1EFF4-0102-4A56-855A-209C9F41513E}</x14:id>
        </ext>
      </extLst>
    </cfRule>
  </conditionalFormatting>
  <conditionalFormatting sqref="AL224:AM224">
    <cfRule type="dataBar" priority="38">
      <dataBar>
        <cfvo type="min"/>
        <cfvo type="formula" val="$AR$112"/>
        <color rgb="FF63C384"/>
      </dataBar>
      <extLst>
        <ext xmlns:x14="http://schemas.microsoft.com/office/spreadsheetml/2009/9/main" uri="{B025F937-C7B1-47D3-B67F-A62EFF666E3E}">
          <x14:id>{E9658A4D-4FDA-4550-89C0-94F3D500C240}</x14:id>
        </ext>
      </extLst>
    </cfRule>
  </conditionalFormatting>
  <conditionalFormatting sqref="AL225:AM225">
    <cfRule type="dataBar" priority="39">
      <dataBar>
        <cfvo type="min"/>
        <cfvo type="formula" val="$AR$113"/>
        <color rgb="FF63C384"/>
      </dataBar>
      <extLst>
        <ext xmlns:x14="http://schemas.microsoft.com/office/spreadsheetml/2009/9/main" uri="{B025F937-C7B1-47D3-B67F-A62EFF666E3E}">
          <x14:id>{925E9D4F-D78E-4A27-A1DA-E95DF634EDEC}</x14:id>
        </ext>
      </extLst>
    </cfRule>
  </conditionalFormatting>
  <conditionalFormatting sqref="AL226:AM226">
    <cfRule type="dataBar" priority="40">
      <dataBar>
        <cfvo type="min"/>
        <cfvo type="formula" val="$AR$114"/>
        <color rgb="FF63C384"/>
      </dataBar>
      <extLst>
        <ext xmlns:x14="http://schemas.microsoft.com/office/spreadsheetml/2009/9/main" uri="{B025F937-C7B1-47D3-B67F-A62EFF666E3E}">
          <x14:id>{15064F86-0BE3-4C9F-898C-72C2788E0329}</x14:id>
        </ext>
      </extLst>
    </cfRule>
  </conditionalFormatting>
  <conditionalFormatting sqref="AL227:AM227">
    <cfRule type="dataBar" priority="41">
      <dataBar>
        <cfvo type="min"/>
        <cfvo type="formula" val="$AR$115"/>
        <color rgb="FF63C384"/>
      </dataBar>
      <extLst>
        <ext xmlns:x14="http://schemas.microsoft.com/office/spreadsheetml/2009/9/main" uri="{B025F937-C7B1-47D3-B67F-A62EFF666E3E}">
          <x14:id>{E6E94AD0-2083-411C-873E-4FE9E99F2647}</x14:id>
        </ext>
      </extLst>
    </cfRule>
  </conditionalFormatting>
  <conditionalFormatting sqref="AL228:AM228">
    <cfRule type="dataBar" priority="42">
      <dataBar>
        <cfvo type="min"/>
        <cfvo type="formula" val="$AR$116"/>
        <color rgb="FF63C384"/>
      </dataBar>
      <extLst>
        <ext xmlns:x14="http://schemas.microsoft.com/office/spreadsheetml/2009/9/main" uri="{B025F937-C7B1-47D3-B67F-A62EFF666E3E}">
          <x14:id>{2FA22C5F-E649-414C-8F9D-0F8A86FC9534}</x14:id>
        </ext>
      </extLst>
    </cfRule>
  </conditionalFormatting>
  <conditionalFormatting sqref="AL229:AM229">
    <cfRule type="dataBar" priority="17">
      <dataBar>
        <cfvo type="min"/>
        <cfvo type="formula" val="$AR$117"/>
        <color rgb="FF63C384"/>
      </dataBar>
      <extLst>
        <ext xmlns:x14="http://schemas.microsoft.com/office/spreadsheetml/2009/9/main" uri="{B025F937-C7B1-47D3-B67F-A62EFF666E3E}">
          <x14:id>{71321F70-F3F0-4F3F-8FE6-03E8DD96EEC7}</x14:id>
        </ext>
      </extLst>
    </cfRule>
  </conditionalFormatting>
  <conditionalFormatting sqref="AL230:AM230">
    <cfRule type="dataBar" priority="16">
      <dataBar>
        <cfvo type="min"/>
        <cfvo type="formula" val="$AR$118"/>
        <color rgb="FF63C384"/>
      </dataBar>
      <extLst>
        <ext xmlns:x14="http://schemas.microsoft.com/office/spreadsheetml/2009/9/main" uri="{B025F937-C7B1-47D3-B67F-A62EFF666E3E}">
          <x14:id>{D78C94B4-E109-4B57-9BA5-51173015BAC7}</x14:id>
        </ext>
      </extLst>
    </cfRule>
  </conditionalFormatting>
  <conditionalFormatting sqref="AL231:AM231">
    <cfRule type="dataBar" priority="15">
      <dataBar>
        <cfvo type="min"/>
        <cfvo type="formula" val="$AR$119"/>
        <color rgb="FF63C384"/>
      </dataBar>
      <extLst>
        <ext xmlns:x14="http://schemas.microsoft.com/office/spreadsheetml/2009/9/main" uri="{B025F937-C7B1-47D3-B67F-A62EFF666E3E}">
          <x14:id>{07B37D33-400D-4DBF-8F89-0FC5CE056937}</x14:id>
        </ext>
      </extLst>
    </cfRule>
  </conditionalFormatting>
  <conditionalFormatting sqref="AL232:AM232">
    <cfRule type="dataBar" priority="14">
      <dataBar>
        <cfvo type="min"/>
        <cfvo type="formula" val="$AR$120"/>
        <color rgb="FF63C384"/>
      </dataBar>
      <extLst>
        <ext xmlns:x14="http://schemas.microsoft.com/office/spreadsheetml/2009/9/main" uri="{B025F937-C7B1-47D3-B67F-A62EFF666E3E}">
          <x14:id>{1F903DE9-FABC-4D6B-A38D-C4ACA9BE0C4A}</x14:id>
        </ext>
      </extLst>
    </cfRule>
  </conditionalFormatting>
  <conditionalFormatting sqref="AL233:AM233">
    <cfRule type="dataBar" priority="13">
      <dataBar>
        <cfvo type="min"/>
        <cfvo type="formula" val="$AR$121"/>
        <color rgb="FF63C384"/>
      </dataBar>
      <extLst>
        <ext xmlns:x14="http://schemas.microsoft.com/office/spreadsheetml/2009/9/main" uri="{B025F937-C7B1-47D3-B67F-A62EFF666E3E}">
          <x14:id>{361EB7D3-A3A4-40CE-BB4D-C26F6F651C99}</x14:id>
        </ext>
      </extLst>
    </cfRule>
  </conditionalFormatting>
  <conditionalFormatting sqref="AL234:AM234">
    <cfRule type="dataBar" priority="12">
      <dataBar>
        <cfvo type="min"/>
        <cfvo type="formula" val="$AR$122"/>
        <color rgb="FF63C384"/>
      </dataBar>
      <extLst>
        <ext xmlns:x14="http://schemas.microsoft.com/office/spreadsheetml/2009/9/main" uri="{B025F937-C7B1-47D3-B67F-A62EFF666E3E}">
          <x14:id>{C4BBE95A-1CEA-40AE-9000-F80245A2410C}</x14:id>
        </ext>
      </extLst>
    </cfRule>
  </conditionalFormatting>
  <conditionalFormatting sqref="AL235:AM235">
    <cfRule type="dataBar" priority="43">
      <dataBar>
        <cfvo type="min"/>
        <cfvo type="formula" val="$AR$123"/>
        <color rgb="FF63C384"/>
      </dataBar>
      <extLst>
        <ext xmlns:x14="http://schemas.microsoft.com/office/spreadsheetml/2009/9/main" uri="{B025F937-C7B1-47D3-B67F-A62EFF666E3E}">
          <x14:id>{B1448324-A60A-44A1-BD39-BE478E12A673}</x14:id>
        </ext>
      </extLst>
    </cfRule>
  </conditionalFormatting>
  <conditionalFormatting sqref="AL236:AM236">
    <cfRule type="dataBar" priority="44">
      <dataBar>
        <cfvo type="min"/>
        <cfvo type="formula" val="$AR$124"/>
        <color rgb="FF63C384"/>
      </dataBar>
      <extLst>
        <ext xmlns:x14="http://schemas.microsoft.com/office/spreadsheetml/2009/9/main" uri="{B025F937-C7B1-47D3-B67F-A62EFF666E3E}">
          <x14:id>{939C9B8E-A501-4E5F-9003-77059B153499}</x14:id>
        </ext>
      </extLst>
    </cfRule>
  </conditionalFormatting>
  <conditionalFormatting sqref="AL237:AM237">
    <cfRule type="dataBar" priority="45">
      <dataBar>
        <cfvo type="min"/>
        <cfvo type="formula" val="$AR$125"/>
        <color rgb="FF63C384"/>
      </dataBar>
      <extLst>
        <ext xmlns:x14="http://schemas.microsoft.com/office/spreadsheetml/2009/9/main" uri="{B025F937-C7B1-47D3-B67F-A62EFF666E3E}">
          <x14:id>{2B50C96A-3F76-4347-B0DA-E409FF644C95}</x14:id>
        </ext>
      </extLst>
    </cfRule>
  </conditionalFormatting>
  <conditionalFormatting sqref="AL238:AM238">
    <cfRule type="dataBar" priority="46">
      <dataBar>
        <cfvo type="min"/>
        <cfvo type="formula" val="$AR$126"/>
        <color rgb="FF63C384"/>
      </dataBar>
      <extLst>
        <ext xmlns:x14="http://schemas.microsoft.com/office/spreadsheetml/2009/9/main" uri="{B025F937-C7B1-47D3-B67F-A62EFF666E3E}">
          <x14:id>{41879F31-A10D-4584-9DF8-CDA1D688F658}</x14:id>
        </ext>
      </extLst>
    </cfRule>
  </conditionalFormatting>
  <conditionalFormatting sqref="AL239:AM239">
    <cfRule type="dataBar" priority="47">
      <dataBar>
        <cfvo type="min"/>
        <cfvo type="formula" val="$AR$127"/>
        <color rgb="FF63C384"/>
      </dataBar>
      <extLst>
        <ext xmlns:x14="http://schemas.microsoft.com/office/spreadsheetml/2009/9/main" uri="{B025F937-C7B1-47D3-B67F-A62EFF666E3E}">
          <x14:id>{31B69C37-9D10-4089-AD96-0CC980A832BD}</x14:id>
        </ext>
      </extLst>
    </cfRule>
  </conditionalFormatting>
  <conditionalFormatting sqref="AL240:AM240">
    <cfRule type="dataBar" priority="48">
      <dataBar>
        <cfvo type="min"/>
        <cfvo type="formula" val="$AR$128"/>
        <color rgb="FF63C384"/>
      </dataBar>
      <extLst>
        <ext xmlns:x14="http://schemas.microsoft.com/office/spreadsheetml/2009/9/main" uri="{B025F937-C7B1-47D3-B67F-A62EFF666E3E}">
          <x14:id>{3A434006-F4A0-4517-B813-68EF84ABBDC9}</x14:id>
        </ext>
      </extLst>
    </cfRule>
  </conditionalFormatting>
  <conditionalFormatting sqref="AL241:AM241">
    <cfRule type="dataBar" priority="49">
      <dataBar>
        <cfvo type="min"/>
        <cfvo type="formula" val="$AR$129"/>
        <color rgb="FF63C384"/>
      </dataBar>
      <extLst>
        <ext xmlns:x14="http://schemas.microsoft.com/office/spreadsheetml/2009/9/main" uri="{B025F937-C7B1-47D3-B67F-A62EFF666E3E}">
          <x14:id>{03A6D5C5-71BB-4119-8EA9-BC5DE3C0AE92}</x14:id>
        </ext>
      </extLst>
    </cfRule>
  </conditionalFormatting>
  <conditionalFormatting sqref="AL242:AM242">
    <cfRule type="dataBar" priority="50">
      <dataBar>
        <cfvo type="min"/>
        <cfvo type="formula" val="$AR$130"/>
        <color rgb="FF63C384"/>
      </dataBar>
      <extLst>
        <ext xmlns:x14="http://schemas.microsoft.com/office/spreadsheetml/2009/9/main" uri="{B025F937-C7B1-47D3-B67F-A62EFF666E3E}">
          <x14:id>{C916097F-8F06-4244-8EA5-0D83E3BC00C8}</x14:id>
        </ext>
      </extLst>
    </cfRule>
  </conditionalFormatting>
  <conditionalFormatting sqref="AL243:AM243">
    <cfRule type="dataBar" priority="51">
      <dataBar>
        <cfvo type="min"/>
        <cfvo type="formula" val="$AR$131"/>
        <color rgb="FF63C384"/>
      </dataBar>
      <extLst>
        <ext xmlns:x14="http://schemas.microsoft.com/office/spreadsheetml/2009/9/main" uri="{B025F937-C7B1-47D3-B67F-A62EFF666E3E}">
          <x14:id>{5FF530AF-5DA0-4110-ABAD-2BFB785088CA}</x14:id>
        </ext>
      </extLst>
    </cfRule>
  </conditionalFormatting>
  <conditionalFormatting sqref="AL244:AM244">
    <cfRule type="dataBar" priority="52">
      <dataBar>
        <cfvo type="min"/>
        <cfvo type="formula" val="$AR$132"/>
        <color rgb="FF63C384"/>
      </dataBar>
      <extLst>
        <ext xmlns:x14="http://schemas.microsoft.com/office/spreadsheetml/2009/9/main" uri="{B025F937-C7B1-47D3-B67F-A62EFF666E3E}">
          <x14:id>{ABCEC566-D391-4A3F-8A13-8B7F3691D647}</x14:id>
        </ext>
      </extLst>
    </cfRule>
  </conditionalFormatting>
  <conditionalFormatting sqref="AL245:AM245">
    <cfRule type="dataBar" priority="53">
      <dataBar>
        <cfvo type="min"/>
        <cfvo type="formula" val="$AR$133"/>
        <color rgb="FF63C384"/>
      </dataBar>
      <extLst>
        <ext xmlns:x14="http://schemas.microsoft.com/office/spreadsheetml/2009/9/main" uri="{B025F937-C7B1-47D3-B67F-A62EFF666E3E}">
          <x14:id>{C0649F28-9189-4BF9-AF10-EDEC7B18C6E7}</x14:id>
        </ext>
      </extLst>
    </cfRule>
  </conditionalFormatting>
  <conditionalFormatting sqref="AL246:AM246">
    <cfRule type="dataBar" priority="54">
      <dataBar>
        <cfvo type="min"/>
        <cfvo type="formula" val="$AR$134"/>
        <color rgb="FF63C384"/>
      </dataBar>
      <extLst>
        <ext xmlns:x14="http://schemas.microsoft.com/office/spreadsheetml/2009/9/main" uri="{B025F937-C7B1-47D3-B67F-A62EFF666E3E}">
          <x14:id>{F7946478-7DF6-4916-A4B0-439543510F5D}</x14:id>
        </ext>
      </extLst>
    </cfRule>
  </conditionalFormatting>
  <conditionalFormatting sqref="AL247:AM247">
    <cfRule type="dataBar" priority="55">
      <dataBar>
        <cfvo type="min"/>
        <cfvo type="formula" val="$AR$135"/>
        <color rgb="FF63C384"/>
      </dataBar>
      <extLst>
        <ext xmlns:x14="http://schemas.microsoft.com/office/spreadsheetml/2009/9/main" uri="{B025F937-C7B1-47D3-B67F-A62EFF666E3E}">
          <x14:id>{BB77E542-CAB6-49C8-9906-E513770B20D9}</x14:id>
        </ext>
      </extLst>
    </cfRule>
  </conditionalFormatting>
  <conditionalFormatting sqref="AL248:AM248">
    <cfRule type="dataBar" priority="11">
      <dataBar>
        <cfvo type="min"/>
        <cfvo type="formula" val="$AR$136"/>
        <color rgb="FF63C384"/>
      </dataBar>
      <extLst>
        <ext xmlns:x14="http://schemas.microsoft.com/office/spreadsheetml/2009/9/main" uri="{B025F937-C7B1-47D3-B67F-A62EFF666E3E}">
          <x14:id>{33F9B5E2-010C-43E0-A7AB-FABCCFC84817}</x14:id>
        </ext>
      </extLst>
    </cfRule>
  </conditionalFormatting>
  <conditionalFormatting sqref="AL249:AM249">
    <cfRule type="dataBar" priority="56">
      <dataBar>
        <cfvo type="min"/>
        <cfvo type="formula" val="$AR$137"/>
        <color rgb="FF63C384"/>
      </dataBar>
      <extLst>
        <ext xmlns:x14="http://schemas.microsoft.com/office/spreadsheetml/2009/9/main" uri="{B025F937-C7B1-47D3-B67F-A62EFF666E3E}">
          <x14:id>{C86567EC-E7CB-4C4E-9A02-A848EDE460E3}</x14:id>
        </ext>
      </extLst>
    </cfRule>
  </conditionalFormatting>
  <conditionalFormatting sqref="AL250:AM250">
    <cfRule type="dataBar" priority="57">
      <dataBar>
        <cfvo type="min"/>
        <cfvo type="formula" val="$AR$138"/>
        <color rgb="FF63C384"/>
      </dataBar>
      <extLst>
        <ext xmlns:x14="http://schemas.microsoft.com/office/spreadsheetml/2009/9/main" uri="{B025F937-C7B1-47D3-B67F-A62EFF666E3E}">
          <x14:id>{6E257BE1-1E87-4370-B331-ABA9242EB6D7}</x14:id>
        </ext>
      </extLst>
    </cfRule>
  </conditionalFormatting>
  <conditionalFormatting sqref="AL251:AM251">
    <cfRule type="dataBar" priority="58">
      <dataBar>
        <cfvo type="min"/>
        <cfvo type="formula" val="$AR$139"/>
        <color rgb="FF63C384"/>
      </dataBar>
      <extLst>
        <ext xmlns:x14="http://schemas.microsoft.com/office/spreadsheetml/2009/9/main" uri="{B025F937-C7B1-47D3-B67F-A62EFF666E3E}">
          <x14:id>{92F12EF9-7E6E-4DEB-BCBA-B4A6F6AFFED7}</x14:id>
        </ext>
      </extLst>
    </cfRule>
  </conditionalFormatting>
  <conditionalFormatting sqref="AL252:AM252">
    <cfRule type="dataBar" priority="59">
      <dataBar>
        <cfvo type="min"/>
        <cfvo type="formula" val="$AR$140"/>
        <color rgb="FF63C384"/>
      </dataBar>
      <extLst>
        <ext xmlns:x14="http://schemas.microsoft.com/office/spreadsheetml/2009/9/main" uri="{B025F937-C7B1-47D3-B67F-A62EFF666E3E}">
          <x14:id>{0830B47F-C610-4638-9726-6217786C5978}</x14:id>
        </ext>
      </extLst>
    </cfRule>
  </conditionalFormatting>
  <conditionalFormatting sqref="AL253:AM253">
    <cfRule type="dataBar" priority="60">
      <dataBar>
        <cfvo type="min"/>
        <cfvo type="formula" val="$AR$141"/>
        <color rgb="FF63C384"/>
      </dataBar>
      <extLst>
        <ext xmlns:x14="http://schemas.microsoft.com/office/spreadsheetml/2009/9/main" uri="{B025F937-C7B1-47D3-B67F-A62EFF666E3E}">
          <x14:id>{A8B67AE8-C08C-4CE0-A9F6-8E8AC504B2F8}</x14:id>
        </ext>
      </extLst>
    </cfRule>
  </conditionalFormatting>
  <conditionalFormatting sqref="AL254:AM254">
    <cfRule type="dataBar" priority="61">
      <dataBar>
        <cfvo type="min"/>
        <cfvo type="formula" val="$AR$142"/>
        <color rgb="FF63C384"/>
      </dataBar>
      <extLst>
        <ext xmlns:x14="http://schemas.microsoft.com/office/spreadsheetml/2009/9/main" uri="{B025F937-C7B1-47D3-B67F-A62EFF666E3E}">
          <x14:id>{3C737E17-A44E-4C32-BF4A-AF42B8F3155F}</x14:id>
        </ext>
      </extLst>
    </cfRule>
  </conditionalFormatting>
  <conditionalFormatting sqref="AL255:AM255">
    <cfRule type="dataBar" priority="62">
      <dataBar>
        <cfvo type="min"/>
        <cfvo type="formula" val="$AR$143"/>
        <color rgb="FF63C384"/>
      </dataBar>
      <extLst>
        <ext xmlns:x14="http://schemas.microsoft.com/office/spreadsheetml/2009/9/main" uri="{B025F937-C7B1-47D3-B67F-A62EFF666E3E}">
          <x14:id>{B68D1ED6-4914-4DA5-8FD2-8ABAC9C247C8}</x14:id>
        </ext>
      </extLst>
    </cfRule>
  </conditionalFormatting>
  <conditionalFormatting sqref="AL256:AM256">
    <cfRule type="dataBar" priority="63">
      <dataBar>
        <cfvo type="min"/>
        <cfvo type="formula" val="$AR$144"/>
        <color rgb="FF63C384"/>
      </dataBar>
      <extLst>
        <ext xmlns:x14="http://schemas.microsoft.com/office/spreadsheetml/2009/9/main" uri="{B025F937-C7B1-47D3-B67F-A62EFF666E3E}">
          <x14:id>{FF7983DE-2B5F-4657-984F-F820B984F2D1}</x14:id>
        </ext>
      </extLst>
    </cfRule>
  </conditionalFormatting>
  <conditionalFormatting sqref="AL257:AM257">
    <cfRule type="dataBar" priority="64">
      <dataBar>
        <cfvo type="min"/>
        <cfvo type="formula" val="$AR$145"/>
        <color rgb="FF63C384"/>
      </dataBar>
      <extLst>
        <ext xmlns:x14="http://schemas.microsoft.com/office/spreadsheetml/2009/9/main" uri="{B025F937-C7B1-47D3-B67F-A62EFF666E3E}">
          <x14:id>{74F22973-030B-47C7-8429-13E258BD88BB}</x14:id>
        </ext>
      </extLst>
    </cfRule>
  </conditionalFormatting>
  <conditionalFormatting sqref="AL258:AM258">
    <cfRule type="dataBar" priority="10">
      <dataBar>
        <cfvo type="min"/>
        <cfvo type="formula" val="$AR$146"/>
        <color rgb="FF63C384"/>
      </dataBar>
      <extLst>
        <ext xmlns:x14="http://schemas.microsoft.com/office/spreadsheetml/2009/9/main" uri="{B025F937-C7B1-47D3-B67F-A62EFF666E3E}">
          <x14:id>{3276921D-A338-4075-BCD0-61830E33554E}</x14:id>
        </ext>
      </extLst>
    </cfRule>
  </conditionalFormatting>
  <conditionalFormatting sqref="AL259:AM259">
    <cfRule type="dataBar" priority="9">
      <dataBar>
        <cfvo type="min"/>
        <cfvo type="formula" val="$AR$147"/>
        <color rgb="FF63C384"/>
      </dataBar>
      <extLst>
        <ext xmlns:x14="http://schemas.microsoft.com/office/spreadsheetml/2009/9/main" uri="{B025F937-C7B1-47D3-B67F-A62EFF666E3E}">
          <x14:id>{528BAC12-5559-4D42-92C9-7FDDC759AA4D}</x14:id>
        </ext>
      </extLst>
    </cfRule>
  </conditionalFormatting>
  <conditionalFormatting sqref="AL260:AM260">
    <cfRule type="dataBar" priority="65">
      <dataBar>
        <cfvo type="min"/>
        <cfvo type="formula" val="$AR$148"/>
        <color rgb="FF63C384"/>
      </dataBar>
      <extLst>
        <ext xmlns:x14="http://schemas.microsoft.com/office/spreadsheetml/2009/9/main" uri="{B025F937-C7B1-47D3-B67F-A62EFF666E3E}">
          <x14:id>{71F99864-012D-4097-B39A-F6509D1E8805}</x14:id>
        </ext>
      </extLst>
    </cfRule>
  </conditionalFormatting>
  <conditionalFormatting sqref="AL261:AM261">
    <cfRule type="dataBar" priority="66">
      <dataBar>
        <cfvo type="min"/>
        <cfvo type="formula" val="$AR$149"/>
        <color rgb="FF63C384"/>
      </dataBar>
      <extLst>
        <ext xmlns:x14="http://schemas.microsoft.com/office/spreadsheetml/2009/9/main" uri="{B025F937-C7B1-47D3-B67F-A62EFF666E3E}">
          <x14:id>{C50F83F8-3707-4FA8-A706-577A1AD7342F}</x14:id>
        </ext>
      </extLst>
    </cfRule>
  </conditionalFormatting>
  <conditionalFormatting sqref="AL262:AM262">
    <cfRule type="dataBar" priority="67">
      <dataBar>
        <cfvo type="min"/>
        <cfvo type="formula" val="$AR$150"/>
        <color rgb="FF63C384"/>
      </dataBar>
      <extLst>
        <ext xmlns:x14="http://schemas.microsoft.com/office/spreadsheetml/2009/9/main" uri="{B025F937-C7B1-47D3-B67F-A62EFF666E3E}">
          <x14:id>{5E200E85-4C11-4864-B03A-DF8E24DB9A2C}</x14:id>
        </ext>
      </extLst>
    </cfRule>
  </conditionalFormatting>
  <conditionalFormatting sqref="AL263:AM263">
    <cfRule type="dataBar" priority="68">
      <dataBar>
        <cfvo type="min"/>
        <cfvo type="formula" val="$AR$151"/>
        <color rgb="FF63C384"/>
      </dataBar>
      <extLst>
        <ext xmlns:x14="http://schemas.microsoft.com/office/spreadsheetml/2009/9/main" uri="{B025F937-C7B1-47D3-B67F-A62EFF666E3E}">
          <x14:id>{B0D45F34-AA3F-4654-A2EF-EB987849AF2D}</x14:id>
        </ext>
      </extLst>
    </cfRule>
  </conditionalFormatting>
  <conditionalFormatting sqref="AL264:AM264">
    <cfRule type="dataBar" priority="69">
      <dataBar>
        <cfvo type="min"/>
        <cfvo type="formula" val="$AR$152"/>
        <color rgb="FF63C384"/>
      </dataBar>
      <extLst>
        <ext xmlns:x14="http://schemas.microsoft.com/office/spreadsheetml/2009/9/main" uri="{B025F937-C7B1-47D3-B67F-A62EFF666E3E}">
          <x14:id>{FC31CB8F-5637-4380-8969-5EACA016A393}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27FA6EC-4AC4-44D7-8D34-953C53AC8A57}">
            <x14:dataBar minLength="0" maxLength="100" gradient="0" direction="leftToRight">
              <x14:cfvo type="autoMin"/>
              <x14:cfvo type="formula">
                <xm:f>$AR$91</xm:f>
              </x14:cfvo>
              <x14:negativeFillColor rgb="FFFF0000"/>
              <x14:axisColor rgb="FF000000"/>
            </x14:dataBar>
          </x14:cfRule>
          <xm:sqref>AL203:AM203</xm:sqref>
        </x14:conditionalFormatting>
        <x14:conditionalFormatting xmlns:xm="http://schemas.microsoft.com/office/excel/2006/main">
          <x14:cfRule type="dataBar" id="{22D23142-0084-4F81-8668-F8EBF95058B0}">
            <x14:dataBar minLength="0" maxLength="100" gradient="0" direction="leftToRight">
              <x14:cfvo type="autoMin"/>
              <x14:cfvo type="formula">
                <xm:f>$AR$92</xm:f>
              </x14:cfvo>
              <x14:negativeFillColor rgb="FFFF0000"/>
              <x14:axisColor rgb="FF000000"/>
            </x14:dataBar>
          </x14:cfRule>
          <xm:sqref>AL204:AM204</xm:sqref>
        </x14:conditionalFormatting>
        <x14:conditionalFormatting xmlns:xm="http://schemas.microsoft.com/office/excel/2006/main">
          <x14:cfRule type="dataBar" id="{EED65EBA-AE82-4521-B429-0CCD240CEABA}">
            <x14:dataBar minLength="0" maxLength="100" gradient="0" direction="leftToRight">
              <x14:cfvo type="autoMin"/>
              <x14:cfvo type="formula">
                <xm:f>$AN$93</xm:f>
              </x14:cfvo>
              <x14:negativeFillColor rgb="FFFF0000"/>
              <x14:axisColor rgb="FF000000"/>
            </x14:dataBar>
          </x14:cfRule>
          <xm:sqref>AL205:AM205</xm:sqref>
        </x14:conditionalFormatting>
        <x14:conditionalFormatting xmlns:xm="http://schemas.microsoft.com/office/excel/2006/main">
          <x14:cfRule type="dataBar" id="{FFE795BB-A96E-45CA-B28D-E8143EAE4D8F}">
            <x14:dataBar minLength="0" maxLength="100" gradient="0" direction="leftToRight">
              <x14:cfvo type="autoMin"/>
              <x14:cfvo type="formula">
                <xm:f>$AR$94</xm:f>
              </x14:cfvo>
              <x14:negativeFillColor rgb="FFFF0000"/>
              <x14:axisColor rgb="FF000000"/>
            </x14:dataBar>
          </x14:cfRule>
          <xm:sqref>AL206:AM206</xm:sqref>
        </x14:conditionalFormatting>
        <x14:conditionalFormatting xmlns:xm="http://schemas.microsoft.com/office/excel/2006/main">
          <x14:cfRule type="dataBar" id="{CA36987F-C146-442E-B28D-9F7B07BF66DA}">
            <x14:dataBar minLength="0" maxLength="100" gradient="0" direction="leftToRight">
              <x14:cfvo type="autoMin"/>
              <x14:cfvo type="formula">
                <xm:f>$AR$95</xm:f>
              </x14:cfvo>
              <x14:negativeFillColor rgb="FFFF0000"/>
              <x14:axisColor rgb="FF000000"/>
            </x14:dataBar>
          </x14:cfRule>
          <xm:sqref>AL207:AM207</xm:sqref>
        </x14:conditionalFormatting>
        <x14:conditionalFormatting xmlns:xm="http://schemas.microsoft.com/office/excel/2006/main">
          <x14:cfRule type="dataBar" id="{192ACEE8-198C-45F1-959F-5AD60A9D4EAB}">
            <x14:dataBar minLength="0" maxLength="100" gradient="0" direction="leftToRight">
              <x14:cfvo type="autoMin"/>
              <x14:cfvo type="formula">
                <xm:f>$AR$96</xm:f>
              </x14:cfvo>
              <x14:negativeFillColor rgb="FFFF0000"/>
              <x14:axisColor rgb="FF000000"/>
            </x14:dataBar>
          </x14:cfRule>
          <xm:sqref>AL208:AM208</xm:sqref>
        </x14:conditionalFormatting>
        <x14:conditionalFormatting xmlns:xm="http://schemas.microsoft.com/office/excel/2006/main">
          <x14:cfRule type="dataBar" id="{F380DC2D-F246-4572-BF65-22FB632A6AC7}">
            <x14:dataBar minLength="0" maxLength="100" gradient="0" direction="leftToRight">
              <x14:cfvo type="autoMin"/>
              <x14:cfvo type="formula">
                <xm:f>$AR$97</xm:f>
              </x14:cfvo>
              <x14:negativeFillColor rgb="FFFF0000"/>
              <x14:axisColor rgb="FF000000"/>
            </x14:dataBar>
          </x14:cfRule>
          <xm:sqref>AL209:AM209</xm:sqref>
        </x14:conditionalFormatting>
        <x14:conditionalFormatting xmlns:xm="http://schemas.microsoft.com/office/excel/2006/main">
          <x14:cfRule type="dataBar" id="{E0D3E917-18FB-4D3F-8696-0DC35D22860F}">
            <x14:dataBar minLength="0" maxLength="100" gradient="0" direction="leftToRight">
              <x14:cfvo type="autoMin"/>
              <x14:cfvo type="formula">
                <xm:f>$AR$98</xm:f>
              </x14:cfvo>
              <x14:negativeFillColor rgb="FFFF0000"/>
              <x14:axisColor rgb="FF000000"/>
            </x14:dataBar>
          </x14:cfRule>
          <xm:sqref>AL210:AM210</xm:sqref>
        </x14:conditionalFormatting>
        <x14:conditionalFormatting xmlns:xm="http://schemas.microsoft.com/office/excel/2006/main">
          <x14:cfRule type="dataBar" id="{47EB5E07-19B7-49F6-82B1-4F5E6B09361D}">
            <x14:dataBar minLength="0" maxLength="100" gradient="0" direction="leftToRight">
              <x14:cfvo type="autoMin"/>
              <x14:cfvo type="formula">
                <xm:f>$AR$99</xm:f>
              </x14:cfvo>
              <x14:negativeFillColor rgb="FFFF0000"/>
              <x14:axisColor rgb="FF000000"/>
            </x14:dataBar>
          </x14:cfRule>
          <xm:sqref>AL211:AM211</xm:sqref>
        </x14:conditionalFormatting>
        <x14:conditionalFormatting xmlns:xm="http://schemas.microsoft.com/office/excel/2006/main">
          <x14:cfRule type="dataBar" id="{9E1CFA9E-C328-42FC-86F7-F953CFFBE5F1}">
            <x14:dataBar minLength="0" maxLength="100" gradient="0" direction="leftToRight">
              <x14:cfvo type="autoMin"/>
              <x14:cfvo type="formula">
                <xm:f>$AR$100</xm:f>
              </x14:cfvo>
              <x14:negativeFillColor rgb="FFFF0000"/>
              <x14:axisColor rgb="FF000000"/>
            </x14:dataBar>
          </x14:cfRule>
          <xm:sqref>AL212:AM212</xm:sqref>
        </x14:conditionalFormatting>
        <x14:conditionalFormatting xmlns:xm="http://schemas.microsoft.com/office/excel/2006/main">
          <x14:cfRule type="dataBar" id="{9AD18103-5042-4CED-BA79-49DDA3CFC913}">
            <x14:dataBar minLength="0" maxLength="100" gradient="0" direction="leftToRight">
              <x14:cfvo type="autoMin"/>
              <x14:cfvo type="formula">
                <xm:f>$AR$101</xm:f>
              </x14:cfvo>
              <x14:negativeFillColor rgb="FFFF0000"/>
              <x14:axisColor rgb="FF000000"/>
            </x14:dataBar>
          </x14:cfRule>
          <xm:sqref>AL213:AM213</xm:sqref>
        </x14:conditionalFormatting>
        <x14:conditionalFormatting xmlns:xm="http://schemas.microsoft.com/office/excel/2006/main">
          <x14:cfRule type="dataBar" id="{07C47690-ECE2-4503-9DDA-50BA404ABBE5}">
            <x14:dataBar minLength="0" maxLength="100" gradient="0" direction="leftToRight">
              <x14:cfvo type="autoMin"/>
              <x14:cfvo type="formula">
                <xm:f>$AR$102</xm:f>
              </x14:cfvo>
              <x14:negativeFillColor rgb="FFFF0000"/>
              <x14:axisColor rgb="FF000000"/>
            </x14:dataBar>
          </x14:cfRule>
          <xm:sqref>AL214:AM214</xm:sqref>
        </x14:conditionalFormatting>
        <x14:conditionalFormatting xmlns:xm="http://schemas.microsoft.com/office/excel/2006/main">
          <x14:cfRule type="dataBar" id="{B1432BA3-4C0C-48C0-8B77-E0EB56FE549D}">
            <x14:dataBar minLength="0" maxLength="100" gradient="0" direction="leftToRight">
              <x14:cfvo type="autoMin"/>
              <x14:cfvo type="formula">
                <xm:f>$AR$103</xm:f>
              </x14:cfvo>
              <x14:negativeFillColor rgb="FFFF0000"/>
              <x14:axisColor rgb="FF000000"/>
            </x14:dataBar>
          </x14:cfRule>
          <xm:sqref>AL215:AM215</xm:sqref>
        </x14:conditionalFormatting>
        <x14:conditionalFormatting xmlns:xm="http://schemas.microsoft.com/office/excel/2006/main">
          <x14:cfRule type="dataBar" id="{F55B2335-EC9A-4F5C-BAFF-91A9F835C818}">
            <x14:dataBar minLength="0" maxLength="100" gradient="0" direction="leftToRight">
              <x14:cfvo type="autoMin"/>
              <x14:cfvo type="formula">
                <xm:f>$AR$104</xm:f>
              </x14:cfvo>
              <x14:negativeFillColor rgb="FFFF0000"/>
              <x14:axisColor rgb="FF000000"/>
            </x14:dataBar>
          </x14:cfRule>
          <xm:sqref>AL216:AM216</xm:sqref>
        </x14:conditionalFormatting>
        <x14:conditionalFormatting xmlns:xm="http://schemas.microsoft.com/office/excel/2006/main">
          <x14:cfRule type="dataBar" id="{C0D451D2-C325-44C0-A339-50A61FAA60F2}">
            <x14:dataBar minLength="0" maxLength="100" gradient="0" direction="leftToRight">
              <x14:cfvo type="autoMin"/>
              <x14:cfvo type="formula">
                <xm:f>$AR$105</xm:f>
              </x14:cfvo>
              <x14:negativeFillColor rgb="FFFF0000"/>
              <x14:axisColor rgb="FF000000"/>
            </x14:dataBar>
          </x14:cfRule>
          <xm:sqref>AL217:AM217</xm:sqref>
        </x14:conditionalFormatting>
        <x14:conditionalFormatting xmlns:xm="http://schemas.microsoft.com/office/excel/2006/main">
          <x14:cfRule type="dataBar" id="{3FDBF6B8-4FFD-4F5D-B6EA-C7A3C7301B2F}">
            <x14:dataBar minLength="0" maxLength="100" gradient="0" direction="leftToRight">
              <x14:cfvo type="autoMin"/>
              <x14:cfvo type="formula">
                <xm:f>$AR$106</xm:f>
              </x14:cfvo>
              <x14:negativeFillColor rgb="FFFF0000"/>
              <x14:axisColor rgb="FF000000"/>
            </x14:dataBar>
          </x14:cfRule>
          <xm:sqref>AL218:AM218</xm:sqref>
        </x14:conditionalFormatting>
        <x14:conditionalFormatting xmlns:xm="http://schemas.microsoft.com/office/excel/2006/main">
          <x14:cfRule type="dataBar" id="{D9F7F8B9-107D-49E3-882E-46F4DCDF8883}">
            <x14:dataBar minLength="0" maxLength="100" gradient="0" direction="leftToRight">
              <x14:cfvo type="autoMin"/>
              <x14:cfvo type="formula">
                <xm:f>$AR$107</xm:f>
              </x14:cfvo>
              <x14:negativeFillColor rgb="FFFF0000"/>
              <x14:axisColor rgb="FF000000"/>
            </x14:dataBar>
          </x14:cfRule>
          <xm:sqref>AL219:AM219</xm:sqref>
        </x14:conditionalFormatting>
        <x14:conditionalFormatting xmlns:xm="http://schemas.microsoft.com/office/excel/2006/main">
          <x14:cfRule type="dataBar" id="{CDDC8F98-AB46-49C4-B911-48204BE18918}">
            <x14:dataBar minLength="0" maxLength="100" gradient="0" direction="leftToRight">
              <x14:cfvo type="autoMin"/>
              <x14:cfvo type="formula">
                <xm:f>$AR$108</xm:f>
              </x14:cfvo>
              <x14:negativeFillColor rgb="FFFF0000"/>
              <x14:axisColor rgb="FF000000"/>
            </x14:dataBar>
          </x14:cfRule>
          <xm:sqref>AL220:AM220</xm:sqref>
        </x14:conditionalFormatting>
        <x14:conditionalFormatting xmlns:xm="http://schemas.microsoft.com/office/excel/2006/main">
          <x14:cfRule type="dataBar" id="{EBC7F090-2EFB-4418-8938-3530BD03C729}">
            <x14:dataBar minLength="0" maxLength="100" gradient="0" direction="leftToRight">
              <x14:cfvo type="autoMin"/>
              <x14:cfvo type="formula">
                <xm:f>$AR$109</xm:f>
              </x14:cfvo>
              <x14:negativeFillColor rgb="FFFF0000"/>
              <x14:axisColor rgb="FF000000"/>
            </x14:dataBar>
          </x14:cfRule>
          <xm:sqref>AL221:AM221</xm:sqref>
        </x14:conditionalFormatting>
        <x14:conditionalFormatting xmlns:xm="http://schemas.microsoft.com/office/excel/2006/main">
          <x14:cfRule type="dataBar" id="{E4E1EFF4-0102-4A56-855A-209C9F41513E}">
            <x14:dataBar minLength="0" maxLength="100" gradient="0" direction="leftToRight">
              <x14:cfvo type="autoMin"/>
              <x14:cfvo type="formula">
                <xm:f>$AR$111</xm:f>
              </x14:cfvo>
              <x14:negativeFillColor rgb="FFFF0000"/>
              <x14:axisColor rgb="FF000000"/>
            </x14:dataBar>
          </x14:cfRule>
          <xm:sqref>AL223:AM223</xm:sqref>
        </x14:conditionalFormatting>
        <x14:conditionalFormatting xmlns:xm="http://schemas.microsoft.com/office/excel/2006/main">
          <x14:cfRule type="dataBar" id="{E9658A4D-4FDA-4550-89C0-94F3D500C240}">
            <x14:dataBar minLength="0" maxLength="100" gradient="0" direction="leftToRight">
              <x14:cfvo type="autoMin"/>
              <x14:cfvo type="formula">
                <xm:f>$AR$112</xm:f>
              </x14:cfvo>
              <x14:negativeFillColor rgb="FFFF0000"/>
              <x14:axisColor rgb="FF000000"/>
            </x14:dataBar>
          </x14:cfRule>
          <xm:sqref>AL224:AM224</xm:sqref>
        </x14:conditionalFormatting>
        <x14:conditionalFormatting xmlns:xm="http://schemas.microsoft.com/office/excel/2006/main">
          <x14:cfRule type="dataBar" id="{925E9D4F-D78E-4A27-A1DA-E95DF634EDEC}">
            <x14:dataBar minLength="0" maxLength="100" gradient="0" direction="leftToRight">
              <x14:cfvo type="autoMin"/>
              <x14:cfvo type="formula">
                <xm:f>$AR$113</xm:f>
              </x14:cfvo>
              <x14:negativeFillColor rgb="FFFF0000"/>
              <x14:axisColor rgb="FF000000"/>
            </x14:dataBar>
          </x14:cfRule>
          <xm:sqref>AL225:AM225</xm:sqref>
        </x14:conditionalFormatting>
        <x14:conditionalFormatting xmlns:xm="http://schemas.microsoft.com/office/excel/2006/main">
          <x14:cfRule type="dataBar" id="{15064F86-0BE3-4C9F-898C-72C2788E0329}">
            <x14:dataBar minLength="0" maxLength="100" gradient="0" direction="leftToRight">
              <x14:cfvo type="autoMin"/>
              <x14:cfvo type="formula">
                <xm:f>$AR$114</xm:f>
              </x14:cfvo>
              <x14:negativeFillColor rgb="FFFF0000"/>
              <x14:axisColor rgb="FF000000"/>
            </x14:dataBar>
          </x14:cfRule>
          <xm:sqref>AL226:AM226</xm:sqref>
        </x14:conditionalFormatting>
        <x14:conditionalFormatting xmlns:xm="http://schemas.microsoft.com/office/excel/2006/main">
          <x14:cfRule type="dataBar" id="{E6E94AD0-2083-411C-873E-4FE9E99F2647}">
            <x14:dataBar minLength="0" maxLength="100" gradient="0" direction="leftToRight">
              <x14:cfvo type="autoMin"/>
              <x14:cfvo type="formula">
                <xm:f>$AR$115</xm:f>
              </x14:cfvo>
              <x14:negativeFillColor rgb="FFFF0000"/>
              <x14:axisColor rgb="FF000000"/>
            </x14:dataBar>
          </x14:cfRule>
          <xm:sqref>AL227:AM227</xm:sqref>
        </x14:conditionalFormatting>
        <x14:conditionalFormatting xmlns:xm="http://schemas.microsoft.com/office/excel/2006/main">
          <x14:cfRule type="dataBar" id="{2FA22C5F-E649-414C-8F9D-0F8A86FC9534}">
            <x14:dataBar minLength="0" maxLength="100" gradient="0" direction="leftToRight">
              <x14:cfvo type="autoMin"/>
              <x14:cfvo type="formula">
                <xm:f>$AR$116</xm:f>
              </x14:cfvo>
              <x14:negativeFillColor rgb="FFFF0000"/>
              <x14:axisColor rgb="FF000000"/>
            </x14:dataBar>
          </x14:cfRule>
          <xm:sqref>AL228:AM228</xm:sqref>
        </x14:conditionalFormatting>
        <x14:conditionalFormatting xmlns:xm="http://schemas.microsoft.com/office/excel/2006/main">
          <x14:cfRule type="dataBar" id="{71321F70-F3F0-4F3F-8FE6-03E8DD96EEC7}">
            <x14:dataBar minLength="0" maxLength="100" gradient="0" direction="leftToRight">
              <x14:cfvo type="autoMin"/>
              <x14:cfvo type="formula">
                <xm:f>$AR$117</xm:f>
              </x14:cfvo>
              <x14:negativeFillColor rgb="FFFF0000"/>
              <x14:axisColor rgb="FF000000"/>
            </x14:dataBar>
          </x14:cfRule>
          <xm:sqref>AL229:AM229</xm:sqref>
        </x14:conditionalFormatting>
        <x14:conditionalFormatting xmlns:xm="http://schemas.microsoft.com/office/excel/2006/main">
          <x14:cfRule type="dataBar" id="{D78C94B4-E109-4B57-9BA5-51173015BAC7}">
            <x14:dataBar minLength="0" maxLength="100" gradient="0" direction="leftToRight">
              <x14:cfvo type="autoMin"/>
              <x14:cfvo type="formula">
                <xm:f>$AR$118</xm:f>
              </x14:cfvo>
              <x14:negativeFillColor rgb="FFFF0000"/>
              <x14:axisColor rgb="FF000000"/>
            </x14:dataBar>
          </x14:cfRule>
          <xm:sqref>AL230:AM230</xm:sqref>
        </x14:conditionalFormatting>
        <x14:conditionalFormatting xmlns:xm="http://schemas.microsoft.com/office/excel/2006/main">
          <x14:cfRule type="dataBar" id="{07B37D33-400D-4DBF-8F89-0FC5CE056937}">
            <x14:dataBar minLength="0" maxLength="100" gradient="0" direction="leftToRight">
              <x14:cfvo type="autoMin"/>
              <x14:cfvo type="formula">
                <xm:f>$AR$119</xm:f>
              </x14:cfvo>
              <x14:negativeFillColor rgb="FFFF0000"/>
              <x14:axisColor rgb="FF000000"/>
            </x14:dataBar>
          </x14:cfRule>
          <xm:sqref>AL231:AM231</xm:sqref>
        </x14:conditionalFormatting>
        <x14:conditionalFormatting xmlns:xm="http://schemas.microsoft.com/office/excel/2006/main">
          <x14:cfRule type="dataBar" id="{1F903DE9-FABC-4D6B-A38D-C4ACA9BE0C4A}">
            <x14:dataBar minLength="0" maxLength="100" gradient="0" direction="leftToRight">
              <x14:cfvo type="autoMin"/>
              <x14:cfvo type="formula">
                <xm:f>$AR$120</xm:f>
              </x14:cfvo>
              <x14:negativeFillColor rgb="FFFF0000"/>
              <x14:axisColor rgb="FF000000"/>
            </x14:dataBar>
          </x14:cfRule>
          <xm:sqref>AL232:AM232</xm:sqref>
        </x14:conditionalFormatting>
        <x14:conditionalFormatting xmlns:xm="http://schemas.microsoft.com/office/excel/2006/main">
          <x14:cfRule type="dataBar" id="{361EB7D3-A3A4-40CE-BB4D-C26F6F651C99}">
            <x14:dataBar minLength="0" maxLength="100" gradient="0" direction="leftToRight">
              <x14:cfvo type="autoMin"/>
              <x14:cfvo type="formula">
                <xm:f>$AR$121</xm:f>
              </x14:cfvo>
              <x14:negativeFillColor rgb="FFFF0000"/>
              <x14:axisColor rgb="FF000000"/>
            </x14:dataBar>
          </x14:cfRule>
          <xm:sqref>AL233:AM233</xm:sqref>
        </x14:conditionalFormatting>
        <x14:conditionalFormatting xmlns:xm="http://schemas.microsoft.com/office/excel/2006/main">
          <x14:cfRule type="dataBar" id="{C4BBE95A-1CEA-40AE-9000-F80245A2410C}">
            <x14:dataBar minLength="0" maxLength="100" gradient="0" direction="leftToRight">
              <x14:cfvo type="autoMin"/>
              <x14:cfvo type="formula">
                <xm:f>$AR$122</xm:f>
              </x14:cfvo>
              <x14:negativeFillColor rgb="FFFF0000"/>
              <x14:axisColor rgb="FF000000"/>
            </x14:dataBar>
          </x14:cfRule>
          <xm:sqref>AL234:AM234</xm:sqref>
        </x14:conditionalFormatting>
        <x14:conditionalFormatting xmlns:xm="http://schemas.microsoft.com/office/excel/2006/main">
          <x14:cfRule type="dataBar" id="{B1448324-A60A-44A1-BD39-BE478E12A673}">
            <x14:dataBar minLength="0" maxLength="100" gradient="0" direction="leftToRight">
              <x14:cfvo type="autoMin"/>
              <x14:cfvo type="formula">
                <xm:f>$AR$123</xm:f>
              </x14:cfvo>
              <x14:negativeFillColor rgb="FFFF0000"/>
              <x14:axisColor rgb="FF000000"/>
            </x14:dataBar>
          </x14:cfRule>
          <xm:sqref>AL235:AM235</xm:sqref>
        </x14:conditionalFormatting>
        <x14:conditionalFormatting xmlns:xm="http://schemas.microsoft.com/office/excel/2006/main">
          <x14:cfRule type="dataBar" id="{939C9B8E-A501-4E5F-9003-77059B153499}">
            <x14:dataBar minLength="0" maxLength="100" gradient="0" direction="leftToRight">
              <x14:cfvo type="autoMin"/>
              <x14:cfvo type="formula">
                <xm:f>$AR$124</xm:f>
              </x14:cfvo>
              <x14:negativeFillColor rgb="FFFF0000"/>
              <x14:axisColor rgb="FF000000"/>
            </x14:dataBar>
          </x14:cfRule>
          <xm:sqref>AL236:AM236</xm:sqref>
        </x14:conditionalFormatting>
        <x14:conditionalFormatting xmlns:xm="http://schemas.microsoft.com/office/excel/2006/main">
          <x14:cfRule type="dataBar" id="{2B50C96A-3F76-4347-B0DA-E409FF644C95}">
            <x14:dataBar minLength="0" maxLength="100" gradient="0" direction="leftToRight">
              <x14:cfvo type="autoMin"/>
              <x14:cfvo type="formula">
                <xm:f>$AR$125</xm:f>
              </x14:cfvo>
              <x14:negativeFillColor rgb="FFFF0000"/>
              <x14:axisColor rgb="FF000000"/>
            </x14:dataBar>
          </x14:cfRule>
          <xm:sqref>AL237:AM237</xm:sqref>
        </x14:conditionalFormatting>
        <x14:conditionalFormatting xmlns:xm="http://schemas.microsoft.com/office/excel/2006/main">
          <x14:cfRule type="dataBar" id="{41879F31-A10D-4584-9DF8-CDA1D688F658}">
            <x14:dataBar minLength="0" maxLength="100" gradient="0" direction="leftToRight">
              <x14:cfvo type="autoMin"/>
              <x14:cfvo type="formula">
                <xm:f>$AR$126</xm:f>
              </x14:cfvo>
              <x14:negativeFillColor rgb="FFFF0000"/>
              <x14:axisColor rgb="FF000000"/>
            </x14:dataBar>
          </x14:cfRule>
          <xm:sqref>AL238:AM238</xm:sqref>
        </x14:conditionalFormatting>
        <x14:conditionalFormatting xmlns:xm="http://schemas.microsoft.com/office/excel/2006/main">
          <x14:cfRule type="dataBar" id="{31B69C37-9D10-4089-AD96-0CC980A832BD}">
            <x14:dataBar minLength="0" maxLength="100" gradient="0" direction="leftToRight">
              <x14:cfvo type="autoMin"/>
              <x14:cfvo type="formula">
                <xm:f>$AR$127</xm:f>
              </x14:cfvo>
              <x14:negativeFillColor rgb="FFFF0000"/>
              <x14:axisColor rgb="FF000000"/>
            </x14:dataBar>
          </x14:cfRule>
          <xm:sqref>AL239:AM239</xm:sqref>
        </x14:conditionalFormatting>
        <x14:conditionalFormatting xmlns:xm="http://schemas.microsoft.com/office/excel/2006/main">
          <x14:cfRule type="dataBar" id="{3A434006-F4A0-4517-B813-68EF84ABBDC9}">
            <x14:dataBar minLength="0" maxLength="100" gradient="0" direction="leftToRight">
              <x14:cfvo type="autoMin"/>
              <x14:cfvo type="formula">
                <xm:f>$AR$128</xm:f>
              </x14:cfvo>
              <x14:negativeFillColor rgb="FFFF0000"/>
              <x14:axisColor rgb="FF000000"/>
            </x14:dataBar>
          </x14:cfRule>
          <xm:sqref>AL240:AM240</xm:sqref>
        </x14:conditionalFormatting>
        <x14:conditionalFormatting xmlns:xm="http://schemas.microsoft.com/office/excel/2006/main">
          <x14:cfRule type="dataBar" id="{03A6D5C5-71BB-4119-8EA9-BC5DE3C0AE92}">
            <x14:dataBar minLength="0" maxLength="100" gradient="0" direction="leftToRight">
              <x14:cfvo type="autoMin"/>
              <x14:cfvo type="formula">
                <xm:f>$AR$129</xm:f>
              </x14:cfvo>
              <x14:negativeFillColor rgb="FFFF0000"/>
              <x14:axisColor rgb="FF000000"/>
            </x14:dataBar>
          </x14:cfRule>
          <xm:sqref>AL241:AM241</xm:sqref>
        </x14:conditionalFormatting>
        <x14:conditionalFormatting xmlns:xm="http://schemas.microsoft.com/office/excel/2006/main">
          <x14:cfRule type="dataBar" id="{C916097F-8F06-4244-8EA5-0D83E3BC00C8}">
            <x14:dataBar minLength="0" maxLength="100" gradient="0" direction="leftToRight">
              <x14:cfvo type="autoMin"/>
              <x14:cfvo type="formula">
                <xm:f>$AR$130</xm:f>
              </x14:cfvo>
              <x14:negativeFillColor rgb="FFFF0000"/>
              <x14:axisColor rgb="FF000000"/>
            </x14:dataBar>
          </x14:cfRule>
          <xm:sqref>AL242:AM242</xm:sqref>
        </x14:conditionalFormatting>
        <x14:conditionalFormatting xmlns:xm="http://schemas.microsoft.com/office/excel/2006/main">
          <x14:cfRule type="dataBar" id="{5FF530AF-5DA0-4110-ABAD-2BFB785088CA}">
            <x14:dataBar minLength="0" maxLength="100" gradient="0" direction="leftToRight">
              <x14:cfvo type="autoMin"/>
              <x14:cfvo type="formula">
                <xm:f>$AR$131</xm:f>
              </x14:cfvo>
              <x14:negativeFillColor rgb="FFFF0000"/>
              <x14:axisColor rgb="FF000000"/>
            </x14:dataBar>
          </x14:cfRule>
          <xm:sqref>AL243:AM243</xm:sqref>
        </x14:conditionalFormatting>
        <x14:conditionalFormatting xmlns:xm="http://schemas.microsoft.com/office/excel/2006/main">
          <x14:cfRule type="dataBar" id="{ABCEC566-D391-4A3F-8A13-8B7F3691D647}">
            <x14:dataBar minLength="0" maxLength="100" gradient="0" direction="leftToRight">
              <x14:cfvo type="autoMin"/>
              <x14:cfvo type="formula">
                <xm:f>$AR$132</xm:f>
              </x14:cfvo>
              <x14:negativeFillColor rgb="FFFF0000"/>
              <x14:axisColor rgb="FF000000"/>
            </x14:dataBar>
          </x14:cfRule>
          <xm:sqref>AL244:AM244</xm:sqref>
        </x14:conditionalFormatting>
        <x14:conditionalFormatting xmlns:xm="http://schemas.microsoft.com/office/excel/2006/main">
          <x14:cfRule type="dataBar" id="{C0649F28-9189-4BF9-AF10-EDEC7B18C6E7}">
            <x14:dataBar minLength="0" maxLength="100" gradient="0" direction="leftToRight">
              <x14:cfvo type="autoMin"/>
              <x14:cfvo type="formula">
                <xm:f>$AR$133</xm:f>
              </x14:cfvo>
              <x14:negativeFillColor rgb="FFFF0000"/>
              <x14:axisColor rgb="FF000000"/>
            </x14:dataBar>
          </x14:cfRule>
          <xm:sqref>AL245:AM245</xm:sqref>
        </x14:conditionalFormatting>
        <x14:conditionalFormatting xmlns:xm="http://schemas.microsoft.com/office/excel/2006/main">
          <x14:cfRule type="dataBar" id="{F7946478-7DF6-4916-A4B0-439543510F5D}">
            <x14:dataBar minLength="0" maxLength="100" gradient="0" direction="leftToRight">
              <x14:cfvo type="autoMin"/>
              <x14:cfvo type="formula">
                <xm:f>$AR$134</xm:f>
              </x14:cfvo>
              <x14:negativeFillColor rgb="FFFF0000"/>
              <x14:axisColor rgb="FF000000"/>
            </x14:dataBar>
          </x14:cfRule>
          <xm:sqref>AL246:AM246</xm:sqref>
        </x14:conditionalFormatting>
        <x14:conditionalFormatting xmlns:xm="http://schemas.microsoft.com/office/excel/2006/main">
          <x14:cfRule type="dataBar" id="{BB77E542-CAB6-49C8-9906-E513770B20D9}">
            <x14:dataBar minLength="0" maxLength="100" gradient="0" direction="leftToRight">
              <x14:cfvo type="autoMin"/>
              <x14:cfvo type="formula">
                <xm:f>$AR$135</xm:f>
              </x14:cfvo>
              <x14:negativeFillColor rgb="FFFF0000"/>
              <x14:axisColor rgb="FF000000"/>
            </x14:dataBar>
          </x14:cfRule>
          <xm:sqref>AL247:AM247</xm:sqref>
        </x14:conditionalFormatting>
        <x14:conditionalFormatting xmlns:xm="http://schemas.microsoft.com/office/excel/2006/main">
          <x14:cfRule type="dataBar" id="{33F9B5E2-010C-43E0-A7AB-FABCCFC84817}">
            <x14:dataBar minLength="0" maxLength="100" gradient="0" direction="leftToRight">
              <x14:cfvo type="autoMin"/>
              <x14:cfvo type="formula">
                <xm:f>$AR$136</xm:f>
              </x14:cfvo>
              <x14:negativeFillColor rgb="FFFF0000"/>
              <x14:axisColor rgb="FF000000"/>
            </x14:dataBar>
          </x14:cfRule>
          <xm:sqref>AL248:AM248</xm:sqref>
        </x14:conditionalFormatting>
        <x14:conditionalFormatting xmlns:xm="http://schemas.microsoft.com/office/excel/2006/main">
          <x14:cfRule type="dataBar" id="{C86567EC-E7CB-4C4E-9A02-A848EDE460E3}">
            <x14:dataBar minLength="0" maxLength="100" gradient="0" direction="leftToRight">
              <x14:cfvo type="autoMin"/>
              <x14:cfvo type="formula">
                <xm:f>$AR$137</xm:f>
              </x14:cfvo>
              <x14:negativeFillColor rgb="FFFF0000"/>
              <x14:axisColor rgb="FF000000"/>
            </x14:dataBar>
          </x14:cfRule>
          <xm:sqref>AL249:AM249</xm:sqref>
        </x14:conditionalFormatting>
        <x14:conditionalFormatting xmlns:xm="http://schemas.microsoft.com/office/excel/2006/main">
          <x14:cfRule type="dataBar" id="{6E257BE1-1E87-4370-B331-ABA9242EB6D7}">
            <x14:dataBar minLength="0" maxLength="100" gradient="0" direction="leftToRight">
              <x14:cfvo type="autoMin"/>
              <x14:cfvo type="formula">
                <xm:f>$AR$138</xm:f>
              </x14:cfvo>
              <x14:negativeFillColor rgb="FFFF0000"/>
              <x14:axisColor rgb="FF000000"/>
            </x14:dataBar>
          </x14:cfRule>
          <xm:sqref>AL250:AM250</xm:sqref>
        </x14:conditionalFormatting>
        <x14:conditionalFormatting xmlns:xm="http://schemas.microsoft.com/office/excel/2006/main">
          <x14:cfRule type="dataBar" id="{92F12EF9-7E6E-4DEB-BCBA-B4A6F6AFFED7}">
            <x14:dataBar minLength="0" maxLength="100" gradient="0" direction="leftToRight">
              <x14:cfvo type="autoMin"/>
              <x14:cfvo type="formula">
                <xm:f>$AR$139</xm:f>
              </x14:cfvo>
              <x14:negativeFillColor rgb="FFFF0000"/>
              <x14:axisColor rgb="FF000000"/>
            </x14:dataBar>
          </x14:cfRule>
          <xm:sqref>AL251:AM251</xm:sqref>
        </x14:conditionalFormatting>
        <x14:conditionalFormatting xmlns:xm="http://schemas.microsoft.com/office/excel/2006/main">
          <x14:cfRule type="dataBar" id="{0830B47F-C610-4638-9726-6217786C5978}">
            <x14:dataBar minLength="0" maxLength="100" gradient="0" direction="leftToRight">
              <x14:cfvo type="autoMin"/>
              <x14:cfvo type="formula">
                <xm:f>$AR$140</xm:f>
              </x14:cfvo>
              <x14:negativeFillColor rgb="FFFF0000"/>
              <x14:axisColor rgb="FF000000"/>
            </x14:dataBar>
          </x14:cfRule>
          <xm:sqref>AL252:AM252</xm:sqref>
        </x14:conditionalFormatting>
        <x14:conditionalFormatting xmlns:xm="http://schemas.microsoft.com/office/excel/2006/main">
          <x14:cfRule type="dataBar" id="{A8B67AE8-C08C-4CE0-A9F6-8E8AC504B2F8}">
            <x14:dataBar minLength="0" maxLength="100" gradient="0" direction="leftToRight">
              <x14:cfvo type="autoMin"/>
              <x14:cfvo type="formula">
                <xm:f>$AR$141</xm:f>
              </x14:cfvo>
              <x14:negativeFillColor rgb="FFFF0000"/>
              <x14:axisColor rgb="FF000000"/>
            </x14:dataBar>
          </x14:cfRule>
          <xm:sqref>AL253:AM253</xm:sqref>
        </x14:conditionalFormatting>
        <x14:conditionalFormatting xmlns:xm="http://schemas.microsoft.com/office/excel/2006/main">
          <x14:cfRule type="dataBar" id="{3C737E17-A44E-4C32-BF4A-AF42B8F3155F}">
            <x14:dataBar minLength="0" maxLength="100" gradient="0" direction="leftToRight">
              <x14:cfvo type="autoMin"/>
              <x14:cfvo type="formula">
                <xm:f>$AR$142</xm:f>
              </x14:cfvo>
              <x14:negativeFillColor rgb="FFFF0000"/>
              <x14:axisColor rgb="FF000000"/>
            </x14:dataBar>
          </x14:cfRule>
          <xm:sqref>AL254:AM254</xm:sqref>
        </x14:conditionalFormatting>
        <x14:conditionalFormatting xmlns:xm="http://schemas.microsoft.com/office/excel/2006/main">
          <x14:cfRule type="dataBar" id="{B68D1ED6-4914-4DA5-8FD2-8ABAC9C247C8}">
            <x14:dataBar minLength="0" maxLength="100" gradient="0" direction="leftToRight">
              <x14:cfvo type="autoMin"/>
              <x14:cfvo type="formula">
                <xm:f>$AR$143</xm:f>
              </x14:cfvo>
              <x14:negativeFillColor rgb="FFFF0000"/>
              <x14:axisColor rgb="FF000000"/>
            </x14:dataBar>
          </x14:cfRule>
          <xm:sqref>AL255:AM255</xm:sqref>
        </x14:conditionalFormatting>
        <x14:conditionalFormatting xmlns:xm="http://schemas.microsoft.com/office/excel/2006/main">
          <x14:cfRule type="dataBar" id="{FF7983DE-2B5F-4657-984F-F820B984F2D1}">
            <x14:dataBar minLength="0" maxLength="100" gradient="0" direction="leftToRight">
              <x14:cfvo type="autoMin"/>
              <x14:cfvo type="formula">
                <xm:f>$AR$144</xm:f>
              </x14:cfvo>
              <x14:negativeFillColor rgb="FFFF0000"/>
              <x14:axisColor rgb="FF000000"/>
            </x14:dataBar>
          </x14:cfRule>
          <xm:sqref>AL256:AM256</xm:sqref>
        </x14:conditionalFormatting>
        <x14:conditionalFormatting xmlns:xm="http://schemas.microsoft.com/office/excel/2006/main">
          <x14:cfRule type="dataBar" id="{74F22973-030B-47C7-8429-13E258BD88BB}">
            <x14:dataBar minLength="0" maxLength="100" gradient="0" direction="leftToRight">
              <x14:cfvo type="autoMin"/>
              <x14:cfvo type="formula">
                <xm:f>$AR$145</xm:f>
              </x14:cfvo>
              <x14:negativeFillColor rgb="FFFF0000"/>
              <x14:axisColor rgb="FF000000"/>
            </x14:dataBar>
          </x14:cfRule>
          <xm:sqref>AL257:AM257</xm:sqref>
        </x14:conditionalFormatting>
        <x14:conditionalFormatting xmlns:xm="http://schemas.microsoft.com/office/excel/2006/main">
          <x14:cfRule type="dataBar" id="{3276921D-A338-4075-BCD0-61830E33554E}">
            <x14:dataBar minLength="0" maxLength="100" gradient="0" direction="leftToRight">
              <x14:cfvo type="autoMin"/>
              <x14:cfvo type="formula">
                <xm:f>$AR$146</xm:f>
              </x14:cfvo>
              <x14:negativeFillColor rgb="FFFF0000"/>
              <x14:axisColor rgb="FF000000"/>
            </x14:dataBar>
          </x14:cfRule>
          <xm:sqref>AL258:AM258</xm:sqref>
        </x14:conditionalFormatting>
        <x14:conditionalFormatting xmlns:xm="http://schemas.microsoft.com/office/excel/2006/main">
          <x14:cfRule type="dataBar" id="{528BAC12-5559-4D42-92C9-7FDDC759AA4D}">
            <x14:dataBar minLength="0" maxLength="100" gradient="0" direction="leftToRight">
              <x14:cfvo type="autoMin"/>
              <x14:cfvo type="formula">
                <xm:f>$AR$147</xm:f>
              </x14:cfvo>
              <x14:negativeFillColor rgb="FFFF0000"/>
              <x14:axisColor rgb="FF000000"/>
            </x14:dataBar>
          </x14:cfRule>
          <xm:sqref>AL259:AM259</xm:sqref>
        </x14:conditionalFormatting>
        <x14:conditionalFormatting xmlns:xm="http://schemas.microsoft.com/office/excel/2006/main">
          <x14:cfRule type="dataBar" id="{71F99864-012D-4097-B39A-F6509D1E8805}">
            <x14:dataBar minLength="0" maxLength="100" gradient="0" direction="leftToRight">
              <x14:cfvo type="autoMin"/>
              <x14:cfvo type="formula">
                <xm:f>$AR$148</xm:f>
              </x14:cfvo>
              <x14:negativeFillColor rgb="FFFF0000"/>
              <x14:axisColor rgb="FF000000"/>
            </x14:dataBar>
          </x14:cfRule>
          <xm:sqref>AL260:AM260</xm:sqref>
        </x14:conditionalFormatting>
        <x14:conditionalFormatting xmlns:xm="http://schemas.microsoft.com/office/excel/2006/main">
          <x14:cfRule type="dataBar" id="{C50F83F8-3707-4FA8-A706-577A1AD7342F}">
            <x14:dataBar minLength="0" maxLength="100" gradient="0" direction="leftToRight">
              <x14:cfvo type="autoMin"/>
              <x14:cfvo type="formula">
                <xm:f>$AR$149</xm:f>
              </x14:cfvo>
              <x14:negativeFillColor rgb="FFFF0000"/>
              <x14:axisColor rgb="FF000000"/>
            </x14:dataBar>
          </x14:cfRule>
          <xm:sqref>AL261:AM261</xm:sqref>
        </x14:conditionalFormatting>
        <x14:conditionalFormatting xmlns:xm="http://schemas.microsoft.com/office/excel/2006/main">
          <x14:cfRule type="dataBar" id="{5E200E85-4C11-4864-B03A-DF8E24DB9A2C}">
            <x14:dataBar minLength="0" maxLength="100" gradient="0" direction="leftToRight">
              <x14:cfvo type="autoMin"/>
              <x14:cfvo type="formula">
                <xm:f>$AR$150</xm:f>
              </x14:cfvo>
              <x14:negativeFillColor rgb="FFFF0000"/>
              <x14:axisColor rgb="FF000000"/>
            </x14:dataBar>
          </x14:cfRule>
          <xm:sqref>AL262:AM262</xm:sqref>
        </x14:conditionalFormatting>
        <x14:conditionalFormatting xmlns:xm="http://schemas.microsoft.com/office/excel/2006/main">
          <x14:cfRule type="dataBar" id="{B0D45F34-AA3F-4654-A2EF-EB987849AF2D}">
            <x14:dataBar minLength="0" maxLength="100" gradient="0" direction="leftToRight">
              <x14:cfvo type="autoMin"/>
              <x14:cfvo type="formula">
                <xm:f>$AR$151</xm:f>
              </x14:cfvo>
              <x14:negativeFillColor rgb="FFFF0000"/>
              <x14:axisColor rgb="FF000000"/>
            </x14:dataBar>
          </x14:cfRule>
          <xm:sqref>AL263:AM263</xm:sqref>
        </x14:conditionalFormatting>
        <x14:conditionalFormatting xmlns:xm="http://schemas.microsoft.com/office/excel/2006/main">
          <x14:cfRule type="dataBar" id="{FC31CB8F-5637-4380-8969-5EACA016A393}">
            <x14:dataBar minLength="0" maxLength="100" gradient="0" direction="leftToRight">
              <x14:cfvo type="autoMin"/>
              <x14:cfvo type="formula">
                <xm:f>$AR$152</xm:f>
              </x14:cfvo>
              <x14:negativeFillColor rgb="FFFF0000"/>
              <x14:axisColor rgb="FF000000"/>
            </x14:dataBar>
          </x14:cfRule>
          <xm:sqref>AL264:AM264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92492-B592-40DB-BA42-3630261F68C3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66D0D-CECE-4277-8F1C-5B2C0F526A4D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C10D7-8E96-43B5-A559-2BBACAE5A99B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E9036-DFCC-4CA1-AD89-DD7CFC55A15B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F9D56-8ED3-4BDE-8212-7250D5B9B681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11C4-CBE7-4FFA-B82F-6E514C2392A6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084E4-4809-43C0-817F-446EB87BF450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6900E-BED3-4D5D-AE36-DEE2E4ACB247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31E0-9122-42A6-A8DB-6650931EA2C7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A3F9-25F3-470D-8E6A-A1BA069AD3AA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D1ABA-FEC4-4A51-9FD8-FE6DCB75B560}">
  <dimension ref="A1"/>
  <sheetViews>
    <sheetView rightToLeft="1" workbookViewId="0"/>
  </sheetViews>
  <sheetFormatPr defaultRowHeight="14.4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8573-7FD1-4CDC-A978-104743D9C2C8}">
  <dimension ref="A1"/>
  <sheetViews>
    <sheetView rightToLeft="1" workbookViewId="0">
      <selection activeCell="F14" sqref="F14"/>
    </sheetView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2</vt:lpstr>
      <vt:lpstr>3</vt:lpstr>
      <vt:lpstr>4</vt:lpstr>
      <vt:lpstr>6</vt:lpstr>
      <vt:lpstr>7</vt:lpstr>
      <vt:lpstr>9</vt:lpstr>
      <vt:lpstr>10</vt:lpstr>
      <vt:lpstr>11</vt:lpstr>
      <vt:lpstr>12</vt:lpstr>
      <vt:lpstr>13</vt:lpstr>
      <vt:lpstr>14</vt:lpstr>
      <vt:lpstr>16</vt:lpstr>
      <vt:lpstr>17</vt:lpstr>
      <vt:lpstr>18</vt:lpstr>
      <vt:lpstr>19</vt:lpstr>
      <vt:lpstr>20</vt:lpstr>
      <vt:lpstr>21</vt:lpstr>
      <vt:lpstr>23</vt:lpstr>
      <vt:lpstr>24</vt:lpstr>
      <vt:lpstr>27</vt:lpstr>
      <vt:lpstr>28</vt:lpstr>
      <vt:lpstr>30</vt:lpstr>
      <vt:lpstr>31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Noshad Shokouhfar</dc:creator>
  <cp:lastModifiedBy>Noshad Shokouhfar</cp:lastModifiedBy>
  <dcterms:created xsi:type="dcterms:W3CDTF">2024-06-19T12:24:20Z</dcterms:created>
  <dcterms:modified xsi:type="dcterms:W3CDTF">2024-07-01T11:44:02Z</dcterms:modified>
</cp:coreProperties>
</file>